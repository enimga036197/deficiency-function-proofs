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laude\proofs\"/>
    </mc:Choice>
  </mc:AlternateContent>
  <xr:revisionPtr revIDLastSave="0" documentId="13_ncr:1_{94759DAA-53A4-47AA-912F-424AAFC303EC}" xr6:coauthVersionLast="47" xr6:coauthVersionMax="47" xr10:uidLastSave="{00000000-0000-0000-0000-000000000000}"/>
  <bookViews>
    <workbookView xWindow="-120" yWindow="-120" windowWidth="29040" windowHeight="15720" firstSheet="3" activeTab="8" xr2:uid="{00000000-000D-0000-FFFF-FFFF00000000}"/>
  </bookViews>
  <sheets>
    <sheet name="Computation Engine" sheetId="1" r:id="rId1"/>
    <sheet name="Zero Set Proof" sheetId="2" r:id="rId2"/>
    <sheet name="Consecutive Coincidences" sheetId="3" r:id="rId3"/>
    <sheet name="Fiber Concentration" sheetId="4" r:id="rId4"/>
    <sheet name="Ray Structure" sheetId="5" r:id="rId5"/>
    <sheet name="Phase Transition" sheetId="6" r:id="rId6"/>
    <sheet name="GCD-Projection" sheetId="7" r:id="rId7"/>
    <sheet name="Parity Theorem" sheetId="8" r:id="rId8"/>
    <sheet name="Neural Substrate" sheetId="9" r:id="rId9"/>
    <sheet name="SPARC Galaxy Analysis" sheetId="10" r:id="rId10"/>
    <sheet name="Algebraic Structure" sheetId="11" r:id="rId1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84" i="10" l="1"/>
  <c r="G179" i="10"/>
  <c r="D179" i="10"/>
  <c r="G178" i="10"/>
  <c r="D178" i="10"/>
  <c r="G177" i="10"/>
  <c r="D177" i="10"/>
  <c r="G176" i="10"/>
  <c r="D176" i="10"/>
  <c r="G175" i="10"/>
  <c r="D175" i="10"/>
  <c r="G174" i="10"/>
  <c r="D174" i="10"/>
  <c r="G173" i="10"/>
  <c r="D173" i="10"/>
  <c r="G172" i="10"/>
  <c r="D172" i="10"/>
  <c r="G171" i="10"/>
  <c r="D171" i="10"/>
  <c r="G170" i="10"/>
  <c r="D170" i="10"/>
  <c r="G169" i="10"/>
  <c r="D169" i="10"/>
  <c r="G168" i="10"/>
  <c r="D168" i="10"/>
  <c r="G167" i="10"/>
  <c r="D167" i="10"/>
  <c r="G166" i="10"/>
  <c r="D166" i="10"/>
  <c r="G165" i="10"/>
  <c r="D165" i="10"/>
  <c r="G164" i="10"/>
  <c r="D164" i="10"/>
  <c r="G163" i="10"/>
  <c r="D163" i="10"/>
  <c r="G162" i="10"/>
  <c r="D162" i="10"/>
  <c r="G161" i="10"/>
  <c r="D161" i="10"/>
  <c r="G160" i="10"/>
  <c r="D160" i="10"/>
  <c r="G159" i="10"/>
  <c r="D159" i="10"/>
  <c r="G158" i="10"/>
  <c r="D158" i="10"/>
  <c r="G157" i="10"/>
  <c r="D157" i="10"/>
  <c r="G156" i="10"/>
  <c r="D156" i="10"/>
  <c r="G155" i="10"/>
  <c r="D155" i="10"/>
  <c r="G154" i="10"/>
  <c r="D154" i="10"/>
  <c r="G153" i="10"/>
  <c r="D153" i="10"/>
  <c r="G152" i="10"/>
  <c r="D152" i="10"/>
  <c r="G151" i="10"/>
  <c r="D151" i="10"/>
  <c r="G150" i="10"/>
  <c r="D150" i="10"/>
  <c r="G149" i="10"/>
  <c r="D149" i="10"/>
  <c r="G148" i="10"/>
  <c r="D148" i="10"/>
  <c r="G147" i="10"/>
  <c r="D147" i="10"/>
  <c r="G146" i="10"/>
  <c r="D146" i="10"/>
  <c r="G145" i="10"/>
  <c r="D145" i="10"/>
  <c r="G144" i="10"/>
  <c r="D144" i="10"/>
  <c r="G143" i="10"/>
  <c r="D143" i="10"/>
  <c r="G142" i="10"/>
  <c r="D142" i="10"/>
  <c r="G141" i="10"/>
  <c r="D141" i="10"/>
  <c r="G140" i="10"/>
  <c r="D140" i="10"/>
  <c r="G139" i="10"/>
  <c r="D139" i="10"/>
  <c r="G138" i="10"/>
  <c r="D138" i="10"/>
  <c r="G137" i="10"/>
  <c r="D137" i="10"/>
  <c r="G136" i="10"/>
  <c r="D136" i="10"/>
  <c r="G135" i="10"/>
  <c r="D135" i="10"/>
  <c r="G134" i="10"/>
  <c r="D134" i="10"/>
  <c r="G133" i="10"/>
  <c r="D133" i="10"/>
  <c r="G132" i="10"/>
  <c r="D132" i="10"/>
  <c r="G131" i="10"/>
  <c r="D131" i="10"/>
  <c r="G130" i="10"/>
  <c r="D130" i="10"/>
  <c r="G129" i="10"/>
  <c r="D129" i="10"/>
  <c r="G128" i="10"/>
  <c r="D128" i="10"/>
  <c r="G127" i="10"/>
  <c r="D127" i="10"/>
  <c r="G126" i="10"/>
  <c r="D126" i="10"/>
  <c r="G125" i="10"/>
  <c r="D125" i="10"/>
  <c r="G124" i="10"/>
  <c r="D124" i="10"/>
  <c r="G123" i="10"/>
  <c r="D123" i="10"/>
  <c r="G122" i="10"/>
  <c r="D122" i="10"/>
  <c r="G121" i="10"/>
  <c r="D121" i="10"/>
  <c r="G120" i="10"/>
  <c r="D120" i="10"/>
  <c r="G119" i="10"/>
  <c r="D119" i="10"/>
  <c r="G118" i="10"/>
  <c r="D118" i="10"/>
  <c r="H118" i="10" s="1"/>
  <c r="G117" i="10"/>
  <c r="D117" i="10"/>
  <c r="G116" i="10"/>
  <c r="D116" i="10"/>
  <c r="H116" i="10" s="1"/>
  <c r="G115" i="10"/>
  <c r="D115" i="10"/>
  <c r="G114" i="10"/>
  <c r="D114" i="10"/>
  <c r="G113" i="10"/>
  <c r="D113" i="10"/>
  <c r="I112" i="10"/>
  <c r="G112" i="10"/>
  <c r="D112" i="10"/>
  <c r="H112" i="10" s="1"/>
  <c r="G111" i="10"/>
  <c r="D111" i="10"/>
  <c r="I110" i="10"/>
  <c r="G110" i="10"/>
  <c r="D110" i="10"/>
  <c r="H110" i="10" s="1"/>
  <c r="G109" i="10"/>
  <c r="D109" i="10"/>
  <c r="G108" i="10"/>
  <c r="D108" i="10"/>
  <c r="H108" i="10" s="1"/>
  <c r="G107" i="10"/>
  <c r="D107" i="10"/>
  <c r="G106" i="10"/>
  <c r="D106" i="10"/>
  <c r="H106" i="10" s="1"/>
  <c r="G105" i="10"/>
  <c r="D105" i="10"/>
  <c r="I104" i="10"/>
  <c r="G104" i="10"/>
  <c r="D104" i="10"/>
  <c r="H104" i="10" s="1"/>
  <c r="G103" i="10"/>
  <c r="D103" i="10"/>
  <c r="G102" i="10"/>
  <c r="D102" i="10"/>
  <c r="H102" i="10" s="1"/>
  <c r="G101" i="10"/>
  <c r="D101" i="10"/>
  <c r="G100" i="10"/>
  <c r="D100" i="10"/>
  <c r="H100" i="10" s="1"/>
  <c r="G99" i="10"/>
  <c r="D99" i="10"/>
  <c r="G98" i="10"/>
  <c r="D98" i="10"/>
  <c r="G97" i="10"/>
  <c r="D97" i="10"/>
  <c r="I96" i="10"/>
  <c r="G96" i="10"/>
  <c r="D96" i="10"/>
  <c r="H96" i="10" s="1"/>
  <c r="G95" i="10"/>
  <c r="D95" i="10"/>
  <c r="I94" i="10"/>
  <c r="G94" i="10"/>
  <c r="D94" i="10"/>
  <c r="H94" i="10" s="1"/>
  <c r="G93" i="10"/>
  <c r="D93" i="10"/>
  <c r="G92" i="10"/>
  <c r="D92" i="10"/>
  <c r="H92" i="10" s="1"/>
  <c r="G91" i="10"/>
  <c r="D91" i="10"/>
  <c r="G90" i="10"/>
  <c r="D90" i="10"/>
  <c r="H90" i="10" s="1"/>
  <c r="G89" i="10"/>
  <c r="D89" i="10"/>
  <c r="I88" i="10"/>
  <c r="G88" i="10"/>
  <c r="D88" i="10"/>
  <c r="H88" i="10" s="1"/>
  <c r="G87" i="10"/>
  <c r="D87" i="10"/>
  <c r="G86" i="10"/>
  <c r="D86" i="10"/>
  <c r="H86" i="10" s="1"/>
  <c r="G85" i="10"/>
  <c r="D85" i="10"/>
  <c r="G84" i="10"/>
  <c r="D84" i="10"/>
  <c r="H84" i="10" s="1"/>
  <c r="G83" i="10"/>
  <c r="D83" i="10"/>
  <c r="G82" i="10"/>
  <c r="D82" i="10"/>
  <c r="G81" i="10"/>
  <c r="D81" i="10"/>
  <c r="I80" i="10"/>
  <c r="G80" i="10"/>
  <c r="D80" i="10"/>
  <c r="H80" i="10" s="1"/>
  <c r="G79" i="10"/>
  <c r="D79" i="10"/>
  <c r="I78" i="10"/>
  <c r="G78" i="10"/>
  <c r="D78" i="10"/>
  <c r="H78" i="10" s="1"/>
  <c r="G77" i="10"/>
  <c r="D77" i="10"/>
  <c r="G76" i="10"/>
  <c r="D76" i="10"/>
  <c r="H76" i="10" s="1"/>
  <c r="G75" i="10"/>
  <c r="D75" i="10"/>
  <c r="G74" i="10"/>
  <c r="D74" i="10"/>
  <c r="H74" i="10" s="1"/>
  <c r="G73" i="10"/>
  <c r="D73" i="10"/>
  <c r="I72" i="10"/>
  <c r="G72" i="10"/>
  <c r="D72" i="10"/>
  <c r="H72" i="10" s="1"/>
  <c r="G71" i="10"/>
  <c r="D71" i="10"/>
  <c r="G70" i="10"/>
  <c r="D70" i="10"/>
  <c r="H70" i="10" s="1"/>
  <c r="G69" i="10"/>
  <c r="D69" i="10"/>
  <c r="G68" i="10"/>
  <c r="D68" i="10"/>
  <c r="H68" i="10" s="1"/>
  <c r="G67" i="10"/>
  <c r="D67" i="10"/>
  <c r="G66" i="10"/>
  <c r="D66" i="10"/>
  <c r="G65" i="10"/>
  <c r="D65" i="10"/>
  <c r="I64" i="10"/>
  <c r="G64" i="10"/>
  <c r="D64" i="10"/>
  <c r="H64" i="10" s="1"/>
  <c r="G63" i="10"/>
  <c r="D63" i="10"/>
  <c r="I62" i="10"/>
  <c r="G62" i="10"/>
  <c r="D62" i="10"/>
  <c r="H62" i="10" s="1"/>
  <c r="G61" i="10"/>
  <c r="D61" i="10"/>
  <c r="G60" i="10"/>
  <c r="D60" i="10"/>
  <c r="H60" i="10" s="1"/>
  <c r="G59" i="10"/>
  <c r="D59" i="10"/>
  <c r="G58" i="10"/>
  <c r="D58" i="10"/>
  <c r="H58" i="10" s="1"/>
  <c r="G57" i="10"/>
  <c r="D57" i="10"/>
  <c r="I56" i="10"/>
  <c r="G56" i="10"/>
  <c r="D56" i="10"/>
  <c r="H56" i="10" s="1"/>
  <c r="G55" i="10"/>
  <c r="D55" i="10"/>
  <c r="G54" i="10"/>
  <c r="D54" i="10"/>
  <c r="H54" i="10" s="1"/>
  <c r="G53" i="10"/>
  <c r="D53" i="10"/>
  <c r="G52" i="10"/>
  <c r="D52" i="10"/>
  <c r="H52" i="10" s="1"/>
  <c r="G51" i="10"/>
  <c r="D51" i="10"/>
  <c r="G50" i="10"/>
  <c r="D50" i="10"/>
  <c r="G49" i="10"/>
  <c r="D49" i="10"/>
  <c r="I48" i="10"/>
  <c r="G48" i="10"/>
  <c r="D48" i="10"/>
  <c r="H48" i="10" s="1"/>
  <c r="G47" i="10"/>
  <c r="D47" i="10"/>
  <c r="I46" i="10"/>
  <c r="G46" i="10"/>
  <c r="D46" i="10"/>
  <c r="H46" i="10" s="1"/>
  <c r="G45" i="10"/>
  <c r="D45" i="10"/>
  <c r="G44" i="10"/>
  <c r="D44" i="10"/>
  <c r="H44" i="10" s="1"/>
  <c r="G43" i="10"/>
  <c r="D43" i="10"/>
  <c r="G42" i="10"/>
  <c r="D42" i="10"/>
  <c r="H42" i="10" s="1"/>
  <c r="G41" i="10"/>
  <c r="D41" i="10"/>
  <c r="I40" i="10"/>
  <c r="G40" i="10"/>
  <c r="D40" i="10"/>
  <c r="H40" i="10" s="1"/>
  <c r="G39" i="10"/>
  <c r="D39" i="10"/>
  <c r="G38" i="10"/>
  <c r="D38" i="10"/>
  <c r="H38" i="10" s="1"/>
  <c r="G37" i="10"/>
  <c r="D37" i="10"/>
  <c r="G36" i="10"/>
  <c r="D36" i="10"/>
  <c r="H36" i="10" s="1"/>
  <c r="G35" i="10"/>
  <c r="D35" i="10"/>
  <c r="G34" i="10"/>
  <c r="D34" i="10"/>
  <c r="G33" i="10"/>
  <c r="D33" i="10"/>
  <c r="I32" i="10"/>
  <c r="G32" i="10"/>
  <c r="D32" i="10"/>
  <c r="H32" i="10" s="1"/>
  <c r="G31" i="10"/>
  <c r="D31" i="10"/>
  <c r="I30" i="10"/>
  <c r="G30" i="10"/>
  <c r="D30" i="10"/>
  <c r="H30" i="10" s="1"/>
  <c r="G29" i="10"/>
  <c r="D29" i="10"/>
  <c r="G28" i="10"/>
  <c r="D28" i="10"/>
  <c r="H28" i="10" s="1"/>
  <c r="G27" i="10"/>
  <c r="D27" i="10"/>
  <c r="G26" i="10"/>
  <c r="D26" i="10"/>
  <c r="H26" i="10" s="1"/>
  <c r="G25" i="10"/>
  <c r="D25" i="10"/>
  <c r="I24" i="10"/>
  <c r="G24" i="10"/>
  <c r="D24" i="10"/>
  <c r="H24" i="10" s="1"/>
  <c r="G23" i="10"/>
  <c r="D23" i="10"/>
  <c r="G22" i="10"/>
  <c r="D22" i="10"/>
  <c r="H22" i="10" s="1"/>
  <c r="G21" i="10"/>
  <c r="D21" i="10"/>
  <c r="G20" i="10"/>
  <c r="D20" i="10"/>
  <c r="H20" i="10" s="1"/>
  <c r="G19" i="10"/>
  <c r="D19" i="10"/>
  <c r="G18" i="10"/>
  <c r="D18" i="10"/>
  <c r="G17" i="10"/>
  <c r="D17" i="10"/>
  <c r="I16" i="10"/>
  <c r="G16" i="10"/>
  <c r="D16" i="10"/>
  <c r="H16" i="10" s="1"/>
  <c r="G15" i="10"/>
  <c r="D15" i="10"/>
  <c r="I14" i="10"/>
  <c r="G14" i="10"/>
  <c r="D14" i="10"/>
  <c r="H14" i="10" s="1"/>
  <c r="I13" i="10"/>
  <c r="G13" i="10"/>
  <c r="D13" i="10"/>
  <c r="H13" i="10" s="1"/>
  <c r="G12" i="10"/>
  <c r="D12" i="10"/>
  <c r="G11" i="10"/>
  <c r="D11" i="10"/>
  <c r="H11" i="10" s="1"/>
  <c r="G10" i="10"/>
  <c r="D10" i="10"/>
  <c r="H10" i="10" s="1"/>
  <c r="I9" i="10"/>
  <c r="H9" i="10"/>
  <c r="G9" i="10"/>
  <c r="D9" i="10"/>
  <c r="G8" i="10"/>
  <c r="D8" i="10"/>
  <c r="I8" i="10" s="1"/>
  <c r="I7" i="10"/>
  <c r="H7" i="10"/>
  <c r="G7" i="10"/>
  <c r="D7" i="10"/>
  <c r="G6" i="10"/>
  <c r="D6" i="10"/>
  <c r="I6" i="10" s="1"/>
  <c r="I5" i="10"/>
  <c r="H5" i="10"/>
  <c r="G5" i="10"/>
  <c r="D5" i="10"/>
  <c r="B126" i="9"/>
  <c r="B125" i="9"/>
  <c r="B124" i="9"/>
  <c r="B123" i="9"/>
  <c r="B122" i="9"/>
  <c r="K7" i="9"/>
  <c r="J7" i="9"/>
  <c r="I7" i="9"/>
  <c r="H7" i="9"/>
  <c r="G7" i="9"/>
  <c r="F7" i="9"/>
  <c r="E7" i="9"/>
  <c r="D7" i="9"/>
  <c r="C7" i="9"/>
  <c r="B7" i="9"/>
  <c r="F502" i="8"/>
  <c r="D502" i="8"/>
  <c r="C502" i="8"/>
  <c r="E502" i="8" s="1"/>
  <c r="G502" i="8" s="1"/>
  <c r="F501" i="8"/>
  <c r="D501" i="8"/>
  <c r="C501" i="8"/>
  <c r="E501" i="8" s="1"/>
  <c r="G501" i="8" s="1"/>
  <c r="G500" i="8"/>
  <c r="F500" i="8"/>
  <c r="E500" i="8"/>
  <c r="D500" i="8"/>
  <c r="C500" i="8"/>
  <c r="F499" i="8"/>
  <c r="D499" i="8"/>
  <c r="E499" i="8" s="1"/>
  <c r="G499" i="8" s="1"/>
  <c r="C499" i="8"/>
  <c r="F498" i="8"/>
  <c r="D498" i="8"/>
  <c r="C498" i="8"/>
  <c r="E498" i="8" s="1"/>
  <c r="G498" i="8" s="1"/>
  <c r="F497" i="8"/>
  <c r="D497" i="8"/>
  <c r="E497" i="8" s="1"/>
  <c r="G497" i="8" s="1"/>
  <c r="C497" i="8"/>
  <c r="F496" i="8"/>
  <c r="D496" i="8"/>
  <c r="C496" i="8"/>
  <c r="E496" i="8" s="1"/>
  <c r="G496" i="8" s="1"/>
  <c r="F495" i="8"/>
  <c r="D495" i="8"/>
  <c r="C495" i="8"/>
  <c r="E495" i="8" s="1"/>
  <c r="G495" i="8" s="1"/>
  <c r="G494" i="8"/>
  <c r="F494" i="8"/>
  <c r="D494" i="8"/>
  <c r="C494" i="8"/>
  <c r="E494" i="8" s="1"/>
  <c r="F493" i="8"/>
  <c r="D493" i="8"/>
  <c r="C493" i="8"/>
  <c r="E493" i="8" s="1"/>
  <c r="G493" i="8" s="1"/>
  <c r="G492" i="8"/>
  <c r="F492" i="8"/>
  <c r="E492" i="8"/>
  <c r="D492" i="8"/>
  <c r="C492" i="8"/>
  <c r="F491" i="8"/>
  <c r="D491" i="8"/>
  <c r="E491" i="8" s="1"/>
  <c r="G491" i="8" s="1"/>
  <c r="C491" i="8"/>
  <c r="F490" i="8"/>
  <c r="D490" i="8"/>
  <c r="C490" i="8"/>
  <c r="E490" i="8" s="1"/>
  <c r="G490" i="8" s="1"/>
  <c r="F489" i="8"/>
  <c r="D489" i="8"/>
  <c r="E489" i="8" s="1"/>
  <c r="G489" i="8" s="1"/>
  <c r="C489" i="8"/>
  <c r="F488" i="8"/>
  <c r="D488" i="8"/>
  <c r="C488" i="8"/>
  <c r="E488" i="8" s="1"/>
  <c r="G488" i="8" s="1"/>
  <c r="F487" i="8"/>
  <c r="D487" i="8"/>
  <c r="E487" i="8" s="1"/>
  <c r="G487" i="8" s="1"/>
  <c r="C487" i="8"/>
  <c r="F486" i="8"/>
  <c r="D486" i="8"/>
  <c r="C486" i="8"/>
  <c r="E486" i="8" s="1"/>
  <c r="G486" i="8" s="1"/>
  <c r="F485" i="8"/>
  <c r="D485" i="8"/>
  <c r="C485" i="8"/>
  <c r="E485" i="8" s="1"/>
  <c r="G485" i="8" s="1"/>
  <c r="G484" i="8"/>
  <c r="F484" i="8"/>
  <c r="E484" i="8"/>
  <c r="D484" i="8"/>
  <c r="C484" i="8"/>
  <c r="F483" i="8"/>
  <c r="D483" i="8"/>
  <c r="E483" i="8" s="1"/>
  <c r="G483" i="8" s="1"/>
  <c r="C483" i="8"/>
  <c r="F482" i="8"/>
  <c r="D482" i="8"/>
  <c r="C482" i="8"/>
  <c r="E482" i="8" s="1"/>
  <c r="G482" i="8" s="1"/>
  <c r="F481" i="8"/>
  <c r="D481" i="8"/>
  <c r="E481" i="8" s="1"/>
  <c r="G481" i="8" s="1"/>
  <c r="C481" i="8"/>
  <c r="F480" i="8"/>
  <c r="D480" i="8"/>
  <c r="C480" i="8"/>
  <c r="E480" i="8" s="1"/>
  <c r="G480" i="8" s="1"/>
  <c r="F479" i="8"/>
  <c r="D479" i="8"/>
  <c r="E479" i="8" s="1"/>
  <c r="G479" i="8" s="1"/>
  <c r="C479" i="8"/>
  <c r="G478" i="8"/>
  <c r="F478" i="8"/>
  <c r="D478" i="8"/>
  <c r="C478" i="8"/>
  <c r="E478" i="8" s="1"/>
  <c r="F477" i="8"/>
  <c r="D477" i="8"/>
  <c r="C477" i="8"/>
  <c r="E477" i="8" s="1"/>
  <c r="G477" i="8" s="1"/>
  <c r="G476" i="8"/>
  <c r="F476" i="8"/>
  <c r="E476" i="8"/>
  <c r="D476" i="8"/>
  <c r="C476" i="8"/>
  <c r="F475" i="8"/>
  <c r="D475" i="8"/>
  <c r="E475" i="8" s="1"/>
  <c r="G475" i="8" s="1"/>
  <c r="C475" i="8"/>
  <c r="F474" i="8"/>
  <c r="D474" i="8"/>
  <c r="C474" i="8"/>
  <c r="E474" i="8" s="1"/>
  <c r="G474" i="8" s="1"/>
  <c r="F473" i="8"/>
  <c r="D473" i="8"/>
  <c r="E473" i="8" s="1"/>
  <c r="G473" i="8" s="1"/>
  <c r="C473" i="8"/>
  <c r="F472" i="8"/>
  <c r="D472" i="8"/>
  <c r="C472" i="8"/>
  <c r="E472" i="8" s="1"/>
  <c r="G472" i="8" s="1"/>
  <c r="F471" i="8"/>
  <c r="D471" i="8"/>
  <c r="C471" i="8"/>
  <c r="E471" i="8" s="1"/>
  <c r="G471" i="8" s="1"/>
  <c r="F470" i="8"/>
  <c r="D470" i="8"/>
  <c r="C470" i="8"/>
  <c r="E470" i="8" s="1"/>
  <c r="G470" i="8" s="1"/>
  <c r="F469" i="8"/>
  <c r="D469" i="8"/>
  <c r="C469" i="8"/>
  <c r="E469" i="8" s="1"/>
  <c r="G469" i="8" s="1"/>
  <c r="G468" i="8"/>
  <c r="F468" i="8"/>
  <c r="E468" i="8"/>
  <c r="D468" i="8"/>
  <c r="C468" i="8"/>
  <c r="F467" i="8"/>
  <c r="D467" i="8"/>
  <c r="E467" i="8" s="1"/>
  <c r="G467" i="8" s="1"/>
  <c r="C467" i="8"/>
  <c r="F466" i="8"/>
  <c r="D466" i="8"/>
  <c r="C466" i="8"/>
  <c r="E466" i="8" s="1"/>
  <c r="G466" i="8" s="1"/>
  <c r="F465" i="8"/>
  <c r="D465" i="8"/>
  <c r="E465" i="8" s="1"/>
  <c r="G465" i="8" s="1"/>
  <c r="C465" i="8"/>
  <c r="F464" i="8"/>
  <c r="D464" i="8"/>
  <c r="C464" i="8"/>
  <c r="E464" i="8" s="1"/>
  <c r="G464" i="8" s="1"/>
  <c r="F463" i="8"/>
  <c r="D463" i="8"/>
  <c r="C463" i="8"/>
  <c r="E463" i="8" s="1"/>
  <c r="G463" i="8" s="1"/>
  <c r="G462" i="8"/>
  <c r="F462" i="8"/>
  <c r="D462" i="8"/>
  <c r="C462" i="8"/>
  <c r="E462" i="8" s="1"/>
  <c r="F461" i="8"/>
  <c r="D461" i="8"/>
  <c r="C461" i="8"/>
  <c r="E461" i="8" s="1"/>
  <c r="G461" i="8" s="1"/>
  <c r="G460" i="8"/>
  <c r="F460" i="8"/>
  <c r="E460" i="8"/>
  <c r="D460" i="8"/>
  <c r="C460" i="8"/>
  <c r="F459" i="8"/>
  <c r="D459" i="8"/>
  <c r="E459" i="8" s="1"/>
  <c r="G459" i="8" s="1"/>
  <c r="C459" i="8"/>
  <c r="F458" i="8"/>
  <c r="D458" i="8"/>
  <c r="C458" i="8"/>
  <c r="E458" i="8" s="1"/>
  <c r="G458" i="8" s="1"/>
  <c r="F457" i="8"/>
  <c r="D457" i="8"/>
  <c r="E457" i="8" s="1"/>
  <c r="G457" i="8" s="1"/>
  <c r="C457" i="8"/>
  <c r="F456" i="8"/>
  <c r="D456" i="8"/>
  <c r="C456" i="8"/>
  <c r="E456" i="8" s="1"/>
  <c r="G456" i="8" s="1"/>
  <c r="F455" i="8"/>
  <c r="D455" i="8"/>
  <c r="C455" i="8"/>
  <c r="E455" i="8" s="1"/>
  <c r="G455" i="8" s="1"/>
  <c r="G454" i="8"/>
  <c r="F454" i="8"/>
  <c r="D454" i="8"/>
  <c r="C454" i="8"/>
  <c r="E454" i="8" s="1"/>
  <c r="F453" i="8"/>
  <c r="D453" i="8"/>
  <c r="C453" i="8"/>
  <c r="E453" i="8" s="1"/>
  <c r="G453" i="8" s="1"/>
  <c r="G452" i="8"/>
  <c r="F452" i="8"/>
  <c r="E452" i="8"/>
  <c r="D452" i="8"/>
  <c r="C452" i="8"/>
  <c r="F451" i="8"/>
  <c r="D451" i="8"/>
  <c r="E451" i="8" s="1"/>
  <c r="G451" i="8" s="1"/>
  <c r="C451" i="8"/>
  <c r="F450" i="8"/>
  <c r="D450" i="8"/>
  <c r="C450" i="8"/>
  <c r="E450" i="8" s="1"/>
  <c r="G450" i="8" s="1"/>
  <c r="F449" i="8"/>
  <c r="D449" i="8"/>
  <c r="E449" i="8" s="1"/>
  <c r="G449" i="8" s="1"/>
  <c r="C449" i="8"/>
  <c r="F448" i="8"/>
  <c r="D448" i="8"/>
  <c r="C448" i="8"/>
  <c r="E448" i="8" s="1"/>
  <c r="G448" i="8" s="1"/>
  <c r="F447" i="8"/>
  <c r="D447" i="8"/>
  <c r="C447" i="8"/>
  <c r="E447" i="8" s="1"/>
  <c r="G447" i="8" s="1"/>
  <c r="F446" i="8"/>
  <c r="D446" i="8"/>
  <c r="C446" i="8"/>
  <c r="E446" i="8" s="1"/>
  <c r="G446" i="8" s="1"/>
  <c r="F445" i="8"/>
  <c r="D445" i="8"/>
  <c r="C445" i="8"/>
  <c r="E445" i="8" s="1"/>
  <c r="G445" i="8" s="1"/>
  <c r="G444" i="8"/>
  <c r="F444" i="8"/>
  <c r="E444" i="8"/>
  <c r="D444" i="8"/>
  <c r="C444" i="8"/>
  <c r="F443" i="8"/>
  <c r="D443" i="8"/>
  <c r="E443" i="8" s="1"/>
  <c r="G443" i="8" s="1"/>
  <c r="C443" i="8"/>
  <c r="F442" i="8"/>
  <c r="D442" i="8"/>
  <c r="C442" i="8"/>
  <c r="E442" i="8" s="1"/>
  <c r="G442" i="8" s="1"/>
  <c r="F441" i="8"/>
  <c r="D441" i="8"/>
  <c r="E441" i="8" s="1"/>
  <c r="G441" i="8" s="1"/>
  <c r="C441" i="8"/>
  <c r="F440" i="8"/>
  <c r="D440" i="8"/>
  <c r="C440" i="8"/>
  <c r="E440" i="8" s="1"/>
  <c r="G440" i="8" s="1"/>
  <c r="F439" i="8"/>
  <c r="D439" i="8"/>
  <c r="C439" i="8"/>
  <c r="E439" i="8" s="1"/>
  <c r="G439" i="8" s="1"/>
  <c r="F438" i="8"/>
  <c r="D438" i="8"/>
  <c r="C438" i="8"/>
  <c r="E438" i="8" s="1"/>
  <c r="G438" i="8" s="1"/>
  <c r="F437" i="8"/>
  <c r="D437" i="8"/>
  <c r="C437" i="8"/>
  <c r="E437" i="8" s="1"/>
  <c r="G437" i="8" s="1"/>
  <c r="G436" i="8"/>
  <c r="F436" i="8"/>
  <c r="E436" i="8"/>
  <c r="D436" i="8"/>
  <c r="C436" i="8"/>
  <c r="F435" i="8"/>
  <c r="D435" i="8"/>
  <c r="E435" i="8" s="1"/>
  <c r="G435" i="8" s="1"/>
  <c r="C435" i="8"/>
  <c r="F434" i="8"/>
  <c r="D434" i="8"/>
  <c r="C434" i="8"/>
  <c r="E434" i="8" s="1"/>
  <c r="G434" i="8" s="1"/>
  <c r="F433" i="8"/>
  <c r="D433" i="8"/>
  <c r="E433" i="8" s="1"/>
  <c r="G433" i="8" s="1"/>
  <c r="C433" i="8"/>
  <c r="F432" i="8"/>
  <c r="D432" i="8"/>
  <c r="C432" i="8"/>
  <c r="E432" i="8" s="1"/>
  <c r="G432" i="8" s="1"/>
  <c r="F431" i="8"/>
  <c r="D431" i="8"/>
  <c r="C431" i="8"/>
  <c r="E431" i="8" s="1"/>
  <c r="G431" i="8" s="1"/>
  <c r="F430" i="8"/>
  <c r="D430" i="8"/>
  <c r="C430" i="8"/>
  <c r="E430" i="8" s="1"/>
  <c r="G430" i="8" s="1"/>
  <c r="F429" i="8"/>
  <c r="D429" i="8"/>
  <c r="C429" i="8"/>
  <c r="E429" i="8" s="1"/>
  <c r="G429" i="8" s="1"/>
  <c r="G428" i="8"/>
  <c r="F428" i="8"/>
  <c r="E428" i="8"/>
  <c r="D428" i="8"/>
  <c r="C428" i="8"/>
  <c r="F427" i="8"/>
  <c r="D427" i="8"/>
  <c r="E427" i="8" s="1"/>
  <c r="G427" i="8" s="1"/>
  <c r="C427" i="8"/>
  <c r="F426" i="8"/>
  <c r="D426" i="8"/>
  <c r="C426" i="8"/>
  <c r="E426" i="8" s="1"/>
  <c r="G426" i="8" s="1"/>
  <c r="F425" i="8"/>
  <c r="D425" i="8"/>
  <c r="E425" i="8" s="1"/>
  <c r="G425" i="8" s="1"/>
  <c r="C425" i="8"/>
  <c r="F424" i="8"/>
  <c r="D424" i="8"/>
  <c r="C424" i="8"/>
  <c r="E424" i="8" s="1"/>
  <c r="G424" i="8" s="1"/>
  <c r="F423" i="8"/>
  <c r="D423" i="8"/>
  <c r="E423" i="8" s="1"/>
  <c r="G423" i="8" s="1"/>
  <c r="C423" i="8"/>
  <c r="G422" i="8"/>
  <c r="F422" i="8"/>
  <c r="D422" i="8"/>
  <c r="C422" i="8"/>
  <c r="E422" i="8" s="1"/>
  <c r="F421" i="8"/>
  <c r="D421" i="8"/>
  <c r="C421" i="8"/>
  <c r="E421" i="8" s="1"/>
  <c r="G421" i="8" s="1"/>
  <c r="G420" i="8"/>
  <c r="F420" i="8"/>
  <c r="E420" i="8"/>
  <c r="D420" i="8"/>
  <c r="C420" i="8"/>
  <c r="F419" i="8"/>
  <c r="D419" i="8"/>
  <c r="E419" i="8" s="1"/>
  <c r="G419" i="8" s="1"/>
  <c r="C419" i="8"/>
  <c r="F418" i="8"/>
  <c r="D418" i="8"/>
  <c r="C418" i="8"/>
  <c r="E418" i="8" s="1"/>
  <c r="G418" i="8" s="1"/>
  <c r="F417" i="8"/>
  <c r="D417" i="8"/>
  <c r="E417" i="8" s="1"/>
  <c r="G417" i="8" s="1"/>
  <c r="C417" i="8"/>
  <c r="F416" i="8"/>
  <c r="D416" i="8"/>
  <c r="C416" i="8"/>
  <c r="E416" i="8" s="1"/>
  <c r="G416" i="8" s="1"/>
  <c r="F415" i="8"/>
  <c r="D415" i="8"/>
  <c r="E415" i="8" s="1"/>
  <c r="G415" i="8" s="1"/>
  <c r="C415" i="8"/>
  <c r="G414" i="8"/>
  <c r="F414" i="8"/>
  <c r="D414" i="8"/>
  <c r="C414" i="8"/>
  <c r="E414" i="8" s="1"/>
  <c r="F413" i="8"/>
  <c r="D413" i="8"/>
  <c r="C413" i="8"/>
  <c r="E413" i="8" s="1"/>
  <c r="G413" i="8" s="1"/>
  <c r="G412" i="8"/>
  <c r="F412" i="8"/>
  <c r="E412" i="8"/>
  <c r="D412" i="8"/>
  <c r="C412" i="8"/>
  <c r="F411" i="8"/>
  <c r="D411" i="8"/>
  <c r="E411" i="8" s="1"/>
  <c r="G411" i="8" s="1"/>
  <c r="C411" i="8"/>
  <c r="F410" i="8"/>
  <c r="D410" i="8"/>
  <c r="C410" i="8"/>
  <c r="E410" i="8" s="1"/>
  <c r="G410" i="8" s="1"/>
  <c r="F409" i="8"/>
  <c r="D409" i="8"/>
  <c r="E409" i="8" s="1"/>
  <c r="G409" i="8" s="1"/>
  <c r="C409" i="8"/>
  <c r="F408" i="8"/>
  <c r="D408" i="8"/>
  <c r="C408" i="8"/>
  <c r="E408" i="8" s="1"/>
  <c r="G408" i="8" s="1"/>
  <c r="F407" i="8"/>
  <c r="D407" i="8"/>
  <c r="E407" i="8" s="1"/>
  <c r="G407" i="8" s="1"/>
  <c r="C407" i="8"/>
  <c r="F406" i="8"/>
  <c r="D406" i="8"/>
  <c r="C406" i="8"/>
  <c r="E406" i="8" s="1"/>
  <c r="G406" i="8" s="1"/>
  <c r="F405" i="8"/>
  <c r="D405" i="8"/>
  <c r="C405" i="8"/>
  <c r="E405" i="8" s="1"/>
  <c r="G405" i="8" s="1"/>
  <c r="G404" i="8"/>
  <c r="F404" i="8"/>
  <c r="E404" i="8"/>
  <c r="D404" i="8"/>
  <c r="C404" i="8"/>
  <c r="F403" i="8"/>
  <c r="D403" i="8"/>
  <c r="E403" i="8" s="1"/>
  <c r="G403" i="8" s="1"/>
  <c r="C403" i="8"/>
  <c r="F402" i="8"/>
  <c r="D402" i="8"/>
  <c r="C402" i="8"/>
  <c r="E402" i="8" s="1"/>
  <c r="G402" i="8" s="1"/>
  <c r="F401" i="8"/>
  <c r="D401" i="8"/>
  <c r="E401" i="8" s="1"/>
  <c r="G401" i="8" s="1"/>
  <c r="C401" i="8"/>
  <c r="F400" i="8"/>
  <c r="D400" i="8"/>
  <c r="C400" i="8"/>
  <c r="E400" i="8" s="1"/>
  <c r="G400" i="8" s="1"/>
  <c r="F399" i="8"/>
  <c r="D399" i="8"/>
  <c r="C399" i="8"/>
  <c r="E399" i="8" s="1"/>
  <c r="G399" i="8" s="1"/>
  <c r="G398" i="8"/>
  <c r="F398" i="8"/>
  <c r="D398" i="8"/>
  <c r="C398" i="8"/>
  <c r="E398" i="8" s="1"/>
  <c r="F397" i="8"/>
  <c r="D397" i="8"/>
  <c r="C397" i="8"/>
  <c r="E397" i="8" s="1"/>
  <c r="G397" i="8" s="1"/>
  <c r="G396" i="8"/>
  <c r="F396" i="8"/>
  <c r="E396" i="8"/>
  <c r="D396" i="8"/>
  <c r="C396" i="8"/>
  <c r="F395" i="8"/>
  <c r="D395" i="8"/>
  <c r="E395" i="8" s="1"/>
  <c r="G395" i="8" s="1"/>
  <c r="C395" i="8"/>
  <c r="F394" i="8"/>
  <c r="D394" i="8"/>
  <c r="C394" i="8"/>
  <c r="E394" i="8" s="1"/>
  <c r="G394" i="8" s="1"/>
  <c r="F393" i="8"/>
  <c r="D393" i="8"/>
  <c r="E393" i="8" s="1"/>
  <c r="G393" i="8" s="1"/>
  <c r="C393" i="8"/>
  <c r="F392" i="8"/>
  <c r="D392" i="8"/>
  <c r="C392" i="8"/>
  <c r="E392" i="8" s="1"/>
  <c r="G392" i="8" s="1"/>
  <c r="F391" i="8"/>
  <c r="D391" i="8"/>
  <c r="E391" i="8" s="1"/>
  <c r="G391" i="8" s="1"/>
  <c r="C391" i="8"/>
  <c r="G390" i="8"/>
  <c r="F390" i="8"/>
  <c r="D390" i="8"/>
  <c r="C390" i="8"/>
  <c r="E390" i="8" s="1"/>
  <c r="F389" i="8"/>
  <c r="D389" i="8"/>
  <c r="C389" i="8"/>
  <c r="E389" i="8" s="1"/>
  <c r="G389" i="8" s="1"/>
  <c r="G388" i="8"/>
  <c r="F388" i="8"/>
  <c r="E388" i="8"/>
  <c r="D388" i="8"/>
  <c r="C388" i="8"/>
  <c r="F387" i="8"/>
  <c r="D387" i="8"/>
  <c r="E387" i="8" s="1"/>
  <c r="G387" i="8" s="1"/>
  <c r="C387" i="8"/>
  <c r="F386" i="8"/>
  <c r="D386" i="8"/>
  <c r="C386" i="8"/>
  <c r="E386" i="8" s="1"/>
  <c r="G386" i="8" s="1"/>
  <c r="F385" i="8"/>
  <c r="D385" i="8"/>
  <c r="E385" i="8" s="1"/>
  <c r="G385" i="8" s="1"/>
  <c r="C385" i="8"/>
  <c r="F384" i="8"/>
  <c r="D384" i="8"/>
  <c r="C384" i="8"/>
  <c r="E384" i="8" s="1"/>
  <c r="G384" i="8" s="1"/>
  <c r="F383" i="8"/>
  <c r="D383" i="8"/>
  <c r="C383" i="8"/>
  <c r="E383" i="8" s="1"/>
  <c r="G383" i="8" s="1"/>
  <c r="F382" i="8"/>
  <c r="D382" i="8"/>
  <c r="C382" i="8"/>
  <c r="E382" i="8" s="1"/>
  <c r="G382" i="8" s="1"/>
  <c r="F381" i="8"/>
  <c r="D381" i="8"/>
  <c r="C381" i="8"/>
  <c r="E381" i="8" s="1"/>
  <c r="G381" i="8" s="1"/>
  <c r="G380" i="8"/>
  <c r="F380" i="8"/>
  <c r="E380" i="8"/>
  <c r="D380" i="8"/>
  <c r="C380" i="8"/>
  <c r="F379" i="8"/>
  <c r="D379" i="8"/>
  <c r="E379" i="8" s="1"/>
  <c r="G379" i="8" s="1"/>
  <c r="C379" i="8"/>
  <c r="F378" i="8"/>
  <c r="D378" i="8"/>
  <c r="C378" i="8"/>
  <c r="E378" i="8" s="1"/>
  <c r="G378" i="8" s="1"/>
  <c r="F377" i="8"/>
  <c r="D377" i="8"/>
  <c r="E377" i="8" s="1"/>
  <c r="G377" i="8" s="1"/>
  <c r="C377" i="8"/>
  <c r="F376" i="8"/>
  <c r="D376" i="8"/>
  <c r="C376" i="8"/>
  <c r="E376" i="8" s="1"/>
  <c r="G376" i="8" s="1"/>
  <c r="F375" i="8"/>
  <c r="G375" i="8" s="1"/>
  <c r="E375" i="8"/>
  <c r="D375" i="8"/>
  <c r="C375" i="8"/>
  <c r="F374" i="8"/>
  <c r="D374" i="8"/>
  <c r="C374" i="8"/>
  <c r="E374" i="8" s="1"/>
  <c r="G374" i="8" s="1"/>
  <c r="F373" i="8"/>
  <c r="D373" i="8"/>
  <c r="C373" i="8"/>
  <c r="E373" i="8" s="1"/>
  <c r="G373" i="8" s="1"/>
  <c r="F372" i="8"/>
  <c r="E372" i="8"/>
  <c r="G372" i="8" s="1"/>
  <c r="D372" i="8"/>
  <c r="C372" i="8"/>
  <c r="F371" i="8"/>
  <c r="D371" i="8"/>
  <c r="E371" i="8" s="1"/>
  <c r="G371" i="8" s="1"/>
  <c r="C371" i="8"/>
  <c r="F370" i="8"/>
  <c r="D370" i="8"/>
  <c r="C370" i="8"/>
  <c r="E370" i="8" s="1"/>
  <c r="G370" i="8" s="1"/>
  <c r="F369" i="8"/>
  <c r="D369" i="8"/>
  <c r="E369" i="8" s="1"/>
  <c r="G369" i="8" s="1"/>
  <c r="C369" i="8"/>
  <c r="F368" i="8"/>
  <c r="D368" i="8"/>
  <c r="C368" i="8"/>
  <c r="F367" i="8"/>
  <c r="G367" i="8" s="1"/>
  <c r="E367" i="8"/>
  <c r="D367" i="8"/>
  <c r="C367" i="8"/>
  <c r="F366" i="8"/>
  <c r="E366" i="8"/>
  <c r="G366" i="8" s="1"/>
  <c r="D366" i="8"/>
  <c r="C366" i="8"/>
  <c r="F365" i="8"/>
  <c r="D365" i="8"/>
  <c r="C365" i="8"/>
  <c r="F364" i="8"/>
  <c r="E364" i="8"/>
  <c r="G364" i="8" s="1"/>
  <c r="D364" i="8"/>
  <c r="C364" i="8"/>
  <c r="F363" i="8"/>
  <c r="E363" i="8"/>
  <c r="G363" i="8" s="1"/>
  <c r="D363" i="8"/>
  <c r="C363" i="8"/>
  <c r="F362" i="8"/>
  <c r="D362" i="8"/>
  <c r="C362" i="8"/>
  <c r="E362" i="8" s="1"/>
  <c r="G362" i="8" s="1"/>
  <c r="G361" i="8"/>
  <c r="F361" i="8"/>
  <c r="D361" i="8"/>
  <c r="E361" i="8" s="1"/>
  <c r="C361" i="8"/>
  <c r="F360" i="8"/>
  <c r="E360" i="8"/>
  <c r="G360" i="8" s="1"/>
  <c r="D360" i="8"/>
  <c r="C360" i="8"/>
  <c r="F359" i="8"/>
  <c r="G359" i="8" s="1"/>
  <c r="E359" i="8"/>
  <c r="D359" i="8"/>
  <c r="C359" i="8"/>
  <c r="F358" i="8"/>
  <c r="D358" i="8"/>
  <c r="C358" i="8"/>
  <c r="E358" i="8" s="1"/>
  <c r="F357" i="8"/>
  <c r="D357" i="8"/>
  <c r="C357" i="8"/>
  <c r="E357" i="8" s="1"/>
  <c r="G357" i="8" s="1"/>
  <c r="F356" i="8"/>
  <c r="E356" i="8"/>
  <c r="G356" i="8" s="1"/>
  <c r="D356" i="8"/>
  <c r="C356" i="8"/>
  <c r="F355" i="8"/>
  <c r="D355" i="8"/>
  <c r="E355" i="8" s="1"/>
  <c r="C355" i="8"/>
  <c r="G354" i="8"/>
  <c r="F354" i="8"/>
  <c r="D354" i="8"/>
  <c r="C354" i="8"/>
  <c r="E354" i="8" s="1"/>
  <c r="G353" i="8"/>
  <c r="F353" i="8"/>
  <c r="D353" i="8"/>
  <c r="E353" i="8" s="1"/>
  <c r="C353" i="8"/>
  <c r="F352" i="8"/>
  <c r="D352" i="8"/>
  <c r="C352" i="8"/>
  <c r="E352" i="8" s="1"/>
  <c r="G352" i="8" s="1"/>
  <c r="F351" i="8"/>
  <c r="D351" i="8"/>
  <c r="E351" i="8" s="1"/>
  <c r="C351" i="8"/>
  <c r="F350" i="8"/>
  <c r="D350" i="8"/>
  <c r="C350" i="8"/>
  <c r="E350" i="8" s="1"/>
  <c r="G350" i="8" s="1"/>
  <c r="F349" i="8"/>
  <c r="D349" i="8"/>
  <c r="C349" i="8"/>
  <c r="E349" i="8" s="1"/>
  <c r="G349" i="8" s="1"/>
  <c r="F348" i="8"/>
  <c r="E348" i="8"/>
  <c r="G348" i="8" s="1"/>
  <c r="D348" i="8"/>
  <c r="C348" i="8"/>
  <c r="F347" i="8"/>
  <c r="D347" i="8"/>
  <c r="E347" i="8" s="1"/>
  <c r="G347" i="8" s="1"/>
  <c r="C347" i="8"/>
  <c r="F346" i="8"/>
  <c r="D346" i="8"/>
  <c r="C346" i="8"/>
  <c r="E346" i="8" s="1"/>
  <c r="G346" i="8" s="1"/>
  <c r="G345" i="8"/>
  <c r="F345" i="8"/>
  <c r="D345" i="8"/>
  <c r="E345" i="8" s="1"/>
  <c r="C345" i="8"/>
  <c r="F344" i="8"/>
  <c r="D344" i="8"/>
  <c r="C344" i="8"/>
  <c r="E344" i="8" s="1"/>
  <c r="G344" i="8" s="1"/>
  <c r="F343" i="8"/>
  <c r="D343" i="8"/>
  <c r="E343" i="8" s="1"/>
  <c r="C343" i="8"/>
  <c r="F342" i="8"/>
  <c r="D342" i="8"/>
  <c r="C342" i="8"/>
  <c r="E342" i="8" s="1"/>
  <c r="F341" i="8"/>
  <c r="D341" i="8"/>
  <c r="C341" i="8"/>
  <c r="E341" i="8" s="1"/>
  <c r="G341" i="8" s="1"/>
  <c r="F340" i="8"/>
  <c r="E340" i="8"/>
  <c r="G340" i="8" s="1"/>
  <c r="D340" i="8"/>
  <c r="C340" i="8"/>
  <c r="F339" i="8"/>
  <c r="D339" i="8"/>
  <c r="E339" i="8" s="1"/>
  <c r="G339" i="8" s="1"/>
  <c r="C339" i="8"/>
  <c r="F338" i="8"/>
  <c r="D338" i="8"/>
  <c r="C338" i="8"/>
  <c r="E338" i="8" s="1"/>
  <c r="G338" i="8" s="1"/>
  <c r="G337" i="8"/>
  <c r="F337" i="8"/>
  <c r="D337" i="8"/>
  <c r="E337" i="8" s="1"/>
  <c r="C337" i="8"/>
  <c r="F336" i="8"/>
  <c r="D336" i="8"/>
  <c r="C336" i="8"/>
  <c r="E336" i="8" s="1"/>
  <c r="G336" i="8" s="1"/>
  <c r="F335" i="8"/>
  <c r="D335" i="8"/>
  <c r="C335" i="8"/>
  <c r="E335" i="8" s="1"/>
  <c r="F334" i="8"/>
  <c r="D334" i="8"/>
  <c r="C334" i="8"/>
  <c r="E334" i="8" s="1"/>
  <c r="F333" i="8"/>
  <c r="D333" i="8"/>
  <c r="C333" i="8"/>
  <c r="E333" i="8" s="1"/>
  <c r="G333" i="8" s="1"/>
  <c r="F332" i="8"/>
  <c r="E332" i="8"/>
  <c r="G332" i="8" s="1"/>
  <c r="D332" i="8"/>
  <c r="C332" i="8"/>
  <c r="F331" i="8"/>
  <c r="D331" i="8"/>
  <c r="E331" i="8" s="1"/>
  <c r="G331" i="8" s="1"/>
  <c r="C331" i="8"/>
  <c r="F330" i="8"/>
  <c r="D330" i="8"/>
  <c r="C330" i="8"/>
  <c r="E330" i="8" s="1"/>
  <c r="G330" i="8" s="1"/>
  <c r="G329" i="8"/>
  <c r="F329" i="8"/>
  <c r="D329" i="8"/>
  <c r="E329" i="8" s="1"/>
  <c r="C329" i="8"/>
  <c r="F328" i="8"/>
  <c r="D328" i="8"/>
  <c r="C328" i="8"/>
  <c r="E328" i="8" s="1"/>
  <c r="G328" i="8" s="1"/>
  <c r="F327" i="8"/>
  <c r="D327" i="8"/>
  <c r="C327" i="8"/>
  <c r="E327" i="8" s="1"/>
  <c r="F326" i="8"/>
  <c r="D326" i="8"/>
  <c r="C326" i="8"/>
  <c r="E326" i="8" s="1"/>
  <c r="F325" i="8"/>
  <c r="D325" i="8"/>
  <c r="C325" i="8"/>
  <c r="E325" i="8" s="1"/>
  <c r="G325" i="8" s="1"/>
  <c r="F324" i="8"/>
  <c r="E324" i="8"/>
  <c r="G324" i="8" s="1"/>
  <c r="D324" i="8"/>
  <c r="C324" i="8"/>
  <c r="F323" i="8"/>
  <c r="D323" i="8"/>
  <c r="E323" i="8" s="1"/>
  <c r="C323" i="8"/>
  <c r="G322" i="8"/>
  <c r="F322" i="8"/>
  <c r="D322" i="8"/>
  <c r="C322" i="8"/>
  <c r="E322" i="8" s="1"/>
  <c r="G321" i="8"/>
  <c r="F321" i="8"/>
  <c r="D321" i="8"/>
  <c r="E321" i="8" s="1"/>
  <c r="C321" i="8"/>
  <c r="F320" i="8"/>
  <c r="D320" i="8"/>
  <c r="C320" i="8"/>
  <c r="E320" i="8" s="1"/>
  <c r="G320" i="8" s="1"/>
  <c r="F319" i="8"/>
  <c r="D319" i="8"/>
  <c r="C319" i="8"/>
  <c r="E319" i="8" s="1"/>
  <c r="F318" i="8"/>
  <c r="D318" i="8"/>
  <c r="C318" i="8"/>
  <c r="E318" i="8" s="1"/>
  <c r="G318" i="8" s="1"/>
  <c r="F317" i="8"/>
  <c r="D317" i="8"/>
  <c r="C317" i="8"/>
  <c r="E317" i="8" s="1"/>
  <c r="G317" i="8" s="1"/>
  <c r="F316" i="8"/>
  <c r="E316" i="8"/>
  <c r="G316" i="8" s="1"/>
  <c r="D316" i="8"/>
  <c r="C316" i="8"/>
  <c r="F315" i="8"/>
  <c r="D315" i="8"/>
  <c r="E315" i="8" s="1"/>
  <c r="C315" i="8"/>
  <c r="G314" i="8"/>
  <c r="F314" i="8"/>
  <c r="D314" i="8"/>
  <c r="C314" i="8"/>
  <c r="E314" i="8" s="1"/>
  <c r="G313" i="8"/>
  <c r="F313" i="8"/>
  <c r="D313" i="8"/>
  <c r="E313" i="8" s="1"/>
  <c r="C313" i="8"/>
  <c r="F312" i="8"/>
  <c r="D312" i="8"/>
  <c r="C312" i="8"/>
  <c r="E312" i="8" s="1"/>
  <c r="G312" i="8" s="1"/>
  <c r="F311" i="8"/>
  <c r="D311" i="8"/>
  <c r="C311" i="8"/>
  <c r="E311" i="8" s="1"/>
  <c r="F310" i="8"/>
  <c r="D310" i="8"/>
  <c r="C310" i="8"/>
  <c r="E310" i="8" s="1"/>
  <c r="G310" i="8" s="1"/>
  <c r="F309" i="8"/>
  <c r="D309" i="8"/>
  <c r="C309" i="8"/>
  <c r="E309" i="8" s="1"/>
  <c r="G309" i="8" s="1"/>
  <c r="F308" i="8"/>
  <c r="E308" i="8"/>
  <c r="G308" i="8" s="1"/>
  <c r="D308" i="8"/>
  <c r="C308" i="8"/>
  <c r="F307" i="8"/>
  <c r="D307" i="8"/>
  <c r="E307" i="8" s="1"/>
  <c r="C307" i="8"/>
  <c r="F306" i="8"/>
  <c r="D306" i="8"/>
  <c r="C306" i="8"/>
  <c r="E306" i="8" s="1"/>
  <c r="G306" i="8" s="1"/>
  <c r="G305" i="8"/>
  <c r="F305" i="8"/>
  <c r="D305" i="8"/>
  <c r="E305" i="8" s="1"/>
  <c r="C305" i="8"/>
  <c r="F304" i="8"/>
  <c r="D304" i="8"/>
  <c r="C304" i="8"/>
  <c r="E304" i="8" s="1"/>
  <c r="G304" i="8" s="1"/>
  <c r="F303" i="8"/>
  <c r="D303" i="8"/>
  <c r="C303" i="8"/>
  <c r="E303" i="8" s="1"/>
  <c r="F302" i="8"/>
  <c r="D302" i="8"/>
  <c r="C302" i="8"/>
  <c r="E302" i="8" s="1"/>
  <c r="F301" i="8"/>
  <c r="D301" i="8"/>
  <c r="C301" i="8"/>
  <c r="E301" i="8" s="1"/>
  <c r="G301" i="8" s="1"/>
  <c r="F300" i="8"/>
  <c r="E300" i="8"/>
  <c r="G300" i="8" s="1"/>
  <c r="D300" i="8"/>
  <c r="C300" i="8"/>
  <c r="F299" i="8"/>
  <c r="D299" i="8"/>
  <c r="E299" i="8" s="1"/>
  <c r="G299" i="8" s="1"/>
  <c r="C299" i="8"/>
  <c r="F298" i="8"/>
  <c r="D298" i="8"/>
  <c r="C298" i="8"/>
  <c r="E298" i="8" s="1"/>
  <c r="G298" i="8" s="1"/>
  <c r="G297" i="8"/>
  <c r="F297" i="8"/>
  <c r="D297" i="8"/>
  <c r="E297" i="8" s="1"/>
  <c r="C297" i="8"/>
  <c r="F296" i="8"/>
  <c r="D296" i="8"/>
  <c r="C296" i="8"/>
  <c r="E296" i="8" s="1"/>
  <c r="G296" i="8" s="1"/>
  <c r="F295" i="8"/>
  <c r="D295" i="8"/>
  <c r="C295" i="8"/>
  <c r="F294" i="8"/>
  <c r="D294" i="8"/>
  <c r="C294" i="8"/>
  <c r="E294" i="8" s="1"/>
  <c r="G294" i="8" s="1"/>
  <c r="F293" i="8"/>
  <c r="D293" i="8"/>
  <c r="C293" i="8"/>
  <c r="F292" i="8"/>
  <c r="D292" i="8"/>
  <c r="C292" i="8"/>
  <c r="E292" i="8" s="1"/>
  <c r="G292" i="8" s="1"/>
  <c r="F291" i="8"/>
  <c r="D291" i="8"/>
  <c r="C291" i="8"/>
  <c r="E291" i="8" s="1"/>
  <c r="G291" i="8" s="1"/>
  <c r="F290" i="8"/>
  <c r="E290" i="8"/>
  <c r="G290" i="8" s="1"/>
  <c r="D290" i="8"/>
  <c r="C290" i="8"/>
  <c r="F289" i="8"/>
  <c r="E289" i="8"/>
  <c r="G289" i="8" s="1"/>
  <c r="D289" i="8"/>
  <c r="C289" i="8"/>
  <c r="F288" i="8"/>
  <c r="D288" i="8"/>
  <c r="E288" i="8" s="1"/>
  <c r="G288" i="8" s="1"/>
  <c r="C288" i="8"/>
  <c r="F287" i="8"/>
  <c r="D287" i="8"/>
  <c r="C287" i="8"/>
  <c r="E287" i="8" s="1"/>
  <c r="G287" i="8" s="1"/>
  <c r="F286" i="8"/>
  <c r="D286" i="8"/>
  <c r="C286" i="8"/>
  <c r="E286" i="8" s="1"/>
  <c r="G286" i="8" s="1"/>
  <c r="F285" i="8"/>
  <c r="E285" i="8"/>
  <c r="G285" i="8" s="1"/>
  <c r="D285" i="8"/>
  <c r="C285" i="8"/>
  <c r="F284" i="8"/>
  <c r="E284" i="8"/>
  <c r="G284" i="8" s="1"/>
  <c r="D284" i="8"/>
  <c r="C284" i="8"/>
  <c r="F283" i="8"/>
  <c r="D283" i="8"/>
  <c r="E283" i="8" s="1"/>
  <c r="G283" i="8" s="1"/>
  <c r="C283" i="8"/>
  <c r="F282" i="8"/>
  <c r="D282" i="8"/>
  <c r="C282" i="8"/>
  <c r="F281" i="8"/>
  <c r="D281" i="8"/>
  <c r="C281" i="8"/>
  <c r="F280" i="8"/>
  <c r="E280" i="8"/>
  <c r="D280" i="8"/>
  <c r="C280" i="8"/>
  <c r="F279" i="8"/>
  <c r="D279" i="8"/>
  <c r="C279" i="8"/>
  <c r="E279" i="8" s="1"/>
  <c r="G279" i="8" s="1"/>
  <c r="G278" i="8"/>
  <c r="F278" i="8"/>
  <c r="D278" i="8"/>
  <c r="C278" i="8"/>
  <c r="E278" i="8" s="1"/>
  <c r="F277" i="8"/>
  <c r="E277" i="8"/>
  <c r="G277" i="8" s="1"/>
  <c r="D277" i="8"/>
  <c r="C277" i="8"/>
  <c r="F276" i="8"/>
  <c r="E276" i="8"/>
  <c r="G276" i="8" s="1"/>
  <c r="D276" i="8"/>
  <c r="C276" i="8"/>
  <c r="G275" i="8"/>
  <c r="F275" i="8"/>
  <c r="D275" i="8"/>
  <c r="E275" i="8" s="1"/>
  <c r="C275" i="8"/>
  <c r="G274" i="8"/>
  <c r="F274" i="8"/>
  <c r="D274" i="8"/>
  <c r="C274" i="8"/>
  <c r="E274" i="8" s="1"/>
  <c r="F273" i="8"/>
  <c r="D273" i="8"/>
  <c r="C273" i="8"/>
  <c r="F272" i="8"/>
  <c r="E272" i="8"/>
  <c r="D272" i="8"/>
  <c r="C272" i="8"/>
  <c r="F271" i="8"/>
  <c r="D271" i="8"/>
  <c r="C271" i="8"/>
  <c r="E271" i="8" s="1"/>
  <c r="G271" i="8" s="1"/>
  <c r="F270" i="8"/>
  <c r="D270" i="8"/>
  <c r="C270" i="8"/>
  <c r="E270" i="8" s="1"/>
  <c r="G270" i="8" s="1"/>
  <c r="F269" i="8"/>
  <c r="D269" i="8"/>
  <c r="E269" i="8" s="1"/>
  <c r="G269" i="8" s="1"/>
  <c r="C269" i="8"/>
  <c r="F268" i="8"/>
  <c r="E268" i="8"/>
  <c r="G268" i="8" s="1"/>
  <c r="D268" i="8"/>
  <c r="C268" i="8"/>
  <c r="F267" i="8"/>
  <c r="D267" i="8"/>
  <c r="E267" i="8" s="1"/>
  <c r="G267" i="8" s="1"/>
  <c r="C267" i="8"/>
  <c r="F266" i="8"/>
  <c r="D266" i="8"/>
  <c r="C266" i="8"/>
  <c r="E266" i="8" s="1"/>
  <c r="G266" i="8" s="1"/>
  <c r="F265" i="8"/>
  <c r="D265" i="8"/>
  <c r="C265" i="8"/>
  <c r="E265" i="8" s="1"/>
  <c r="G265" i="8" s="1"/>
  <c r="F264" i="8"/>
  <c r="E264" i="8"/>
  <c r="D264" i="8"/>
  <c r="C264" i="8"/>
  <c r="F263" i="8"/>
  <c r="D263" i="8"/>
  <c r="C263" i="8"/>
  <c r="E263" i="8" s="1"/>
  <c r="F262" i="8"/>
  <c r="D262" i="8"/>
  <c r="C262" i="8"/>
  <c r="E262" i="8" s="1"/>
  <c r="G262" i="8" s="1"/>
  <c r="F261" i="8"/>
  <c r="E261" i="8"/>
  <c r="G261" i="8" s="1"/>
  <c r="D261" i="8"/>
  <c r="C261" i="8"/>
  <c r="F260" i="8"/>
  <c r="E260" i="8"/>
  <c r="G260" i="8" s="1"/>
  <c r="D260" i="8"/>
  <c r="C260" i="8"/>
  <c r="F259" i="8"/>
  <c r="G259" i="8" s="1"/>
  <c r="D259" i="8"/>
  <c r="E259" i="8" s="1"/>
  <c r="C259" i="8"/>
  <c r="G258" i="8"/>
  <c r="F258" i="8"/>
  <c r="D258" i="8"/>
  <c r="C258" i="8"/>
  <c r="E258" i="8" s="1"/>
  <c r="F257" i="8"/>
  <c r="D257" i="8"/>
  <c r="C257" i="8"/>
  <c r="F256" i="8"/>
  <c r="E256" i="8"/>
  <c r="G256" i="8" s="1"/>
  <c r="D256" i="8"/>
  <c r="C256" i="8"/>
  <c r="F255" i="8"/>
  <c r="D255" i="8"/>
  <c r="C255" i="8"/>
  <c r="E255" i="8" s="1"/>
  <c r="F254" i="8"/>
  <c r="D254" i="8"/>
  <c r="C254" i="8"/>
  <c r="E254" i="8" s="1"/>
  <c r="G254" i="8" s="1"/>
  <c r="F253" i="8"/>
  <c r="E253" i="8"/>
  <c r="G253" i="8" s="1"/>
  <c r="D253" i="8"/>
  <c r="C253" i="8"/>
  <c r="F252" i="8"/>
  <c r="E252" i="8"/>
  <c r="G252" i="8" s="1"/>
  <c r="D252" i="8"/>
  <c r="C252" i="8"/>
  <c r="F251" i="8"/>
  <c r="D251" i="8"/>
  <c r="E251" i="8" s="1"/>
  <c r="G251" i="8" s="1"/>
  <c r="C251" i="8"/>
  <c r="F250" i="8"/>
  <c r="D250" i="8"/>
  <c r="C250" i="8"/>
  <c r="F249" i="8"/>
  <c r="D249" i="8"/>
  <c r="C249" i="8"/>
  <c r="F248" i="8"/>
  <c r="E248" i="8"/>
  <c r="D248" i="8"/>
  <c r="C248" i="8"/>
  <c r="F247" i="8"/>
  <c r="D247" i="8"/>
  <c r="C247" i="8"/>
  <c r="E247" i="8" s="1"/>
  <c r="G247" i="8" s="1"/>
  <c r="G246" i="8"/>
  <c r="F246" i="8"/>
  <c r="D246" i="8"/>
  <c r="C246" i="8"/>
  <c r="E246" i="8" s="1"/>
  <c r="F245" i="8"/>
  <c r="E245" i="8"/>
  <c r="G245" i="8" s="1"/>
  <c r="D245" i="8"/>
  <c r="C245" i="8"/>
  <c r="F244" i="8"/>
  <c r="E244" i="8"/>
  <c r="G244" i="8" s="1"/>
  <c r="D244" i="8"/>
  <c r="C244" i="8"/>
  <c r="G243" i="8"/>
  <c r="F243" i="8"/>
  <c r="D243" i="8"/>
  <c r="E243" i="8" s="1"/>
  <c r="C243" i="8"/>
  <c r="F242" i="8"/>
  <c r="D242" i="8"/>
  <c r="C242" i="8"/>
  <c r="E242" i="8" s="1"/>
  <c r="G242" i="8" s="1"/>
  <c r="F241" i="8"/>
  <c r="D241" i="8"/>
  <c r="C241" i="8"/>
  <c r="E241" i="8" s="1"/>
  <c r="G241" i="8" s="1"/>
  <c r="F240" i="8"/>
  <c r="G240" i="8" s="1"/>
  <c r="E240" i="8"/>
  <c r="D240" i="8"/>
  <c r="C240" i="8"/>
  <c r="F239" i="8"/>
  <c r="D239" i="8"/>
  <c r="C239" i="8"/>
  <c r="E239" i="8" s="1"/>
  <c r="G239" i="8" s="1"/>
  <c r="G238" i="8"/>
  <c r="F238" i="8"/>
  <c r="D238" i="8"/>
  <c r="C238" i="8"/>
  <c r="E238" i="8" s="1"/>
  <c r="F237" i="8"/>
  <c r="E237" i="8"/>
  <c r="D237" i="8"/>
  <c r="C237" i="8"/>
  <c r="F236" i="8"/>
  <c r="E236" i="8"/>
  <c r="G236" i="8" s="1"/>
  <c r="D236" i="8"/>
  <c r="C236" i="8"/>
  <c r="G235" i="8"/>
  <c r="F235" i="8"/>
  <c r="D235" i="8"/>
  <c r="E235" i="8" s="1"/>
  <c r="C235" i="8"/>
  <c r="F234" i="8"/>
  <c r="D234" i="8"/>
  <c r="C234" i="8"/>
  <c r="E234" i="8" s="1"/>
  <c r="G234" i="8" s="1"/>
  <c r="F233" i="8"/>
  <c r="D233" i="8"/>
  <c r="C233" i="8"/>
  <c r="E233" i="8" s="1"/>
  <c r="G233" i="8" s="1"/>
  <c r="F232" i="8"/>
  <c r="G232" i="8" s="1"/>
  <c r="E232" i="8"/>
  <c r="D232" i="8"/>
  <c r="C232" i="8"/>
  <c r="F231" i="8"/>
  <c r="D231" i="8"/>
  <c r="C231" i="8"/>
  <c r="E231" i="8" s="1"/>
  <c r="G231" i="8" s="1"/>
  <c r="G230" i="8"/>
  <c r="F230" i="8"/>
  <c r="D230" i="8"/>
  <c r="C230" i="8"/>
  <c r="E230" i="8" s="1"/>
  <c r="F229" i="8"/>
  <c r="E229" i="8"/>
  <c r="D229" i="8"/>
  <c r="C229" i="8"/>
  <c r="F228" i="8"/>
  <c r="E228" i="8"/>
  <c r="G228" i="8" s="1"/>
  <c r="D228" i="8"/>
  <c r="C228" i="8"/>
  <c r="G227" i="8"/>
  <c r="F227" i="8"/>
  <c r="D227" i="8"/>
  <c r="E227" i="8" s="1"/>
  <c r="C227" i="8"/>
  <c r="F226" i="8"/>
  <c r="D226" i="8"/>
  <c r="C226" i="8"/>
  <c r="E226" i="8" s="1"/>
  <c r="G226" i="8" s="1"/>
  <c r="F225" i="8"/>
  <c r="D225" i="8"/>
  <c r="C225" i="8"/>
  <c r="E225" i="8" s="1"/>
  <c r="G225" i="8" s="1"/>
  <c r="F224" i="8"/>
  <c r="G224" i="8" s="1"/>
  <c r="E224" i="8"/>
  <c r="D224" i="8"/>
  <c r="C224" i="8"/>
  <c r="F223" i="8"/>
  <c r="D223" i="8"/>
  <c r="C223" i="8"/>
  <c r="E223" i="8" s="1"/>
  <c r="G223" i="8" s="1"/>
  <c r="G222" i="8"/>
  <c r="F222" i="8"/>
  <c r="D222" i="8"/>
  <c r="C222" i="8"/>
  <c r="E222" i="8" s="1"/>
  <c r="F221" i="8"/>
  <c r="E221" i="8"/>
  <c r="D221" i="8"/>
  <c r="C221" i="8"/>
  <c r="F220" i="8"/>
  <c r="E220" i="8"/>
  <c r="G220" i="8" s="1"/>
  <c r="D220" i="8"/>
  <c r="C220" i="8"/>
  <c r="G219" i="8"/>
  <c r="F219" i="8"/>
  <c r="D219" i="8"/>
  <c r="E219" i="8" s="1"/>
  <c r="C219" i="8"/>
  <c r="F218" i="8"/>
  <c r="D218" i="8"/>
  <c r="C218" i="8"/>
  <c r="E218" i="8" s="1"/>
  <c r="G218" i="8" s="1"/>
  <c r="F217" i="8"/>
  <c r="D217" i="8"/>
  <c r="C217" i="8"/>
  <c r="E217" i="8" s="1"/>
  <c r="G217" i="8" s="1"/>
  <c r="F216" i="8"/>
  <c r="D216" i="8"/>
  <c r="C216" i="8"/>
  <c r="E216" i="8" s="1"/>
  <c r="G216" i="8" s="1"/>
  <c r="F215" i="8"/>
  <c r="D215" i="8"/>
  <c r="C215" i="8"/>
  <c r="F214" i="8"/>
  <c r="D214" i="8"/>
  <c r="C214" i="8"/>
  <c r="E214" i="8" s="1"/>
  <c r="G214" i="8" s="1"/>
  <c r="F213" i="8"/>
  <c r="D213" i="8"/>
  <c r="E213" i="8" s="1"/>
  <c r="G213" i="8" s="1"/>
  <c r="C213" i="8"/>
  <c r="F212" i="8"/>
  <c r="D212" i="8"/>
  <c r="C212" i="8"/>
  <c r="E212" i="8" s="1"/>
  <c r="G212" i="8" s="1"/>
  <c r="F211" i="8"/>
  <c r="G211" i="8" s="1"/>
  <c r="D211" i="8"/>
  <c r="E211" i="8" s="1"/>
  <c r="C211" i="8"/>
  <c r="F210" i="8"/>
  <c r="D210" i="8"/>
  <c r="C210" i="8"/>
  <c r="F209" i="8"/>
  <c r="D209" i="8"/>
  <c r="C209" i="8"/>
  <c r="E209" i="8" s="1"/>
  <c r="G208" i="8"/>
  <c r="F208" i="8"/>
  <c r="D208" i="8"/>
  <c r="C208" i="8"/>
  <c r="E208" i="8" s="1"/>
  <c r="F207" i="8"/>
  <c r="D207" i="8"/>
  <c r="C207" i="8"/>
  <c r="E207" i="8" s="1"/>
  <c r="G207" i="8" s="1"/>
  <c r="F206" i="8"/>
  <c r="E206" i="8"/>
  <c r="G206" i="8" s="1"/>
  <c r="D206" i="8"/>
  <c r="C206" i="8"/>
  <c r="F205" i="8"/>
  <c r="E205" i="8"/>
  <c r="G205" i="8" s="1"/>
  <c r="D205" i="8"/>
  <c r="C205" i="8"/>
  <c r="G204" i="8"/>
  <c r="F204" i="8"/>
  <c r="E204" i="8"/>
  <c r="D204" i="8"/>
  <c r="C204" i="8"/>
  <c r="G203" i="8"/>
  <c r="F203" i="8"/>
  <c r="D203" i="8"/>
  <c r="E203" i="8" s="1"/>
  <c r="C203" i="8"/>
  <c r="F202" i="8"/>
  <c r="D202" i="8"/>
  <c r="C202" i="8"/>
  <c r="E202" i="8" s="1"/>
  <c r="G202" i="8" s="1"/>
  <c r="F201" i="8"/>
  <c r="D201" i="8"/>
  <c r="C201" i="8"/>
  <c r="E201" i="8" s="1"/>
  <c r="G201" i="8" s="1"/>
  <c r="F200" i="8"/>
  <c r="D200" i="8"/>
  <c r="C200" i="8"/>
  <c r="E200" i="8" s="1"/>
  <c r="G200" i="8" s="1"/>
  <c r="F199" i="8"/>
  <c r="D199" i="8"/>
  <c r="C199" i="8"/>
  <c r="E199" i="8" s="1"/>
  <c r="G199" i="8" s="1"/>
  <c r="F198" i="8"/>
  <c r="D198" i="8"/>
  <c r="C198" i="8"/>
  <c r="E198" i="8" s="1"/>
  <c r="G198" i="8" s="1"/>
  <c r="F197" i="8"/>
  <c r="D197" i="8"/>
  <c r="E197" i="8" s="1"/>
  <c r="G197" i="8" s="1"/>
  <c r="C197" i="8"/>
  <c r="F196" i="8"/>
  <c r="D196" i="8"/>
  <c r="C196" i="8"/>
  <c r="E196" i="8" s="1"/>
  <c r="G196" i="8" s="1"/>
  <c r="F195" i="8"/>
  <c r="G195" i="8" s="1"/>
  <c r="D195" i="8"/>
  <c r="E195" i="8" s="1"/>
  <c r="C195" i="8"/>
  <c r="G194" i="8"/>
  <c r="F194" i="8"/>
  <c r="D194" i="8"/>
  <c r="C194" i="8"/>
  <c r="E194" i="8" s="1"/>
  <c r="F193" i="8"/>
  <c r="D193" i="8"/>
  <c r="C193" i="8"/>
  <c r="E193" i="8" s="1"/>
  <c r="G192" i="8"/>
  <c r="F192" i="8"/>
  <c r="D192" i="8"/>
  <c r="C192" i="8"/>
  <c r="E192" i="8" s="1"/>
  <c r="F191" i="8"/>
  <c r="D191" i="8"/>
  <c r="C191" i="8"/>
  <c r="E191" i="8" s="1"/>
  <c r="G191" i="8" s="1"/>
  <c r="F190" i="8"/>
  <c r="E190" i="8"/>
  <c r="G190" i="8" s="1"/>
  <c r="D190" i="8"/>
  <c r="C190" i="8"/>
  <c r="F189" i="8"/>
  <c r="E189" i="8"/>
  <c r="G189" i="8" s="1"/>
  <c r="D189" i="8"/>
  <c r="C189" i="8"/>
  <c r="G188" i="8"/>
  <c r="F188" i="8"/>
  <c r="E188" i="8"/>
  <c r="D188" i="8"/>
  <c r="C188" i="8"/>
  <c r="G187" i="8"/>
  <c r="F187" i="8"/>
  <c r="D187" i="8"/>
  <c r="C187" i="8"/>
  <c r="E187" i="8" s="1"/>
  <c r="F186" i="8"/>
  <c r="D186" i="8"/>
  <c r="C186" i="8"/>
  <c r="E186" i="8" s="1"/>
  <c r="G186" i="8" s="1"/>
  <c r="F185" i="8"/>
  <c r="D185" i="8"/>
  <c r="C185" i="8"/>
  <c r="E185" i="8" s="1"/>
  <c r="G185" i="8" s="1"/>
  <c r="F184" i="8"/>
  <c r="D184" i="8"/>
  <c r="C184" i="8"/>
  <c r="E184" i="8" s="1"/>
  <c r="G184" i="8" s="1"/>
  <c r="F183" i="8"/>
  <c r="D183" i="8"/>
  <c r="C183" i="8"/>
  <c r="F182" i="8"/>
  <c r="D182" i="8"/>
  <c r="C182" i="8"/>
  <c r="E182" i="8" s="1"/>
  <c r="G182" i="8" s="1"/>
  <c r="F181" i="8"/>
  <c r="D181" i="8"/>
  <c r="E181" i="8" s="1"/>
  <c r="G181" i="8" s="1"/>
  <c r="C181" i="8"/>
  <c r="F180" i="8"/>
  <c r="D180" i="8"/>
  <c r="C180" i="8"/>
  <c r="E180" i="8" s="1"/>
  <c r="G180" i="8" s="1"/>
  <c r="F179" i="8"/>
  <c r="G179" i="8" s="1"/>
  <c r="D179" i="8"/>
  <c r="C179" i="8"/>
  <c r="E179" i="8" s="1"/>
  <c r="F178" i="8"/>
  <c r="D178" i="8"/>
  <c r="C178" i="8"/>
  <c r="F177" i="8"/>
  <c r="D177" i="8"/>
  <c r="C177" i="8"/>
  <c r="E177" i="8" s="1"/>
  <c r="F176" i="8"/>
  <c r="D176" i="8"/>
  <c r="C176" i="8"/>
  <c r="E176" i="8" s="1"/>
  <c r="G176" i="8" s="1"/>
  <c r="F175" i="8"/>
  <c r="D175" i="8"/>
  <c r="C175" i="8"/>
  <c r="E175" i="8" s="1"/>
  <c r="G175" i="8" s="1"/>
  <c r="F174" i="8"/>
  <c r="E174" i="8"/>
  <c r="G174" i="8" s="1"/>
  <c r="D174" i="8"/>
  <c r="C174" i="8"/>
  <c r="F173" i="8"/>
  <c r="E173" i="8"/>
  <c r="G173" i="8" s="1"/>
  <c r="D173" i="8"/>
  <c r="C173" i="8"/>
  <c r="G172" i="8"/>
  <c r="F172" i="8"/>
  <c r="E172" i="8"/>
  <c r="D172" i="8"/>
  <c r="C172" i="8"/>
  <c r="F171" i="8"/>
  <c r="D171" i="8"/>
  <c r="C171" i="8"/>
  <c r="E171" i="8" s="1"/>
  <c r="G171" i="8" s="1"/>
  <c r="F170" i="8"/>
  <c r="D170" i="8"/>
  <c r="C170" i="8"/>
  <c r="E170" i="8" s="1"/>
  <c r="G170" i="8" s="1"/>
  <c r="F169" i="8"/>
  <c r="D169" i="8"/>
  <c r="C169" i="8"/>
  <c r="E169" i="8" s="1"/>
  <c r="G169" i="8" s="1"/>
  <c r="F168" i="8"/>
  <c r="D168" i="8"/>
  <c r="C168" i="8"/>
  <c r="E168" i="8" s="1"/>
  <c r="G168" i="8" s="1"/>
  <c r="F167" i="8"/>
  <c r="D167" i="8"/>
  <c r="C167" i="8"/>
  <c r="E167" i="8" s="1"/>
  <c r="G167" i="8" s="1"/>
  <c r="F166" i="8"/>
  <c r="D166" i="8"/>
  <c r="C166" i="8"/>
  <c r="E166" i="8" s="1"/>
  <c r="G166" i="8" s="1"/>
  <c r="F165" i="8"/>
  <c r="D165" i="8"/>
  <c r="E165" i="8" s="1"/>
  <c r="C165" i="8"/>
  <c r="F164" i="8"/>
  <c r="D164" i="8"/>
  <c r="C164" i="8"/>
  <c r="E164" i="8" s="1"/>
  <c r="G164" i="8" s="1"/>
  <c r="F163" i="8"/>
  <c r="G163" i="8" s="1"/>
  <c r="D163" i="8"/>
  <c r="C163" i="8"/>
  <c r="E163" i="8" s="1"/>
  <c r="F162" i="8"/>
  <c r="D162" i="8"/>
  <c r="C162" i="8"/>
  <c r="E162" i="8" s="1"/>
  <c r="G162" i="8" s="1"/>
  <c r="F161" i="8"/>
  <c r="D161" i="8"/>
  <c r="C161" i="8"/>
  <c r="E161" i="8" s="1"/>
  <c r="F160" i="8"/>
  <c r="D160" i="8"/>
  <c r="C160" i="8"/>
  <c r="E160" i="8" s="1"/>
  <c r="G160" i="8" s="1"/>
  <c r="F159" i="8"/>
  <c r="D159" i="8"/>
  <c r="C159" i="8"/>
  <c r="E159" i="8" s="1"/>
  <c r="G159" i="8" s="1"/>
  <c r="F158" i="8"/>
  <c r="E158" i="8"/>
  <c r="G158" i="8" s="1"/>
  <c r="D158" i="8"/>
  <c r="C158" i="8"/>
  <c r="F157" i="8"/>
  <c r="E157" i="8"/>
  <c r="G157" i="8" s="1"/>
  <c r="D157" i="8"/>
  <c r="C157" i="8"/>
  <c r="G156" i="8"/>
  <c r="F156" i="8"/>
  <c r="E156" i="8"/>
  <c r="D156" i="8"/>
  <c r="C156" i="8"/>
  <c r="G155" i="8"/>
  <c r="F155" i="8"/>
  <c r="D155" i="8"/>
  <c r="C155" i="8"/>
  <c r="E155" i="8" s="1"/>
  <c r="F154" i="8"/>
  <c r="D154" i="8"/>
  <c r="C154" i="8"/>
  <c r="E154" i="8" s="1"/>
  <c r="G154" i="8" s="1"/>
  <c r="F153" i="8"/>
  <c r="D153" i="8"/>
  <c r="C153" i="8"/>
  <c r="E153" i="8" s="1"/>
  <c r="G153" i="8" s="1"/>
  <c r="F152" i="8"/>
  <c r="D152" i="8"/>
  <c r="C152" i="8"/>
  <c r="E152" i="8" s="1"/>
  <c r="G152" i="8" s="1"/>
  <c r="F151" i="8"/>
  <c r="D151" i="8"/>
  <c r="C151" i="8"/>
  <c r="E151" i="8" s="1"/>
  <c r="G151" i="8" s="1"/>
  <c r="F150" i="8"/>
  <c r="D150" i="8"/>
  <c r="C150" i="8"/>
  <c r="E150" i="8" s="1"/>
  <c r="G150" i="8" s="1"/>
  <c r="F149" i="8"/>
  <c r="D149" i="8"/>
  <c r="E149" i="8" s="1"/>
  <c r="G149" i="8" s="1"/>
  <c r="C149" i="8"/>
  <c r="F148" i="8"/>
  <c r="D148" i="8"/>
  <c r="C148" i="8"/>
  <c r="E148" i="8" s="1"/>
  <c r="G148" i="8" s="1"/>
  <c r="F147" i="8"/>
  <c r="D147" i="8"/>
  <c r="C147" i="8"/>
  <c r="E147" i="8" s="1"/>
  <c r="G147" i="8" s="1"/>
  <c r="F146" i="8"/>
  <c r="D146" i="8"/>
  <c r="C146" i="8"/>
  <c r="E146" i="8" s="1"/>
  <c r="G146" i="8" s="1"/>
  <c r="F145" i="8"/>
  <c r="D145" i="8"/>
  <c r="C145" i="8"/>
  <c r="E145" i="8" s="1"/>
  <c r="F144" i="8"/>
  <c r="D144" i="8"/>
  <c r="C144" i="8"/>
  <c r="E144" i="8" s="1"/>
  <c r="G144" i="8" s="1"/>
  <c r="F143" i="8"/>
  <c r="D143" i="8"/>
  <c r="C143" i="8"/>
  <c r="E143" i="8" s="1"/>
  <c r="G143" i="8" s="1"/>
  <c r="F142" i="8"/>
  <c r="E142" i="8"/>
  <c r="G142" i="8" s="1"/>
  <c r="D142" i="8"/>
  <c r="C142" i="8"/>
  <c r="F141" i="8"/>
  <c r="E141" i="8"/>
  <c r="G141" i="8" s="1"/>
  <c r="D141" i="8"/>
  <c r="C141" i="8"/>
  <c r="G140" i="8"/>
  <c r="F140" i="8"/>
  <c r="E140" i="8"/>
  <c r="D140" i="8"/>
  <c r="C140" i="8"/>
  <c r="G139" i="8"/>
  <c r="F139" i="8"/>
  <c r="D139" i="8"/>
  <c r="C139" i="8"/>
  <c r="E139" i="8" s="1"/>
  <c r="F138" i="8"/>
  <c r="D138" i="8"/>
  <c r="C138" i="8"/>
  <c r="E138" i="8" s="1"/>
  <c r="G138" i="8" s="1"/>
  <c r="F137" i="8"/>
  <c r="D137" i="8"/>
  <c r="C137" i="8"/>
  <c r="E137" i="8" s="1"/>
  <c r="G137" i="8" s="1"/>
  <c r="F136" i="8"/>
  <c r="D136" i="8"/>
  <c r="C136" i="8"/>
  <c r="E136" i="8" s="1"/>
  <c r="G136" i="8" s="1"/>
  <c r="F135" i="8"/>
  <c r="D135" i="8"/>
  <c r="C135" i="8"/>
  <c r="E135" i="8" s="1"/>
  <c r="G135" i="8" s="1"/>
  <c r="F134" i="8"/>
  <c r="D134" i="8"/>
  <c r="C134" i="8"/>
  <c r="E134" i="8" s="1"/>
  <c r="G134" i="8" s="1"/>
  <c r="F133" i="8"/>
  <c r="D133" i="8"/>
  <c r="E133" i="8" s="1"/>
  <c r="C133" i="8"/>
  <c r="F132" i="8"/>
  <c r="D132" i="8"/>
  <c r="C132" i="8"/>
  <c r="E132" i="8" s="1"/>
  <c r="G132" i="8" s="1"/>
  <c r="F131" i="8"/>
  <c r="D131" i="8"/>
  <c r="C131" i="8"/>
  <c r="E131" i="8" s="1"/>
  <c r="G131" i="8" s="1"/>
  <c r="F130" i="8"/>
  <c r="D130" i="8"/>
  <c r="C130" i="8"/>
  <c r="E130" i="8" s="1"/>
  <c r="G130" i="8" s="1"/>
  <c r="F129" i="8"/>
  <c r="D129" i="8"/>
  <c r="C129" i="8"/>
  <c r="E129" i="8" s="1"/>
  <c r="G128" i="8"/>
  <c r="F128" i="8"/>
  <c r="D128" i="8"/>
  <c r="C128" i="8"/>
  <c r="E128" i="8" s="1"/>
  <c r="F127" i="8"/>
  <c r="D127" i="8"/>
  <c r="C127" i="8"/>
  <c r="E127" i="8" s="1"/>
  <c r="G127" i="8" s="1"/>
  <c r="F126" i="8"/>
  <c r="E126" i="8"/>
  <c r="G126" i="8" s="1"/>
  <c r="D126" i="8"/>
  <c r="C126" i="8"/>
  <c r="F125" i="8"/>
  <c r="E125" i="8"/>
  <c r="G125" i="8" s="1"/>
  <c r="D125" i="8"/>
  <c r="C125" i="8"/>
  <c r="G124" i="8"/>
  <c r="F124" i="8"/>
  <c r="E124" i="8"/>
  <c r="D124" i="8"/>
  <c r="C124" i="8"/>
  <c r="G123" i="8"/>
  <c r="F123" i="8"/>
  <c r="D123" i="8"/>
  <c r="C123" i="8"/>
  <c r="E123" i="8" s="1"/>
  <c r="F122" i="8"/>
  <c r="D122" i="8"/>
  <c r="C122" i="8"/>
  <c r="E122" i="8" s="1"/>
  <c r="G122" i="8" s="1"/>
  <c r="F121" i="8"/>
  <c r="D121" i="8"/>
  <c r="C121" i="8"/>
  <c r="E121" i="8" s="1"/>
  <c r="G121" i="8" s="1"/>
  <c r="F120" i="8"/>
  <c r="D120" i="8"/>
  <c r="C120" i="8"/>
  <c r="E120" i="8" s="1"/>
  <c r="G120" i="8" s="1"/>
  <c r="F119" i="8"/>
  <c r="D119" i="8"/>
  <c r="E119" i="8" s="1"/>
  <c r="G119" i="8" s="1"/>
  <c r="C119" i="8"/>
  <c r="F118" i="8"/>
  <c r="D118" i="8"/>
  <c r="C118" i="8"/>
  <c r="E118" i="8" s="1"/>
  <c r="G118" i="8" s="1"/>
  <c r="F117" i="8"/>
  <c r="D117" i="8"/>
  <c r="E117" i="8" s="1"/>
  <c r="G117" i="8" s="1"/>
  <c r="C117" i="8"/>
  <c r="F116" i="8"/>
  <c r="E116" i="8"/>
  <c r="G116" i="8" s="1"/>
  <c r="D116" i="8"/>
  <c r="C116" i="8"/>
  <c r="F115" i="8"/>
  <c r="D115" i="8"/>
  <c r="C115" i="8"/>
  <c r="F114" i="8"/>
  <c r="D114" i="8"/>
  <c r="E114" i="8" s="1"/>
  <c r="G114" i="8" s="1"/>
  <c r="C114" i="8"/>
  <c r="F113" i="8"/>
  <c r="E113" i="8"/>
  <c r="G113" i="8" s="1"/>
  <c r="D113" i="8"/>
  <c r="C113" i="8"/>
  <c r="G112" i="8"/>
  <c r="F112" i="8"/>
  <c r="E112" i="8"/>
  <c r="D112" i="8"/>
  <c r="C112" i="8"/>
  <c r="G111" i="8"/>
  <c r="F111" i="8"/>
  <c r="D111" i="8"/>
  <c r="C111" i="8"/>
  <c r="E111" i="8" s="1"/>
  <c r="F110" i="8"/>
  <c r="D110" i="8"/>
  <c r="C110" i="8"/>
  <c r="E110" i="8" s="1"/>
  <c r="G110" i="8" s="1"/>
  <c r="F109" i="8"/>
  <c r="D109" i="8"/>
  <c r="E109" i="8" s="1"/>
  <c r="G109" i="8" s="1"/>
  <c r="C109" i="8"/>
  <c r="F108" i="8"/>
  <c r="D108" i="8"/>
  <c r="C108" i="8"/>
  <c r="E108" i="8" s="1"/>
  <c r="F107" i="8"/>
  <c r="D107" i="8"/>
  <c r="C107" i="8"/>
  <c r="E107" i="8" s="1"/>
  <c r="G107" i="8" s="1"/>
  <c r="F106" i="8"/>
  <c r="D106" i="8"/>
  <c r="C106" i="8"/>
  <c r="F105" i="8"/>
  <c r="D105" i="8"/>
  <c r="C105" i="8"/>
  <c r="E105" i="8" s="1"/>
  <c r="G105" i="8" s="1"/>
  <c r="F104" i="8"/>
  <c r="D104" i="8"/>
  <c r="E104" i="8" s="1"/>
  <c r="C104" i="8"/>
  <c r="F103" i="8"/>
  <c r="D103" i="8"/>
  <c r="C103" i="8"/>
  <c r="E103" i="8" s="1"/>
  <c r="F102" i="8"/>
  <c r="D102" i="8"/>
  <c r="C102" i="8"/>
  <c r="E102" i="8" s="1"/>
  <c r="G102" i="8" s="1"/>
  <c r="F101" i="8"/>
  <c r="E101" i="8"/>
  <c r="G101" i="8" s="1"/>
  <c r="D101" i="8"/>
  <c r="C101" i="8"/>
  <c r="F100" i="8"/>
  <c r="E100" i="8"/>
  <c r="G100" i="8" s="1"/>
  <c r="D100" i="8"/>
  <c r="C100" i="8"/>
  <c r="F99" i="8"/>
  <c r="E99" i="8"/>
  <c r="G99" i="8" s="1"/>
  <c r="D99" i="8"/>
  <c r="C99" i="8"/>
  <c r="F98" i="8"/>
  <c r="D98" i="8"/>
  <c r="C98" i="8"/>
  <c r="F97" i="8"/>
  <c r="D97" i="8"/>
  <c r="C97" i="8"/>
  <c r="F96" i="8"/>
  <c r="D96" i="8"/>
  <c r="E96" i="8" s="1"/>
  <c r="G96" i="8" s="1"/>
  <c r="C96" i="8"/>
  <c r="F95" i="8"/>
  <c r="D95" i="8"/>
  <c r="C95" i="8"/>
  <c r="E95" i="8" s="1"/>
  <c r="G95" i="8" s="1"/>
  <c r="F94" i="8"/>
  <c r="D94" i="8"/>
  <c r="C94" i="8"/>
  <c r="E94" i="8" s="1"/>
  <c r="G94" i="8" s="1"/>
  <c r="F93" i="8"/>
  <c r="E93" i="8"/>
  <c r="G93" i="8" s="1"/>
  <c r="D93" i="8"/>
  <c r="C93" i="8"/>
  <c r="F92" i="8"/>
  <c r="E92" i="8"/>
  <c r="G92" i="8" s="1"/>
  <c r="D92" i="8"/>
  <c r="C92" i="8"/>
  <c r="G91" i="8"/>
  <c r="F91" i="8"/>
  <c r="E91" i="8"/>
  <c r="D91" i="8"/>
  <c r="C91" i="8"/>
  <c r="F90" i="8"/>
  <c r="D90" i="8"/>
  <c r="C90" i="8"/>
  <c r="E90" i="8" s="1"/>
  <c r="G90" i="8" s="1"/>
  <c r="F89" i="8"/>
  <c r="D89" i="8"/>
  <c r="C89" i="8"/>
  <c r="F88" i="8"/>
  <c r="D88" i="8"/>
  <c r="E88" i="8" s="1"/>
  <c r="C88" i="8"/>
  <c r="F87" i="8"/>
  <c r="D87" i="8"/>
  <c r="C87" i="8"/>
  <c r="E87" i="8" s="1"/>
  <c r="F86" i="8"/>
  <c r="D86" i="8"/>
  <c r="C86" i="8"/>
  <c r="E86" i="8" s="1"/>
  <c r="F85" i="8"/>
  <c r="D85" i="8"/>
  <c r="C85" i="8"/>
  <c r="E85" i="8" s="1"/>
  <c r="G85" i="8" s="1"/>
  <c r="F84" i="8"/>
  <c r="E84" i="8"/>
  <c r="G84" i="8" s="1"/>
  <c r="D84" i="8"/>
  <c r="C84" i="8"/>
  <c r="F83" i="8"/>
  <c r="E83" i="8"/>
  <c r="G83" i="8" s="1"/>
  <c r="D83" i="8"/>
  <c r="C83" i="8"/>
  <c r="F82" i="8"/>
  <c r="D82" i="8"/>
  <c r="C82" i="8"/>
  <c r="F81" i="8"/>
  <c r="D81" i="8"/>
  <c r="C81" i="8"/>
  <c r="F80" i="8"/>
  <c r="D80" i="8"/>
  <c r="E80" i="8" s="1"/>
  <c r="C80" i="8"/>
  <c r="F79" i="8"/>
  <c r="D79" i="8"/>
  <c r="C79" i="8"/>
  <c r="E79" i="8" s="1"/>
  <c r="G79" i="8" s="1"/>
  <c r="F78" i="8"/>
  <c r="D78" i="8"/>
  <c r="C78" i="8"/>
  <c r="E78" i="8" s="1"/>
  <c r="F77" i="8"/>
  <c r="D77" i="8"/>
  <c r="C77" i="8"/>
  <c r="E77" i="8" s="1"/>
  <c r="G77" i="8" s="1"/>
  <c r="F76" i="8"/>
  <c r="E76" i="8"/>
  <c r="G76" i="8" s="1"/>
  <c r="D76" i="8"/>
  <c r="C76" i="8"/>
  <c r="G75" i="8"/>
  <c r="F75" i="8"/>
  <c r="E75" i="8"/>
  <c r="D75" i="8"/>
  <c r="C75" i="8"/>
  <c r="F74" i="8"/>
  <c r="D74" i="8"/>
  <c r="C74" i="8"/>
  <c r="F73" i="8"/>
  <c r="D73" i="8"/>
  <c r="C73" i="8"/>
  <c r="E73" i="8" s="1"/>
  <c r="G73" i="8" s="1"/>
  <c r="F72" i="8"/>
  <c r="D72" i="8"/>
  <c r="E72" i="8" s="1"/>
  <c r="C72" i="8"/>
  <c r="F71" i="8"/>
  <c r="D71" i="8"/>
  <c r="C71" i="8"/>
  <c r="E71" i="8" s="1"/>
  <c r="F70" i="8"/>
  <c r="D70" i="8"/>
  <c r="C70" i="8"/>
  <c r="E70" i="8" s="1"/>
  <c r="G70" i="8" s="1"/>
  <c r="F69" i="8"/>
  <c r="E69" i="8"/>
  <c r="G69" i="8" s="1"/>
  <c r="D69" i="8"/>
  <c r="C69" i="8"/>
  <c r="F68" i="8"/>
  <c r="E68" i="8"/>
  <c r="G68" i="8" s="1"/>
  <c r="D68" i="8"/>
  <c r="C68" i="8"/>
  <c r="F67" i="8"/>
  <c r="E67" i="8"/>
  <c r="G67" i="8" s="1"/>
  <c r="D67" i="8"/>
  <c r="C67" i="8"/>
  <c r="F66" i="8"/>
  <c r="D66" i="8"/>
  <c r="C66" i="8"/>
  <c r="F65" i="8"/>
  <c r="D65" i="8"/>
  <c r="C65" i="8"/>
  <c r="F64" i="8"/>
  <c r="D64" i="8"/>
  <c r="E64" i="8" s="1"/>
  <c r="G64" i="8" s="1"/>
  <c r="C64" i="8"/>
  <c r="F63" i="8"/>
  <c r="D63" i="8"/>
  <c r="C63" i="8"/>
  <c r="E63" i="8" s="1"/>
  <c r="G63" i="8" s="1"/>
  <c r="F62" i="8"/>
  <c r="D62" i="8"/>
  <c r="C62" i="8"/>
  <c r="E62" i="8" s="1"/>
  <c r="G62" i="8" s="1"/>
  <c r="F61" i="8"/>
  <c r="E61" i="8"/>
  <c r="G61" i="8" s="1"/>
  <c r="D61" i="8"/>
  <c r="C61" i="8"/>
  <c r="F60" i="8"/>
  <c r="E60" i="8"/>
  <c r="G60" i="8" s="1"/>
  <c r="D60" i="8"/>
  <c r="C60" i="8"/>
  <c r="G59" i="8"/>
  <c r="F59" i="8"/>
  <c r="E59" i="8"/>
  <c r="D59" i="8"/>
  <c r="C59" i="8"/>
  <c r="F58" i="8"/>
  <c r="D58" i="8"/>
  <c r="C58" i="8"/>
  <c r="E58" i="8" s="1"/>
  <c r="G58" i="8" s="1"/>
  <c r="F57" i="8"/>
  <c r="D57" i="8"/>
  <c r="C57" i="8"/>
  <c r="F56" i="8"/>
  <c r="D56" i="8"/>
  <c r="E56" i="8" s="1"/>
  <c r="C56" i="8"/>
  <c r="F55" i="8"/>
  <c r="D55" i="8"/>
  <c r="C55" i="8"/>
  <c r="E55" i="8" s="1"/>
  <c r="F54" i="8"/>
  <c r="D54" i="8"/>
  <c r="C54" i="8"/>
  <c r="E54" i="8" s="1"/>
  <c r="F53" i="8"/>
  <c r="D53" i="8"/>
  <c r="C53" i="8"/>
  <c r="E53" i="8" s="1"/>
  <c r="G53" i="8" s="1"/>
  <c r="F52" i="8"/>
  <c r="E52" i="8"/>
  <c r="G52" i="8" s="1"/>
  <c r="D52" i="8"/>
  <c r="C52" i="8"/>
  <c r="F51" i="8"/>
  <c r="E51" i="8"/>
  <c r="G51" i="8" s="1"/>
  <c r="D51" i="8"/>
  <c r="C51" i="8"/>
  <c r="F50" i="8"/>
  <c r="D50" i="8"/>
  <c r="C50" i="8"/>
  <c r="F49" i="8"/>
  <c r="D49" i="8"/>
  <c r="C49" i="8"/>
  <c r="F48" i="8"/>
  <c r="D48" i="8"/>
  <c r="E48" i="8" s="1"/>
  <c r="C48" i="8"/>
  <c r="F47" i="8"/>
  <c r="D47" i="8"/>
  <c r="C47" i="8"/>
  <c r="E47" i="8" s="1"/>
  <c r="G47" i="8" s="1"/>
  <c r="F46" i="8"/>
  <c r="D46" i="8"/>
  <c r="C46" i="8"/>
  <c r="E46" i="8" s="1"/>
  <c r="F45" i="8"/>
  <c r="D45" i="8"/>
  <c r="C45" i="8"/>
  <c r="E45" i="8" s="1"/>
  <c r="G45" i="8" s="1"/>
  <c r="F44" i="8"/>
  <c r="E44" i="8"/>
  <c r="G44" i="8" s="1"/>
  <c r="D44" i="8"/>
  <c r="C44" i="8"/>
  <c r="G43" i="8"/>
  <c r="F43" i="8"/>
  <c r="E43" i="8"/>
  <c r="D43" i="8"/>
  <c r="C43" i="8"/>
  <c r="F42" i="8"/>
  <c r="D42" i="8"/>
  <c r="C42" i="8"/>
  <c r="F41" i="8"/>
  <c r="D41" i="8"/>
  <c r="C41" i="8"/>
  <c r="E41" i="8" s="1"/>
  <c r="G41" i="8" s="1"/>
  <c r="F40" i="8"/>
  <c r="D40" i="8"/>
  <c r="E40" i="8" s="1"/>
  <c r="C40" i="8"/>
  <c r="F39" i="8"/>
  <c r="D39" i="8"/>
  <c r="C39" i="8"/>
  <c r="E39" i="8" s="1"/>
  <c r="F38" i="8"/>
  <c r="D38" i="8"/>
  <c r="C38" i="8"/>
  <c r="E38" i="8" s="1"/>
  <c r="G38" i="8" s="1"/>
  <c r="F37" i="8"/>
  <c r="E37" i="8"/>
  <c r="G37" i="8" s="1"/>
  <c r="D37" i="8"/>
  <c r="C37" i="8"/>
  <c r="F36" i="8"/>
  <c r="E36" i="8"/>
  <c r="G36" i="8" s="1"/>
  <c r="D36" i="8"/>
  <c r="C36" i="8"/>
  <c r="F35" i="8"/>
  <c r="E35" i="8"/>
  <c r="G35" i="8" s="1"/>
  <c r="D35" i="8"/>
  <c r="C35" i="8"/>
  <c r="F34" i="8"/>
  <c r="D34" i="8"/>
  <c r="C34" i="8"/>
  <c r="F33" i="8"/>
  <c r="D33" i="8"/>
  <c r="C33" i="8"/>
  <c r="F32" i="8"/>
  <c r="D32" i="8"/>
  <c r="E32" i="8" s="1"/>
  <c r="G32" i="8" s="1"/>
  <c r="C32" i="8"/>
  <c r="F31" i="8"/>
  <c r="D31" i="8"/>
  <c r="C31" i="8"/>
  <c r="E31" i="8" s="1"/>
  <c r="G31" i="8" s="1"/>
  <c r="F30" i="8"/>
  <c r="D30" i="8"/>
  <c r="C30" i="8"/>
  <c r="E30" i="8" s="1"/>
  <c r="G30" i="8" s="1"/>
  <c r="F29" i="8"/>
  <c r="E29" i="8"/>
  <c r="G29" i="8" s="1"/>
  <c r="D29" i="8"/>
  <c r="C29" i="8"/>
  <c r="F28" i="8"/>
  <c r="E28" i="8"/>
  <c r="G28" i="8" s="1"/>
  <c r="D28" i="8"/>
  <c r="C28" i="8"/>
  <c r="G27" i="8"/>
  <c r="F27" i="8"/>
  <c r="E27" i="8"/>
  <c r="D27" i="8"/>
  <c r="C27" i="8"/>
  <c r="F26" i="8"/>
  <c r="D26" i="8"/>
  <c r="C26" i="8"/>
  <c r="E26" i="8" s="1"/>
  <c r="G26" i="8" s="1"/>
  <c r="F25" i="8"/>
  <c r="D25" i="8"/>
  <c r="C25" i="8"/>
  <c r="F24" i="8"/>
  <c r="D24" i="8"/>
  <c r="E24" i="8" s="1"/>
  <c r="C24" i="8"/>
  <c r="F23" i="8"/>
  <c r="D23" i="8"/>
  <c r="C23" i="8"/>
  <c r="E23" i="8" s="1"/>
  <c r="F22" i="8"/>
  <c r="D22" i="8"/>
  <c r="C22" i="8"/>
  <c r="E22" i="8" s="1"/>
  <c r="F21" i="8"/>
  <c r="D21" i="8"/>
  <c r="C21" i="8"/>
  <c r="E21" i="8" s="1"/>
  <c r="G21" i="8" s="1"/>
  <c r="F20" i="8"/>
  <c r="E20" i="8"/>
  <c r="G20" i="8" s="1"/>
  <c r="D20" i="8"/>
  <c r="C20" i="8"/>
  <c r="F19" i="8"/>
  <c r="E19" i="8"/>
  <c r="G19" i="8" s="1"/>
  <c r="D19" i="8"/>
  <c r="C19" i="8"/>
  <c r="F18" i="8"/>
  <c r="D18" i="8"/>
  <c r="C18" i="8"/>
  <c r="F17" i="8"/>
  <c r="D17" i="8"/>
  <c r="C17" i="8"/>
  <c r="F16" i="8"/>
  <c r="D16" i="8"/>
  <c r="E16" i="8" s="1"/>
  <c r="C16" i="8"/>
  <c r="F15" i="8"/>
  <c r="D15" i="8"/>
  <c r="C15" i="8"/>
  <c r="E15" i="8" s="1"/>
  <c r="G15" i="8" s="1"/>
  <c r="F14" i="8"/>
  <c r="D14" i="8"/>
  <c r="C14" i="8"/>
  <c r="E14" i="8" s="1"/>
  <c r="F13" i="8"/>
  <c r="D13" i="8"/>
  <c r="C13" i="8"/>
  <c r="E13" i="8" s="1"/>
  <c r="G13" i="8" s="1"/>
  <c r="F12" i="8"/>
  <c r="E12" i="8"/>
  <c r="G12" i="8" s="1"/>
  <c r="D12" i="8"/>
  <c r="C12" i="8"/>
  <c r="G11" i="8"/>
  <c r="F11" i="8"/>
  <c r="E11" i="8"/>
  <c r="D11" i="8"/>
  <c r="C11" i="8"/>
  <c r="F10" i="8"/>
  <c r="D10" i="8"/>
  <c r="C10" i="8"/>
  <c r="F9" i="8"/>
  <c r="D9" i="8"/>
  <c r="C9" i="8"/>
  <c r="E9" i="8" s="1"/>
  <c r="G9" i="8" s="1"/>
  <c r="F8" i="8"/>
  <c r="D8" i="8"/>
  <c r="E8" i="8" s="1"/>
  <c r="C8" i="8"/>
  <c r="F7" i="8"/>
  <c r="D7" i="8"/>
  <c r="C7" i="8"/>
  <c r="E7" i="8" s="1"/>
  <c r="F6" i="8"/>
  <c r="D6" i="8"/>
  <c r="C6" i="8"/>
  <c r="E6" i="8" s="1"/>
  <c r="G6" i="8" s="1"/>
  <c r="F5" i="8"/>
  <c r="E5" i="8"/>
  <c r="G5" i="8" s="1"/>
  <c r="D5" i="8"/>
  <c r="C5" i="8"/>
  <c r="E215" i="7"/>
  <c r="D215" i="7"/>
  <c r="F215" i="7" s="1"/>
  <c r="E214" i="7"/>
  <c r="D214" i="7"/>
  <c r="F214" i="7" s="1"/>
  <c r="F213" i="7"/>
  <c r="E213" i="7"/>
  <c r="D213" i="7"/>
  <c r="F212" i="7"/>
  <c r="E212" i="7"/>
  <c r="D212" i="7"/>
  <c r="F211" i="7"/>
  <c r="E211" i="7"/>
  <c r="D211" i="7"/>
  <c r="E210" i="7"/>
  <c r="D210" i="7"/>
  <c r="F210" i="7" s="1"/>
  <c r="E209" i="7"/>
  <c r="D209" i="7"/>
  <c r="F209" i="7" s="1"/>
  <c r="E208" i="7"/>
  <c r="D208" i="7"/>
  <c r="F208" i="7" s="1"/>
  <c r="E207" i="7"/>
  <c r="D207" i="7"/>
  <c r="E206" i="7"/>
  <c r="D206" i="7"/>
  <c r="F205" i="7"/>
  <c r="E205" i="7"/>
  <c r="D205" i="7"/>
  <c r="F204" i="7"/>
  <c r="E204" i="7"/>
  <c r="D204" i="7"/>
  <c r="F203" i="7"/>
  <c r="E203" i="7"/>
  <c r="D203" i="7"/>
  <c r="E202" i="7"/>
  <c r="D202" i="7"/>
  <c r="F202" i="7" s="1"/>
  <c r="E201" i="7"/>
  <c r="D201" i="7"/>
  <c r="F201" i="7" s="1"/>
  <c r="E200" i="7"/>
  <c r="D200" i="7"/>
  <c r="F200" i="7" s="1"/>
  <c r="E199" i="7"/>
  <c r="D199" i="7"/>
  <c r="F199" i="7" s="1"/>
  <c r="E198" i="7"/>
  <c r="D198" i="7"/>
  <c r="F198" i="7" s="1"/>
  <c r="F197" i="7"/>
  <c r="E197" i="7"/>
  <c r="D197" i="7"/>
  <c r="F196" i="7"/>
  <c r="E196" i="7"/>
  <c r="D196" i="7"/>
  <c r="E195" i="7"/>
  <c r="D195" i="7"/>
  <c r="F195" i="7" s="1"/>
  <c r="E194" i="7"/>
  <c r="D194" i="7"/>
  <c r="F194" i="7" s="1"/>
  <c r="E193" i="7"/>
  <c r="D193" i="7"/>
  <c r="E192" i="7"/>
  <c r="D192" i="7"/>
  <c r="E191" i="7"/>
  <c r="D191" i="7"/>
  <c r="F191" i="7" s="1"/>
  <c r="F190" i="7"/>
  <c r="E190" i="7"/>
  <c r="D190" i="7"/>
  <c r="F189" i="7"/>
  <c r="E189" i="7"/>
  <c r="D189" i="7"/>
  <c r="E188" i="7"/>
  <c r="D188" i="7"/>
  <c r="F188" i="7" s="1"/>
  <c r="E187" i="7"/>
  <c r="D187" i="7"/>
  <c r="F187" i="7" s="1"/>
  <c r="E186" i="7"/>
  <c r="D186" i="7"/>
  <c r="F186" i="7" s="1"/>
  <c r="E185" i="7"/>
  <c r="D185" i="7"/>
  <c r="F185" i="7" s="1"/>
  <c r="E184" i="7"/>
  <c r="D184" i="7"/>
  <c r="E183" i="7"/>
  <c r="D183" i="7"/>
  <c r="F182" i="7"/>
  <c r="E182" i="7"/>
  <c r="D182" i="7"/>
  <c r="F181" i="7"/>
  <c r="E181" i="7"/>
  <c r="D181" i="7"/>
  <c r="F180" i="7"/>
  <c r="E180" i="7"/>
  <c r="D180" i="7"/>
  <c r="E179" i="7"/>
  <c r="D179" i="7"/>
  <c r="F179" i="7" s="1"/>
  <c r="E178" i="7"/>
  <c r="D178" i="7"/>
  <c r="F178" i="7" s="1"/>
  <c r="E177" i="7"/>
  <c r="D177" i="7"/>
  <c r="E176" i="7"/>
  <c r="D176" i="7"/>
  <c r="E175" i="7"/>
  <c r="D175" i="7"/>
  <c r="F175" i="7" s="1"/>
  <c r="F174" i="7"/>
  <c r="E174" i="7"/>
  <c r="D174" i="7"/>
  <c r="F173" i="7"/>
  <c r="E173" i="7"/>
  <c r="D173" i="7"/>
  <c r="E172" i="7"/>
  <c r="D172" i="7"/>
  <c r="F172" i="7" s="1"/>
  <c r="E171" i="7"/>
  <c r="D171" i="7"/>
  <c r="F171" i="7" s="1"/>
  <c r="E170" i="7"/>
  <c r="D170" i="7"/>
  <c r="F170" i="7" s="1"/>
  <c r="E169" i="7"/>
  <c r="D169" i="7"/>
  <c r="F169" i="7" s="1"/>
  <c r="E168" i="7"/>
  <c r="D168" i="7"/>
  <c r="E167" i="7"/>
  <c r="D167" i="7"/>
  <c r="F166" i="7"/>
  <c r="E166" i="7"/>
  <c r="D166" i="7"/>
  <c r="F165" i="7"/>
  <c r="E165" i="7"/>
  <c r="D165" i="7"/>
  <c r="F164" i="7"/>
  <c r="E164" i="7"/>
  <c r="D164" i="7"/>
  <c r="E163" i="7"/>
  <c r="D163" i="7"/>
  <c r="F163" i="7" s="1"/>
  <c r="E162" i="7"/>
  <c r="D162" i="7"/>
  <c r="F162" i="7" s="1"/>
  <c r="F161" i="7"/>
  <c r="E161" i="7"/>
  <c r="D161" i="7"/>
  <c r="E160" i="7"/>
  <c r="D160" i="7"/>
  <c r="F160" i="7" s="1"/>
  <c r="E159" i="7"/>
  <c r="D159" i="7"/>
  <c r="E158" i="7"/>
  <c r="F158" i="7" s="1"/>
  <c r="D158" i="7"/>
  <c r="F157" i="7"/>
  <c r="E157" i="7"/>
  <c r="D157" i="7"/>
  <c r="E156" i="7"/>
  <c r="F156" i="7" s="1"/>
  <c r="D156" i="7"/>
  <c r="F155" i="7"/>
  <c r="E155" i="7"/>
  <c r="D155" i="7"/>
  <c r="E154" i="7"/>
  <c r="D154" i="7"/>
  <c r="F154" i="7" s="1"/>
  <c r="E153" i="7"/>
  <c r="F153" i="7" s="1"/>
  <c r="D153" i="7"/>
  <c r="E152" i="7"/>
  <c r="D152" i="7"/>
  <c r="E151" i="7"/>
  <c r="D151" i="7"/>
  <c r="E150" i="7"/>
  <c r="F150" i="7" s="1"/>
  <c r="D150" i="7"/>
  <c r="F149" i="7"/>
  <c r="E149" i="7"/>
  <c r="D149" i="7"/>
  <c r="E148" i="7"/>
  <c r="D148" i="7"/>
  <c r="F148" i="7" s="1"/>
  <c r="F147" i="7"/>
  <c r="E147" i="7"/>
  <c r="D147" i="7"/>
  <c r="E146" i="7"/>
  <c r="D146" i="7"/>
  <c r="F146" i="7" s="1"/>
  <c r="E145" i="7"/>
  <c r="D145" i="7"/>
  <c r="F145" i="7" s="1"/>
  <c r="E144" i="7"/>
  <c r="D144" i="7"/>
  <c r="F144" i="7" s="1"/>
  <c r="E143" i="7"/>
  <c r="D143" i="7"/>
  <c r="F143" i="7" s="1"/>
  <c r="E142" i="7"/>
  <c r="F142" i="7" s="1"/>
  <c r="D142" i="7"/>
  <c r="F141" i="7"/>
  <c r="E141" i="7"/>
  <c r="D141" i="7"/>
  <c r="E140" i="7"/>
  <c r="D140" i="7"/>
  <c r="F140" i="7" s="1"/>
  <c r="E139" i="7"/>
  <c r="D139" i="7"/>
  <c r="F139" i="7" s="1"/>
  <c r="E138" i="7"/>
  <c r="D138" i="7"/>
  <c r="F138" i="7" s="1"/>
  <c r="E137" i="7"/>
  <c r="D137" i="7"/>
  <c r="F137" i="7" s="1"/>
  <c r="E136" i="7"/>
  <c r="D136" i="7"/>
  <c r="E135" i="7"/>
  <c r="D135" i="7"/>
  <c r="F135" i="7" s="1"/>
  <c r="F134" i="7"/>
  <c r="E134" i="7"/>
  <c r="D134" i="7"/>
  <c r="F133" i="7"/>
  <c r="E133" i="7"/>
  <c r="D133" i="7"/>
  <c r="E132" i="7"/>
  <c r="D132" i="7"/>
  <c r="F132" i="7" s="1"/>
  <c r="E131" i="7"/>
  <c r="D131" i="7"/>
  <c r="F131" i="7" s="1"/>
  <c r="E130" i="7"/>
  <c r="D130" i="7"/>
  <c r="F130" i="7" s="1"/>
  <c r="E129" i="7"/>
  <c r="D129" i="7"/>
  <c r="F129" i="7" s="1"/>
  <c r="E128" i="7"/>
  <c r="D128" i="7"/>
  <c r="F128" i="7" s="1"/>
  <c r="E127" i="7"/>
  <c r="D127" i="7"/>
  <c r="F127" i="7" s="1"/>
  <c r="E126" i="7"/>
  <c r="F126" i="7" s="1"/>
  <c r="D126" i="7"/>
  <c r="F125" i="7"/>
  <c r="E125" i="7"/>
  <c r="D125" i="7"/>
  <c r="E124" i="7"/>
  <c r="F124" i="7" s="1"/>
  <c r="D124" i="7"/>
  <c r="E123" i="7"/>
  <c r="D123" i="7"/>
  <c r="F123" i="7" s="1"/>
  <c r="E122" i="7"/>
  <c r="D122" i="7"/>
  <c r="F122" i="7" s="1"/>
  <c r="E121" i="7"/>
  <c r="D121" i="7"/>
  <c r="F121" i="7" s="1"/>
  <c r="E120" i="7"/>
  <c r="D120" i="7"/>
  <c r="E119" i="7"/>
  <c r="D119" i="7"/>
  <c r="F119" i="7" s="1"/>
  <c r="E118" i="7"/>
  <c r="F118" i="7" s="1"/>
  <c r="D118" i="7"/>
  <c r="E117" i="7"/>
  <c r="D117" i="7"/>
  <c r="E116" i="7"/>
  <c r="D116" i="7"/>
  <c r="F116" i="7" s="1"/>
  <c r="E115" i="7"/>
  <c r="D115" i="7"/>
  <c r="F115" i="7" s="1"/>
  <c r="E114" i="7"/>
  <c r="F114" i="7" s="1"/>
  <c r="D114" i="7"/>
  <c r="F113" i="7"/>
  <c r="E113" i="7"/>
  <c r="D113" i="7"/>
  <c r="E112" i="7"/>
  <c r="D112" i="7"/>
  <c r="F112" i="7" s="1"/>
  <c r="F111" i="7"/>
  <c r="E111" i="7"/>
  <c r="D111" i="7"/>
  <c r="E110" i="7"/>
  <c r="F110" i="7" s="1"/>
  <c r="D110" i="7"/>
  <c r="E109" i="7"/>
  <c r="D109" i="7"/>
  <c r="F109" i="7" s="1"/>
  <c r="E108" i="7"/>
  <c r="D108" i="7"/>
  <c r="F108" i="7" s="1"/>
  <c r="E107" i="7"/>
  <c r="D107" i="7"/>
  <c r="F107" i="7" s="1"/>
  <c r="E106" i="7"/>
  <c r="F106" i="7" s="1"/>
  <c r="D106" i="7"/>
  <c r="F105" i="7"/>
  <c r="E105" i="7"/>
  <c r="D105" i="7"/>
  <c r="E104" i="7"/>
  <c r="D104" i="7"/>
  <c r="F104" i="7" s="1"/>
  <c r="F103" i="7"/>
  <c r="E103" i="7"/>
  <c r="D103" i="7"/>
  <c r="E102" i="7"/>
  <c r="F102" i="7" s="1"/>
  <c r="D102" i="7"/>
  <c r="E101" i="7"/>
  <c r="D101" i="7"/>
  <c r="F101" i="7" s="1"/>
  <c r="E100" i="7"/>
  <c r="D100" i="7"/>
  <c r="F100" i="7" s="1"/>
  <c r="E99" i="7"/>
  <c r="D99" i="7"/>
  <c r="F99" i="7" s="1"/>
  <c r="F98" i="7"/>
  <c r="E98" i="7"/>
  <c r="D98" i="7"/>
  <c r="F97" i="7"/>
  <c r="E97" i="7"/>
  <c r="D97" i="7"/>
  <c r="E96" i="7"/>
  <c r="D96" i="7"/>
  <c r="F96" i="7" s="1"/>
  <c r="F95" i="7"/>
  <c r="E95" i="7"/>
  <c r="D95" i="7"/>
  <c r="E94" i="7"/>
  <c r="F94" i="7" s="1"/>
  <c r="D94" i="7"/>
  <c r="E93" i="7"/>
  <c r="D93" i="7"/>
  <c r="F93" i="7" s="1"/>
  <c r="E92" i="7"/>
  <c r="D92" i="7"/>
  <c r="F92" i="7" s="1"/>
  <c r="E91" i="7"/>
  <c r="D91" i="7"/>
  <c r="F91" i="7" s="1"/>
  <c r="E90" i="7"/>
  <c r="F90" i="7" s="1"/>
  <c r="D90" i="7"/>
  <c r="F89" i="7"/>
  <c r="E89" i="7"/>
  <c r="D89" i="7"/>
  <c r="E88" i="7"/>
  <c r="D88" i="7"/>
  <c r="F88" i="7" s="1"/>
  <c r="F87" i="7"/>
  <c r="E87" i="7"/>
  <c r="D87" i="7"/>
  <c r="E86" i="7"/>
  <c r="F86" i="7" s="1"/>
  <c r="D86" i="7"/>
  <c r="E85" i="7"/>
  <c r="D85" i="7"/>
  <c r="E84" i="7"/>
  <c r="D84" i="7"/>
  <c r="F84" i="7" s="1"/>
  <c r="E83" i="7"/>
  <c r="D83" i="7"/>
  <c r="F83" i="7" s="1"/>
  <c r="F82" i="7"/>
  <c r="E82" i="7"/>
  <c r="D82" i="7"/>
  <c r="F81" i="7"/>
  <c r="E81" i="7"/>
  <c r="D81" i="7"/>
  <c r="E80" i="7"/>
  <c r="D80" i="7"/>
  <c r="F80" i="7" s="1"/>
  <c r="F79" i="7"/>
  <c r="E79" i="7"/>
  <c r="D79" i="7"/>
  <c r="E78" i="7"/>
  <c r="F78" i="7" s="1"/>
  <c r="D78" i="7"/>
  <c r="E77" i="7"/>
  <c r="D77" i="7"/>
  <c r="F77" i="7" s="1"/>
  <c r="E76" i="7"/>
  <c r="D76" i="7"/>
  <c r="F76" i="7" s="1"/>
  <c r="E75" i="7"/>
  <c r="D75" i="7"/>
  <c r="F75" i="7" s="1"/>
  <c r="F74" i="7"/>
  <c r="E74" i="7"/>
  <c r="D74" i="7"/>
  <c r="F73" i="7"/>
  <c r="E73" i="7"/>
  <c r="D73" i="7"/>
  <c r="E72" i="7"/>
  <c r="D72" i="7"/>
  <c r="F72" i="7" s="1"/>
  <c r="F71" i="7"/>
  <c r="E71" i="7"/>
  <c r="D71" i="7"/>
  <c r="E70" i="7"/>
  <c r="F70" i="7" s="1"/>
  <c r="D70" i="7"/>
  <c r="E69" i="7"/>
  <c r="D69" i="7"/>
  <c r="E68" i="7"/>
  <c r="D68" i="7"/>
  <c r="F68" i="7" s="1"/>
  <c r="E67" i="7"/>
  <c r="D67" i="7"/>
  <c r="F67" i="7" s="1"/>
  <c r="F66" i="7"/>
  <c r="E66" i="7"/>
  <c r="D66" i="7"/>
  <c r="F65" i="7"/>
  <c r="E65" i="7"/>
  <c r="D65" i="7"/>
  <c r="E64" i="7"/>
  <c r="D64" i="7"/>
  <c r="F64" i="7" s="1"/>
  <c r="F63" i="7"/>
  <c r="E63" i="7"/>
  <c r="D63" i="7"/>
  <c r="E62" i="7"/>
  <c r="F62" i="7" s="1"/>
  <c r="D62" i="7"/>
  <c r="E61" i="7"/>
  <c r="D61" i="7"/>
  <c r="E60" i="7"/>
  <c r="D60" i="7"/>
  <c r="F60" i="7" s="1"/>
  <c r="E59" i="7"/>
  <c r="D59" i="7"/>
  <c r="F59" i="7" s="1"/>
  <c r="E58" i="7"/>
  <c r="F58" i="7" s="1"/>
  <c r="D58" i="7"/>
  <c r="F57" i="7"/>
  <c r="E57" i="7"/>
  <c r="D57" i="7"/>
  <c r="E56" i="7"/>
  <c r="D56" i="7"/>
  <c r="F56" i="7" s="1"/>
  <c r="F55" i="7"/>
  <c r="E55" i="7"/>
  <c r="D55" i="7"/>
  <c r="E54" i="7"/>
  <c r="F54" i="7" s="1"/>
  <c r="D54" i="7"/>
  <c r="E53" i="7"/>
  <c r="D53" i="7"/>
  <c r="E52" i="7"/>
  <c r="D52" i="7"/>
  <c r="F52" i="7" s="1"/>
  <c r="E51" i="7"/>
  <c r="D51" i="7"/>
  <c r="F51" i="7" s="1"/>
  <c r="E50" i="7"/>
  <c r="F50" i="7" s="1"/>
  <c r="D50" i="7"/>
  <c r="F49" i="7"/>
  <c r="E49" i="7"/>
  <c r="D49" i="7"/>
  <c r="E48" i="7"/>
  <c r="D48" i="7"/>
  <c r="F48" i="7" s="1"/>
  <c r="F47" i="7"/>
  <c r="E47" i="7"/>
  <c r="D47" i="7"/>
  <c r="E46" i="7"/>
  <c r="F46" i="7" s="1"/>
  <c r="D46" i="7"/>
  <c r="E45" i="7"/>
  <c r="D45" i="7"/>
  <c r="F45" i="7" s="1"/>
  <c r="E44" i="7"/>
  <c r="D44" i="7"/>
  <c r="F44" i="7" s="1"/>
  <c r="E43" i="7"/>
  <c r="D43" i="7"/>
  <c r="F43" i="7" s="1"/>
  <c r="E42" i="7"/>
  <c r="F42" i="7" s="1"/>
  <c r="D42" i="7"/>
  <c r="F41" i="7"/>
  <c r="E41" i="7"/>
  <c r="D41" i="7"/>
  <c r="E40" i="7"/>
  <c r="D40" i="7"/>
  <c r="F40" i="7" s="1"/>
  <c r="F39" i="7"/>
  <c r="E39" i="7"/>
  <c r="D39" i="7"/>
  <c r="E38" i="7"/>
  <c r="F38" i="7" s="1"/>
  <c r="D38" i="7"/>
  <c r="E37" i="7"/>
  <c r="D37" i="7"/>
  <c r="F37" i="7" s="1"/>
  <c r="E36" i="7"/>
  <c r="D36" i="7"/>
  <c r="F36" i="7" s="1"/>
  <c r="E35" i="7"/>
  <c r="D35" i="7"/>
  <c r="F35" i="7" s="1"/>
  <c r="F34" i="7"/>
  <c r="E34" i="7"/>
  <c r="D34" i="7"/>
  <c r="F33" i="7"/>
  <c r="E33" i="7"/>
  <c r="D33" i="7"/>
  <c r="E32" i="7"/>
  <c r="D32" i="7"/>
  <c r="F32" i="7" s="1"/>
  <c r="F31" i="7"/>
  <c r="E31" i="7"/>
  <c r="D31" i="7"/>
  <c r="E30" i="7"/>
  <c r="F30" i="7" s="1"/>
  <c r="D30" i="7"/>
  <c r="E29" i="7"/>
  <c r="D29" i="7"/>
  <c r="F29" i="7" s="1"/>
  <c r="E28" i="7"/>
  <c r="D28" i="7"/>
  <c r="F28" i="7" s="1"/>
  <c r="E27" i="7"/>
  <c r="D27" i="7"/>
  <c r="F27" i="7" s="1"/>
  <c r="E26" i="7"/>
  <c r="F26" i="7" s="1"/>
  <c r="D26" i="7"/>
  <c r="F25" i="7"/>
  <c r="E25" i="7"/>
  <c r="D25" i="7"/>
  <c r="E24" i="7"/>
  <c r="D24" i="7"/>
  <c r="F24" i="7" s="1"/>
  <c r="F23" i="7"/>
  <c r="E23" i="7"/>
  <c r="D23" i="7"/>
  <c r="E22" i="7"/>
  <c r="F22" i="7" s="1"/>
  <c r="D22" i="7"/>
  <c r="E21" i="7"/>
  <c r="D21" i="7"/>
  <c r="E20" i="7"/>
  <c r="D20" i="7"/>
  <c r="F20" i="7" s="1"/>
  <c r="E19" i="7"/>
  <c r="D19" i="7"/>
  <c r="F19" i="7" s="1"/>
  <c r="F18" i="7"/>
  <c r="E18" i="7"/>
  <c r="D18" i="7"/>
  <c r="F17" i="7"/>
  <c r="E17" i="7"/>
  <c r="D17" i="7"/>
  <c r="E16" i="7"/>
  <c r="D16" i="7"/>
  <c r="F16" i="7" s="1"/>
  <c r="B4" i="7"/>
  <c r="B8" i="7" s="1"/>
  <c r="E501" i="6"/>
  <c r="D501" i="6"/>
  <c r="E500" i="6"/>
  <c r="D500" i="6"/>
  <c r="E499" i="6"/>
  <c r="D499" i="6"/>
  <c r="E498" i="6"/>
  <c r="D498" i="6"/>
  <c r="E497" i="6"/>
  <c r="D497" i="6"/>
  <c r="E496" i="6"/>
  <c r="D496" i="6"/>
  <c r="E495" i="6"/>
  <c r="D495" i="6"/>
  <c r="E494" i="6"/>
  <c r="D494" i="6"/>
  <c r="E493" i="6"/>
  <c r="D493" i="6"/>
  <c r="E492" i="6"/>
  <c r="D492" i="6"/>
  <c r="E491" i="6"/>
  <c r="D491" i="6"/>
  <c r="E490" i="6"/>
  <c r="D490" i="6"/>
  <c r="E489" i="6"/>
  <c r="D489" i="6"/>
  <c r="E488" i="6"/>
  <c r="D488" i="6"/>
  <c r="E487" i="6"/>
  <c r="D487" i="6"/>
  <c r="E486" i="6"/>
  <c r="D486" i="6"/>
  <c r="E485" i="6"/>
  <c r="D485" i="6"/>
  <c r="E484" i="6"/>
  <c r="D484" i="6"/>
  <c r="E483" i="6"/>
  <c r="D483" i="6"/>
  <c r="E482" i="6"/>
  <c r="D482" i="6"/>
  <c r="E481" i="6"/>
  <c r="D481" i="6"/>
  <c r="E480" i="6"/>
  <c r="D480" i="6"/>
  <c r="E479" i="6"/>
  <c r="D479" i="6"/>
  <c r="E478" i="6"/>
  <c r="D478" i="6"/>
  <c r="E477" i="6"/>
  <c r="D477" i="6"/>
  <c r="E476" i="6"/>
  <c r="D476" i="6"/>
  <c r="E475" i="6"/>
  <c r="D475" i="6"/>
  <c r="E474" i="6"/>
  <c r="D474" i="6"/>
  <c r="E473" i="6"/>
  <c r="D473" i="6"/>
  <c r="E472" i="6"/>
  <c r="D472" i="6"/>
  <c r="E471" i="6"/>
  <c r="D471" i="6"/>
  <c r="E470" i="6"/>
  <c r="D470" i="6"/>
  <c r="E469" i="6"/>
  <c r="D469" i="6"/>
  <c r="E468" i="6"/>
  <c r="D468" i="6"/>
  <c r="E467" i="6"/>
  <c r="D467" i="6"/>
  <c r="E466" i="6"/>
  <c r="D466" i="6"/>
  <c r="E465" i="6"/>
  <c r="D465" i="6"/>
  <c r="E464" i="6"/>
  <c r="D464" i="6"/>
  <c r="E463" i="6"/>
  <c r="D463" i="6"/>
  <c r="E462" i="6"/>
  <c r="D462" i="6"/>
  <c r="E461" i="6"/>
  <c r="D461" i="6"/>
  <c r="E460" i="6"/>
  <c r="D460" i="6"/>
  <c r="E459" i="6"/>
  <c r="D459" i="6"/>
  <c r="E458" i="6"/>
  <c r="D458" i="6"/>
  <c r="E457" i="6"/>
  <c r="D457" i="6"/>
  <c r="E456" i="6"/>
  <c r="D456" i="6"/>
  <c r="E455" i="6"/>
  <c r="D455" i="6"/>
  <c r="E454" i="6"/>
  <c r="D454" i="6"/>
  <c r="E453" i="6"/>
  <c r="D453" i="6"/>
  <c r="E452" i="6"/>
  <c r="D452" i="6"/>
  <c r="E451" i="6"/>
  <c r="D451" i="6"/>
  <c r="E450" i="6"/>
  <c r="D450" i="6"/>
  <c r="E449" i="6"/>
  <c r="D449" i="6"/>
  <c r="E448" i="6"/>
  <c r="D448" i="6"/>
  <c r="E447" i="6"/>
  <c r="D447" i="6"/>
  <c r="E446" i="6"/>
  <c r="D446" i="6"/>
  <c r="E445" i="6"/>
  <c r="D445" i="6"/>
  <c r="E444" i="6"/>
  <c r="D444" i="6"/>
  <c r="E443" i="6"/>
  <c r="D443" i="6"/>
  <c r="E442" i="6"/>
  <c r="D442" i="6"/>
  <c r="E441" i="6"/>
  <c r="D441" i="6"/>
  <c r="E440" i="6"/>
  <c r="D440" i="6"/>
  <c r="E439" i="6"/>
  <c r="D439" i="6"/>
  <c r="E438" i="6"/>
  <c r="D438" i="6"/>
  <c r="E437" i="6"/>
  <c r="D437" i="6"/>
  <c r="E436" i="6"/>
  <c r="D436" i="6"/>
  <c r="E435" i="6"/>
  <c r="D435" i="6"/>
  <c r="E434" i="6"/>
  <c r="D434" i="6"/>
  <c r="E433" i="6"/>
  <c r="D433" i="6"/>
  <c r="E432" i="6"/>
  <c r="D432" i="6"/>
  <c r="E431" i="6"/>
  <c r="D431" i="6"/>
  <c r="E430" i="6"/>
  <c r="D430" i="6"/>
  <c r="E429" i="6"/>
  <c r="D429" i="6"/>
  <c r="E428" i="6"/>
  <c r="D428" i="6"/>
  <c r="E427" i="6"/>
  <c r="D427" i="6"/>
  <c r="E426" i="6"/>
  <c r="D426" i="6"/>
  <c r="E425" i="6"/>
  <c r="D425" i="6"/>
  <c r="E424" i="6"/>
  <c r="D424" i="6"/>
  <c r="E423" i="6"/>
  <c r="D423" i="6"/>
  <c r="E422" i="6"/>
  <c r="D422" i="6"/>
  <c r="E421" i="6"/>
  <c r="D421" i="6"/>
  <c r="E420" i="6"/>
  <c r="D420" i="6"/>
  <c r="E419" i="6"/>
  <c r="D419" i="6"/>
  <c r="E418" i="6"/>
  <c r="D418" i="6"/>
  <c r="E417" i="6"/>
  <c r="D417" i="6"/>
  <c r="E416" i="6"/>
  <c r="D416" i="6"/>
  <c r="E415" i="6"/>
  <c r="D415" i="6"/>
  <c r="E414" i="6"/>
  <c r="D414" i="6"/>
  <c r="E413" i="6"/>
  <c r="D413" i="6"/>
  <c r="E412" i="6"/>
  <c r="D412" i="6"/>
  <c r="E411" i="6"/>
  <c r="D411" i="6"/>
  <c r="E410" i="6"/>
  <c r="D410" i="6"/>
  <c r="E409" i="6"/>
  <c r="D409" i="6"/>
  <c r="E408" i="6"/>
  <c r="D408" i="6"/>
  <c r="E407" i="6"/>
  <c r="D407" i="6"/>
  <c r="E406" i="6"/>
  <c r="D406" i="6"/>
  <c r="E405" i="6"/>
  <c r="D405" i="6"/>
  <c r="E404" i="6"/>
  <c r="D404" i="6"/>
  <c r="E403" i="6"/>
  <c r="D403" i="6"/>
  <c r="E402" i="6"/>
  <c r="D402" i="6"/>
  <c r="E401" i="6"/>
  <c r="D401" i="6"/>
  <c r="E400" i="6"/>
  <c r="D400" i="6"/>
  <c r="E399" i="6"/>
  <c r="D399" i="6"/>
  <c r="E398" i="6"/>
  <c r="D398" i="6"/>
  <c r="E397" i="6"/>
  <c r="D397" i="6"/>
  <c r="E396" i="6"/>
  <c r="D396" i="6"/>
  <c r="E395" i="6"/>
  <c r="D395" i="6"/>
  <c r="E394" i="6"/>
  <c r="D394" i="6"/>
  <c r="E393" i="6"/>
  <c r="D393" i="6"/>
  <c r="E392" i="6"/>
  <c r="D392" i="6"/>
  <c r="E391" i="6"/>
  <c r="D391" i="6"/>
  <c r="E390" i="6"/>
  <c r="D390" i="6"/>
  <c r="E389" i="6"/>
  <c r="D389" i="6"/>
  <c r="E388" i="6"/>
  <c r="D388" i="6"/>
  <c r="E387" i="6"/>
  <c r="D387" i="6"/>
  <c r="E386" i="6"/>
  <c r="D386" i="6"/>
  <c r="E385" i="6"/>
  <c r="D385" i="6"/>
  <c r="E384" i="6"/>
  <c r="D384" i="6"/>
  <c r="E383" i="6"/>
  <c r="D383" i="6"/>
  <c r="E382" i="6"/>
  <c r="D382" i="6"/>
  <c r="E381" i="6"/>
  <c r="D381" i="6"/>
  <c r="E380" i="6"/>
  <c r="D380" i="6"/>
  <c r="E379" i="6"/>
  <c r="D379" i="6"/>
  <c r="E378" i="6"/>
  <c r="D378" i="6"/>
  <c r="E377" i="6"/>
  <c r="D377" i="6"/>
  <c r="E376" i="6"/>
  <c r="D376" i="6"/>
  <c r="E375" i="6"/>
  <c r="D375" i="6"/>
  <c r="E374" i="6"/>
  <c r="D374" i="6"/>
  <c r="E373" i="6"/>
  <c r="D373" i="6"/>
  <c r="E372" i="6"/>
  <c r="D372" i="6"/>
  <c r="E371" i="6"/>
  <c r="D371" i="6"/>
  <c r="E370" i="6"/>
  <c r="D370" i="6"/>
  <c r="E369" i="6"/>
  <c r="D369" i="6"/>
  <c r="E368" i="6"/>
  <c r="D368" i="6"/>
  <c r="E367" i="6"/>
  <c r="D367" i="6"/>
  <c r="E366" i="6"/>
  <c r="D366" i="6"/>
  <c r="E365" i="6"/>
  <c r="D365" i="6"/>
  <c r="E364" i="6"/>
  <c r="D364" i="6"/>
  <c r="E363" i="6"/>
  <c r="D363" i="6"/>
  <c r="E362" i="6"/>
  <c r="D362" i="6"/>
  <c r="E361" i="6"/>
  <c r="D361" i="6"/>
  <c r="E360" i="6"/>
  <c r="D360" i="6"/>
  <c r="E359" i="6"/>
  <c r="D359" i="6"/>
  <c r="E358" i="6"/>
  <c r="D358" i="6"/>
  <c r="E357" i="6"/>
  <c r="D357" i="6"/>
  <c r="E356" i="6"/>
  <c r="D356" i="6"/>
  <c r="E355" i="6"/>
  <c r="D355" i="6"/>
  <c r="E354" i="6"/>
  <c r="D354" i="6"/>
  <c r="E353" i="6"/>
  <c r="D353" i="6"/>
  <c r="E352" i="6"/>
  <c r="D352" i="6"/>
  <c r="E351" i="6"/>
  <c r="D351" i="6"/>
  <c r="E350" i="6"/>
  <c r="D350" i="6"/>
  <c r="E349" i="6"/>
  <c r="D349" i="6"/>
  <c r="E348" i="6"/>
  <c r="D348" i="6"/>
  <c r="E347" i="6"/>
  <c r="D347" i="6"/>
  <c r="E346" i="6"/>
  <c r="D346" i="6"/>
  <c r="E345" i="6"/>
  <c r="D345" i="6"/>
  <c r="E344" i="6"/>
  <c r="D344" i="6"/>
  <c r="E343" i="6"/>
  <c r="D343" i="6"/>
  <c r="E342" i="6"/>
  <c r="D342" i="6"/>
  <c r="E341" i="6"/>
  <c r="D341" i="6"/>
  <c r="E340" i="6"/>
  <c r="D340" i="6"/>
  <c r="E339" i="6"/>
  <c r="D339" i="6"/>
  <c r="E338" i="6"/>
  <c r="D338" i="6"/>
  <c r="E337" i="6"/>
  <c r="D337" i="6"/>
  <c r="E336" i="6"/>
  <c r="D336" i="6"/>
  <c r="E335" i="6"/>
  <c r="D335" i="6"/>
  <c r="E334" i="6"/>
  <c r="D334" i="6"/>
  <c r="E333" i="6"/>
  <c r="D333" i="6"/>
  <c r="E332" i="6"/>
  <c r="D332" i="6"/>
  <c r="E331" i="6"/>
  <c r="D331" i="6"/>
  <c r="E330" i="6"/>
  <c r="D330" i="6"/>
  <c r="E329" i="6"/>
  <c r="D329" i="6"/>
  <c r="E328" i="6"/>
  <c r="D328" i="6"/>
  <c r="E327" i="6"/>
  <c r="D327" i="6"/>
  <c r="E326" i="6"/>
  <c r="D326" i="6"/>
  <c r="E325" i="6"/>
  <c r="D325" i="6"/>
  <c r="E324" i="6"/>
  <c r="D324" i="6"/>
  <c r="E323" i="6"/>
  <c r="D323" i="6"/>
  <c r="E322" i="6"/>
  <c r="D322" i="6"/>
  <c r="E321" i="6"/>
  <c r="D321" i="6"/>
  <c r="E320" i="6"/>
  <c r="D320" i="6"/>
  <c r="E319" i="6"/>
  <c r="D319" i="6"/>
  <c r="E318" i="6"/>
  <c r="D318" i="6"/>
  <c r="E317" i="6"/>
  <c r="D317" i="6"/>
  <c r="E316" i="6"/>
  <c r="D316" i="6"/>
  <c r="E315" i="6"/>
  <c r="D315" i="6"/>
  <c r="E314" i="6"/>
  <c r="D314" i="6"/>
  <c r="E313" i="6"/>
  <c r="D313" i="6"/>
  <c r="E312" i="6"/>
  <c r="D312" i="6"/>
  <c r="E311" i="6"/>
  <c r="D311" i="6"/>
  <c r="E310" i="6"/>
  <c r="D310" i="6"/>
  <c r="E309" i="6"/>
  <c r="D309" i="6"/>
  <c r="E308" i="6"/>
  <c r="D308" i="6"/>
  <c r="E307" i="6"/>
  <c r="D307" i="6"/>
  <c r="E306" i="6"/>
  <c r="D306" i="6"/>
  <c r="E305" i="6"/>
  <c r="D305" i="6"/>
  <c r="E304" i="6"/>
  <c r="D304" i="6"/>
  <c r="E303" i="6"/>
  <c r="D303" i="6"/>
  <c r="E302" i="6"/>
  <c r="D302" i="6"/>
  <c r="E301" i="6"/>
  <c r="D301" i="6"/>
  <c r="E300" i="6"/>
  <c r="D300" i="6"/>
  <c r="E299" i="6"/>
  <c r="D299" i="6"/>
  <c r="E298" i="6"/>
  <c r="D298" i="6"/>
  <c r="E297" i="6"/>
  <c r="D297" i="6"/>
  <c r="E296" i="6"/>
  <c r="D296" i="6"/>
  <c r="E295" i="6"/>
  <c r="D295" i="6"/>
  <c r="E294" i="6"/>
  <c r="D294" i="6"/>
  <c r="E293" i="6"/>
  <c r="D293" i="6"/>
  <c r="E292" i="6"/>
  <c r="D292" i="6"/>
  <c r="E291" i="6"/>
  <c r="D291" i="6"/>
  <c r="E290" i="6"/>
  <c r="D290" i="6"/>
  <c r="E289" i="6"/>
  <c r="D289" i="6"/>
  <c r="E288" i="6"/>
  <c r="D288" i="6"/>
  <c r="E287" i="6"/>
  <c r="D287" i="6"/>
  <c r="E286" i="6"/>
  <c r="D286" i="6"/>
  <c r="E285" i="6"/>
  <c r="D285" i="6"/>
  <c r="E284" i="6"/>
  <c r="D284" i="6"/>
  <c r="E283" i="6"/>
  <c r="D283" i="6"/>
  <c r="E282" i="6"/>
  <c r="D282" i="6"/>
  <c r="E281" i="6"/>
  <c r="D281" i="6"/>
  <c r="E280" i="6"/>
  <c r="D280" i="6"/>
  <c r="E279" i="6"/>
  <c r="D279" i="6"/>
  <c r="E278" i="6"/>
  <c r="D278" i="6"/>
  <c r="E277" i="6"/>
  <c r="D277" i="6"/>
  <c r="E276" i="6"/>
  <c r="D276" i="6"/>
  <c r="E275" i="6"/>
  <c r="D275" i="6"/>
  <c r="E274" i="6"/>
  <c r="D274" i="6"/>
  <c r="E273" i="6"/>
  <c r="D273" i="6"/>
  <c r="E272" i="6"/>
  <c r="D272" i="6"/>
  <c r="E271" i="6"/>
  <c r="D271" i="6"/>
  <c r="E270" i="6"/>
  <c r="D270" i="6"/>
  <c r="E269" i="6"/>
  <c r="D269" i="6"/>
  <c r="E268" i="6"/>
  <c r="D268" i="6"/>
  <c r="E267" i="6"/>
  <c r="D267" i="6"/>
  <c r="E266" i="6"/>
  <c r="D266" i="6"/>
  <c r="E265" i="6"/>
  <c r="D265" i="6"/>
  <c r="E264" i="6"/>
  <c r="D264" i="6"/>
  <c r="E263" i="6"/>
  <c r="D263" i="6"/>
  <c r="E262" i="6"/>
  <c r="D262" i="6"/>
  <c r="E261" i="6"/>
  <c r="D261" i="6"/>
  <c r="E260" i="6"/>
  <c r="D260" i="6"/>
  <c r="E259" i="6"/>
  <c r="D259" i="6"/>
  <c r="E258" i="6"/>
  <c r="D258" i="6"/>
  <c r="E257" i="6"/>
  <c r="D257" i="6"/>
  <c r="E256" i="6"/>
  <c r="D256" i="6"/>
  <c r="E255" i="6"/>
  <c r="D255" i="6"/>
  <c r="E254" i="6"/>
  <c r="D254" i="6"/>
  <c r="E253" i="6"/>
  <c r="D253" i="6"/>
  <c r="E252" i="6"/>
  <c r="D252" i="6"/>
  <c r="E251" i="6"/>
  <c r="D251" i="6"/>
  <c r="E250" i="6"/>
  <c r="D250" i="6"/>
  <c r="E249" i="6"/>
  <c r="D249" i="6"/>
  <c r="E248" i="6"/>
  <c r="D248" i="6"/>
  <c r="E247" i="6"/>
  <c r="D247" i="6"/>
  <c r="E246" i="6"/>
  <c r="D246" i="6"/>
  <c r="E245" i="6"/>
  <c r="D245" i="6"/>
  <c r="E244" i="6"/>
  <c r="D244" i="6"/>
  <c r="E243" i="6"/>
  <c r="D243" i="6"/>
  <c r="E242" i="6"/>
  <c r="D242" i="6"/>
  <c r="E241" i="6"/>
  <c r="D241" i="6"/>
  <c r="E240" i="6"/>
  <c r="D240" i="6"/>
  <c r="E239" i="6"/>
  <c r="D239" i="6"/>
  <c r="E238" i="6"/>
  <c r="D238" i="6"/>
  <c r="E237" i="6"/>
  <c r="D237" i="6"/>
  <c r="E236" i="6"/>
  <c r="D236" i="6"/>
  <c r="E235" i="6"/>
  <c r="D235" i="6"/>
  <c r="E234" i="6"/>
  <c r="D234" i="6"/>
  <c r="E233" i="6"/>
  <c r="D233" i="6"/>
  <c r="E232" i="6"/>
  <c r="D232" i="6"/>
  <c r="E231" i="6"/>
  <c r="D231" i="6"/>
  <c r="E230" i="6"/>
  <c r="D230" i="6"/>
  <c r="E229" i="6"/>
  <c r="D229" i="6"/>
  <c r="E228" i="6"/>
  <c r="D228" i="6"/>
  <c r="E227" i="6"/>
  <c r="D227" i="6"/>
  <c r="E226" i="6"/>
  <c r="D226" i="6"/>
  <c r="E225" i="6"/>
  <c r="D225" i="6"/>
  <c r="E224" i="6"/>
  <c r="D224" i="6"/>
  <c r="E223" i="6"/>
  <c r="D223" i="6"/>
  <c r="E222" i="6"/>
  <c r="D222" i="6"/>
  <c r="E221" i="6"/>
  <c r="D221" i="6"/>
  <c r="E220" i="6"/>
  <c r="D220" i="6"/>
  <c r="E219" i="6"/>
  <c r="D219" i="6"/>
  <c r="E218" i="6"/>
  <c r="D218" i="6"/>
  <c r="E217" i="6"/>
  <c r="D217" i="6"/>
  <c r="E216" i="6"/>
  <c r="D216" i="6"/>
  <c r="E215" i="6"/>
  <c r="D215" i="6"/>
  <c r="E214" i="6"/>
  <c r="D214" i="6"/>
  <c r="E213" i="6"/>
  <c r="D213" i="6"/>
  <c r="E212" i="6"/>
  <c r="D212" i="6"/>
  <c r="E211" i="6"/>
  <c r="D211" i="6"/>
  <c r="E210" i="6"/>
  <c r="D210" i="6"/>
  <c r="E209" i="6"/>
  <c r="D209" i="6"/>
  <c r="E208" i="6"/>
  <c r="D208" i="6"/>
  <c r="E207" i="6"/>
  <c r="D207" i="6"/>
  <c r="E206" i="6"/>
  <c r="D206" i="6"/>
  <c r="E205" i="6"/>
  <c r="D205" i="6"/>
  <c r="E204" i="6"/>
  <c r="D204" i="6"/>
  <c r="E203" i="6"/>
  <c r="D203" i="6"/>
  <c r="E202" i="6"/>
  <c r="D202" i="6"/>
  <c r="E201" i="6"/>
  <c r="D201" i="6"/>
  <c r="E200" i="6"/>
  <c r="D200" i="6"/>
  <c r="E199" i="6"/>
  <c r="D199" i="6"/>
  <c r="E198" i="6"/>
  <c r="D198" i="6"/>
  <c r="E197" i="6"/>
  <c r="D197" i="6"/>
  <c r="E196" i="6"/>
  <c r="D196" i="6"/>
  <c r="E195" i="6"/>
  <c r="D195" i="6"/>
  <c r="E194" i="6"/>
  <c r="D194" i="6"/>
  <c r="E193" i="6"/>
  <c r="D193" i="6"/>
  <c r="E192" i="6"/>
  <c r="D192" i="6"/>
  <c r="E191" i="6"/>
  <c r="D191" i="6"/>
  <c r="E190" i="6"/>
  <c r="D190" i="6"/>
  <c r="E189" i="6"/>
  <c r="D189" i="6"/>
  <c r="E188" i="6"/>
  <c r="D188" i="6"/>
  <c r="E187" i="6"/>
  <c r="D187" i="6"/>
  <c r="E186" i="6"/>
  <c r="D186" i="6"/>
  <c r="E185" i="6"/>
  <c r="D185" i="6"/>
  <c r="E184" i="6"/>
  <c r="D184" i="6"/>
  <c r="E183" i="6"/>
  <c r="D183" i="6"/>
  <c r="E182" i="6"/>
  <c r="D182" i="6"/>
  <c r="E181" i="6"/>
  <c r="D181" i="6"/>
  <c r="E180" i="6"/>
  <c r="D180" i="6"/>
  <c r="E179" i="6"/>
  <c r="D179" i="6"/>
  <c r="E178" i="6"/>
  <c r="D178" i="6"/>
  <c r="E177" i="6"/>
  <c r="D177" i="6"/>
  <c r="E176" i="6"/>
  <c r="D176" i="6"/>
  <c r="E175" i="6"/>
  <c r="D175" i="6"/>
  <c r="E174" i="6"/>
  <c r="D174" i="6"/>
  <c r="E173" i="6"/>
  <c r="D173" i="6"/>
  <c r="E172" i="6"/>
  <c r="D172" i="6"/>
  <c r="E171" i="6"/>
  <c r="D171" i="6"/>
  <c r="E170" i="6"/>
  <c r="D170" i="6"/>
  <c r="E169" i="6"/>
  <c r="D169" i="6"/>
  <c r="E168" i="6"/>
  <c r="D168" i="6"/>
  <c r="E167" i="6"/>
  <c r="D167" i="6"/>
  <c r="E166" i="6"/>
  <c r="D166" i="6"/>
  <c r="E165" i="6"/>
  <c r="D165" i="6"/>
  <c r="E164" i="6"/>
  <c r="D164" i="6"/>
  <c r="E163" i="6"/>
  <c r="D163" i="6"/>
  <c r="E162" i="6"/>
  <c r="D162" i="6"/>
  <c r="E161" i="6"/>
  <c r="D161" i="6"/>
  <c r="E160" i="6"/>
  <c r="D160" i="6"/>
  <c r="E159" i="6"/>
  <c r="D159" i="6"/>
  <c r="E158" i="6"/>
  <c r="D158" i="6"/>
  <c r="E157" i="6"/>
  <c r="D157" i="6"/>
  <c r="E156" i="6"/>
  <c r="D156" i="6"/>
  <c r="E155" i="6"/>
  <c r="D155" i="6"/>
  <c r="E154" i="6"/>
  <c r="D154" i="6"/>
  <c r="E153" i="6"/>
  <c r="D153" i="6"/>
  <c r="E152" i="6"/>
  <c r="D152" i="6"/>
  <c r="E151" i="6"/>
  <c r="D151" i="6"/>
  <c r="E150" i="6"/>
  <c r="D150" i="6"/>
  <c r="E149" i="6"/>
  <c r="D149" i="6"/>
  <c r="E148" i="6"/>
  <c r="D148" i="6"/>
  <c r="E147" i="6"/>
  <c r="D147" i="6"/>
  <c r="E146" i="6"/>
  <c r="D146" i="6"/>
  <c r="E145" i="6"/>
  <c r="D145" i="6"/>
  <c r="E144" i="6"/>
  <c r="D144" i="6"/>
  <c r="E143" i="6"/>
  <c r="D143" i="6"/>
  <c r="E142" i="6"/>
  <c r="D142" i="6"/>
  <c r="E141" i="6"/>
  <c r="D141" i="6"/>
  <c r="E140" i="6"/>
  <c r="D140" i="6"/>
  <c r="E139" i="6"/>
  <c r="D139" i="6"/>
  <c r="E138" i="6"/>
  <c r="D138" i="6"/>
  <c r="E137" i="6"/>
  <c r="D137" i="6"/>
  <c r="E136" i="6"/>
  <c r="D136" i="6"/>
  <c r="E135" i="6"/>
  <c r="D135" i="6"/>
  <c r="E134" i="6"/>
  <c r="D134" i="6"/>
  <c r="E133" i="6"/>
  <c r="D133" i="6"/>
  <c r="E132" i="6"/>
  <c r="D132" i="6"/>
  <c r="E131" i="6"/>
  <c r="D131" i="6"/>
  <c r="E130" i="6"/>
  <c r="D130" i="6"/>
  <c r="E129" i="6"/>
  <c r="D129" i="6"/>
  <c r="E128" i="6"/>
  <c r="D128" i="6"/>
  <c r="E127" i="6"/>
  <c r="D127" i="6"/>
  <c r="E126" i="6"/>
  <c r="D126" i="6"/>
  <c r="E125" i="6"/>
  <c r="D125" i="6"/>
  <c r="E124" i="6"/>
  <c r="D124" i="6"/>
  <c r="E123" i="6"/>
  <c r="D123" i="6"/>
  <c r="E122" i="6"/>
  <c r="D122" i="6"/>
  <c r="E121" i="6"/>
  <c r="D121" i="6"/>
  <c r="E120" i="6"/>
  <c r="D120" i="6"/>
  <c r="E119" i="6"/>
  <c r="D119" i="6"/>
  <c r="E118" i="6"/>
  <c r="D118" i="6"/>
  <c r="E117" i="6"/>
  <c r="D117" i="6"/>
  <c r="E116" i="6"/>
  <c r="D116" i="6"/>
  <c r="E115" i="6"/>
  <c r="D115" i="6"/>
  <c r="E114" i="6"/>
  <c r="D114" i="6"/>
  <c r="E113" i="6"/>
  <c r="D113" i="6"/>
  <c r="E112" i="6"/>
  <c r="D112" i="6"/>
  <c r="E111" i="6"/>
  <c r="D111" i="6"/>
  <c r="E110" i="6"/>
  <c r="D110" i="6"/>
  <c r="E109" i="6"/>
  <c r="D109" i="6"/>
  <c r="E108" i="6"/>
  <c r="D108" i="6"/>
  <c r="E107" i="6"/>
  <c r="D107" i="6"/>
  <c r="E106" i="6"/>
  <c r="D106" i="6"/>
  <c r="E105" i="6"/>
  <c r="D105" i="6"/>
  <c r="E104" i="6"/>
  <c r="D104" i="6"/>
  <c r="E103" i="6"/>
  <c r="D103" i="6"/>
  <c r="E102" i="6"/>
  <c r="D102" i="6"/>
  <c r="E101" i="6"/>
  <c r="D101" i="6"/>
  <c r="E100" i="6"/>
  <c r="D100" i="6"/>
  <c r="E99" i="6"/>
  <c r="D99" i="6"/>
  <c r="E98" i="6"/>
  <c r="D98" i="6"/>
  <c r="E97" i="6"/>
  <c r="D97" i="6"/>
  <c r="E96" i="6"/>
  <c r="D96" i="6"/>
  <c r="E95" i="6"/>
  <c r="D95" i="6"/>
  <c r="E94" i="6"/>
  <c r="D94" i="6"/>
  <c r="E93" i="6"/>
  <c r="D93" i="6"/>
  <c r="E92" i="6"/>
  <c r="D92" i="6"/>
  <c r="E91" i="6"/>
  <c r="D91" i="6"/>
  <c r="E90" i="6"/>
  <c r="D90" i="6"/>
  <c r="E89" i="6"/>
  <c r="D89" i="6"/>
  <c r="E88" i="6"/>
  <c r="D88" i="6"/>
  <c r="E87" i="6"/>
  <c r="D87" i="6"/>
  <c r="E86" i="6"/>
  <c r="D86" i="6"/>
  <c r="E85" i="6"/>
  <c r="D85" i="6"/>
  <c r="E84" i="6"/>
  <c r="D84" i="6"/>
  <c r="E83" i="6"/>
  <c r="D83" i="6"/>
  <c r="E82" i="6"/>
  <c r="D82" i="6"/>
  <c r="E81" i="6"/>
  <c r="D81" i="6"/>
  <c r="E80" i="6"/>
  <c r="D80" i="6"/>
  <c r="E79" i="6"/>
  <c r="D79" i="6"/>
  <c r="E78" i="6"/>
  <c r="D78" i="6"/>
  <c r="E77" i="6"/>
  <c r="D77" i="6"/>
  <c r="E76" i="6"/>
  <c r="D76" i="6"/>
  <c r="E75" i="6"/>
  <c r="D75" i="6"/>
  <c r="E74" i="6"/>
  <c r="D74" i="6"/>
  <c r="E73" i="6"/>
  <c r="D73" i="6"/>
  <c r="E72" i="6"/>
  <c r="D72" i="6"/>
  <c r="E71" i="6"/>
  <c r="D71" i="6"/>
  <c r="E70" i="6"/>
  <c r="D70" i="6"/>
  <c r="E69" i="6"/>
  <c r="D69" i="6"/>
  <c r="E68" i="6"/>
  <c r="D68" i="6"/>
  <c r="E67" i="6"/>
  <c r="D67" i="6"/>
  <c r="E66" i="6"/>
  <c r="D66" i="6"/>
  <c r="E65" i="6"/>
  <c r="D65" i="6"/>
  <c r="E64" i="6"/>
  <c r="D64" i="6"/>
  <c r="E63" i="6"/>
  <c r="D63" i="6"/>
  <c r="E62" i="6"/>
  <c r="D62" i="6"/>
  <c r="E61" i="6"/>
  <c r="D61" i="6"/>
  <c r="E60" i="6"/>
  <c r="D60" i="6"/>
  <c r="E59" i="6"/>
  <c r="D59" i="6"/>
  <c r="E58" i="6"/>
  <c r="D58" i="6"/>
  <c r="E57" i="6"/>
  <c r="D57" i="6"/>
  <c r="E56" i="6"/>
  <c r="D56" i="6"/>
  <c r="E55" i="6"/>
  <c r="D55" i="6"/>
  <c r="E54" i="6"/>
  <c r="D54" i="6"/>
  <c r="E53" i="6"/>
  <c r="D53" i="6"/>
  <c r="E52" i="6"/>
  <c r="D52" i="6"/>
  <c r="E51" i="6"/>
  <c r="D51" i="6"/>
  <c r="E50" i="6"/>
  <c r="D50" i="6"/>
  <c r="E49" i="6"/>
  <c r="D49" i="6"/>
  <c r="E48" i="6"/>
  <c r="D48" i="6"/>
  <c r="E47" i="6"/>
  <c r="D47" i="6"/>
  <c r="E46" i="6"/>
  <c r="D46" i="6"/>
  <c r="E45" i="6"/>
  <c r="D45" i="6"/>
  <c r="E44" i="6"/>
  <c r="D44" i="6"/>
  <c r="E43" i="6"/>
  <c r="D43" i="6"/>
  <c r="E42" i="6"/>
  <c r="D42" i="6"/>
  <c r="E41" i="6"/>
  <c r="D41" i="6"/>
  <c r="E40" i="6"/>
  <c r="D40" i="6"/>
  <c r="E39" i="6"/>
  <c r="D39" i="6"/>
  <c r="E38" i="6"/>
  <c r="D38" i="6"/>
  <c r="E37" i="6"/>
  <c r="D37" i="6"/>
  <c r="E36" i="6"/>
  <c r="D36" i="6"/>
  <c r="E35" i="6"/>
  <c r="D35" i="6"/>
  <c r="E34" i="6"/>
  <c r="D34" i="6"/>
  <c r="E33" i="6"/>
  <c r="D33" i="6"/>
  <c r="E32" i="6"/>
  <c r="D32" i="6"/>
  <c r="E31" i="6"/>
  <c r="D31" i="6"/>
  <c r="E30" i="6"/>
  <c r="D30" i="6"/>
  <c r="E29" i="6"/>
  <c r="D29" i="6"/>
  <c r="E28" i="6"/>
  <c r="D28" i="6"/>
  <c r="E27" i="6"/>
  <c r="D27" i="6"/>
  <c r="E26" i="6"/>
  <c r="D26" i="6"/>
  <c r="E25" i="6"/>
  <c r="D25" i="6"/>
  <c r="E24" i="6"/>
  <c r="D24" i="6"/>
  <c r="E23" i="6"/>
  <c r="D23" i="6"/>
  <c r="E22" i="6"/>
  <c r="D22" i="6"/>
  <c r="E21" i="6"/>
  <c r="D21" i="6"/>
  <c r="E20" i="6"/>
  <c r="D20" i="6"/>
  <c r="E19" i="6"/>
  <c r="D19" i="6"/>
  <c r="E18" i="6"/>
  <c r="D18" i="6"/>
  <c r="E17" i="6"/>
  <c r="D17" i="6"/>
  <c r="E16" i="6"/>
  <c r="D16" i="6"/>
  <c r="E15" i="6"/>
  <c r="D15" i="6"/>
  <c r="E14" i="6"/>
  <c r="D14" i="6"/>
  <c r="E13" i="6"/>
  <c r="D13" i="6"/>
  <c r="E12" i="6"/>
  <c r="D12" i="6"/>
  <c r="E11" i="6"/>
  <c r="D11" i="6"/>
  <c r="E10" i="6"/>
  <c r="D10" i="6"/>
  <c r="E9" i="6"/>
  <c r="D9" i="6"/>
  <c r="E8" i="6"/>
  <c r="D8" i="6"/>
  <c r="E7" i="6"/>
  <c r="D7" i="6"/>
  <c r="E6" i="6"/>
  <c r="D6" i="6"/>
  <c r="E5" i="6"/>
  <c r="D5" i="6"/>
  <c r="E4" i="6"/>
  <c r="D4" i="6"/>
  <c r="E3" i="6"/>
  <c r="B508" i="6" s="1"/>
  <c r="D3" i="6"/>
  <c r="F204" i="4"/>
  <c r="D204" i="4"/>
  <c r="E204" i="4" s="1"/>
  <c r="C204" i="4"/>
  <c r="F203" i="4"/>
  <c r="E203" i="4"/>
  <c r="D203" i="4"/>
  <c r="C203" i="4"/>
  <c r="F202" i="4"/>
  <c r="D202" i="4"/>
  <c r="E202" i="4" s="1"/>
  <c r="C202" i="4"/>
  <c r="F201" i="4"/>
  <c r="E201" i="4"/>
  <c r="D201" i="4"/>
  <c r="C201" i="4"/>
  <c r="F200" i="4"/>
  <c r="D200" i="4"/>
  <c r="E200" i="4" s="1"/>
  <c r="C200" i="4"/>
  <c r="F199" i="4"/>
  <c r="E199" i="4"/>
  <c r="D199" i="4"/>
  <c r="C199" i="4"/>
  <c r="F198" i="4"/>
  <c r="D198" i="4"/>
  <c r="E198" i="4" s="1"/>
  <c r="C198" i="4"/>
  <c r="F197" i="4"/>
  <c r="E197" i="4"/>
  <c r="D197" i="4"/>
  <c r="C197" i="4"/>
  <c r="F196" i="4"/>
  <c r="D196" i="4"/>
  <c r="E196" i="4" s="1"/>
  <c r="C196" i="4"/>
  <c r="F195" i="4"/>
  <c r="E195" i="4"/>
  <c r="D195" i="4"/>
  <c r="C195" i="4"/>
  <c r="F194" i="4"/>
  <c r="D194" i="4"/>
  <c r="E194" i="4" s="1"/>
  <c r="C194" i="4"/>
  <c r="F193" i="4"/>
  <c r="E193" i="4"/>
  <c r="D193" i="4"/>
  <c r="C193" i="4"/>
  <c r="F192" i="4"/>
  <c r="D192" i="4"/>
  <c r="E192" i="4" s="1"/>
  <c r="C192" i="4"/>
  <c r="F191" i="4"/>
  <c r="E191" i="4"/>
  <c r="D191" i="4"/>
  <c r="C191" i="4"/>
  <c r="F190" i="4"/>
  <c r="D190" i="4"/>
  <c r="E190" i="4" s="1"/>
  <c r="C190" i="4"/>
  <c r="F189" i="4"/>
  <c r="E189" i="4"/>
  <c r="D189" i="4"/>
  <c r="C189" i="4"/>
  <c r="F188" i="4"/>
  <c r="D188" i="4"/>
  <c r="E188" i="4" s="1"/>
  <c r="C188" i="4"/>
  <c r="F187" i="4"/>
  <c r="E187" i="4"/>
  <c r="D187" i="4"/>
  <c r="C187" i="4"/>
  <c r="F186" i="4"/>
  <c r="D186" i="4"/>
  <c r="E186" i="4" s="1"/>
  <c r="C186" i="4"/>
  <c r="F185" i="4"/>
  <c r="E185" i="4"/>
  <c r="D185" i="4"/>
  <c r="C185" i="4"/>
  <c r="F184" i="4"/>
  <c r="D184" i="4"/>
  <c r="E184" i="4" s="1"/>
  <c r="C184" i="4"/>
  <c r="F183" i="4"/>
  <c r="E183" i="4"/>
  <c r="D183" i="4"/>
  <c r="C183" i="4"/>
  <c r="F182" i="4"/>
  <c r="D182" i="4"/>
  <c r="E182" i="4" s="1"/>
  <c r="C182" i="4"/>
  <c r="F181" i="4"/>
  <c r="E181" i="4"/>
  <c r="D181" i="4"/>
  <c r="C181" i="4"/>
  <c r="F180" i="4"/>
  <c r="D180" i="4"/>
  <c r="E180" i="4" s="1"/>
  <c r="C180" i="4"/>
  <c r="F179" i="4"/>
  <c r="E179" i="4"/>
  <c r="D179" i="4"/>
  <c r="C179" i="4"/>
  <c r="F178" i="4"/>
  <c r="D178" i="4"/>
  <c r="E178" i="4" s="1"/>
  <c r="C178" i="4"/>
  <c r="F177" i="4"/>
  <c r="E177" i="4"/>
  <c r="D177" i="4"/>
  <c r="C177" i="4"/>
  <c r="F176" i="4"/>
  <c r="D176" i="4"/>
  <c r="E176" i="4" s="1"/>
  <c r="C176" i="4"/>
  <c r="F175" i="4"/>
  <c r="E175" i="4"/>
  <c r="D175" i="4"/>
  <c r="C175" i="4"/>
  <c r="F174" i="4"/>
  <c r="D174" i="4"/>
  <c r="E174" i="4" s="1"/>
  <c r="C174" i="4"/>
  <c r="F173" i="4"/>
  <c r="E173" i="4"/>
  <c r="D173" i="4"/>
  <c r="C173" i="4"/>
  <c r="F172" i="4"/>
  <c r="D172" i="4"/>
  <c r="E172" i="4" s="1"/>
  <c r="C172" i="4"/>
  <c r="F171" i="4"/>
  <c r="E171" i="4"/>
  <c r="D171" i="4"/>
  <c r="C171" i="4"/>
  <c r="F170" i="4"/>
  <c r="D170" i="4"/>
  <c r="E170" i="4" s="1"/>
  <c r="C170" i="4"/>
  <c r="F169" i="4"/>
  <c r="E169" i="4"/>
  <c r="D169" i="4"/>
  <c r="C169" i="4"/>
  <c r="F168" i="4"/>
  <c r="D168" i="4"/>
  <c r="E168" i="4" s="1"/>
  <c r="C168" i="4"/>
  <c r="F167" i="4"/>
  <c r="E167" i="4"/>
  <c r="D167" i="4"/>
  <c r="C167" i="4"/>
  <c r="F166" i="4"/>
  <c r="D166" i="4"/>
  <c r="E166" i="4" s="1"/>
  <c r="C166" i="4"/>
  <c r="F165" i="4"/>
  <c r="E165" i="4"/>
  <c r="D165" i="4"/>
  <c r="C165" i="4"/>
  <c r="F164" i="4"/>
  <c r="D164" i="4"/>
  <c r="E164" i="4" s="1"/>
  <c r="C164" i="4"/>
  <c r="F163" i="4"/>
  <c r="E163" i="4"/>
  <c r="D163" i="4"/>
  <c r="C163" i="4"/>
  <c r="F162" i="4"/>
  <c r="D162" i="4"/>
  <c r="E162" i="4" s="1"/>
  <c r="C162" i="4"/>
  <c r="F161" i="4"/>
  <c r="E161" i="4"/>
  <c r="D161" i="4"/>
  <c r="C161" i="4"/>
  <c r="F160" i="4"/>
  <c r="D160" i="4"/>
  <c r="E160" i="4" s="1"/>
  <c r="C160" i="4"/>
  <c r="F159" i="4"/>
  <c r="E159" i="4"/>
  <c r="D159" i="4"/>
  <c r="C159" i="4"/>
  <c r="F158" i="4"/>
  <c r="D158" i="4"/>
  <c r="E158" i="4" s="1"/>
  <c r="C158" i="4"/>
  <c r="F157" i="4"/>
  <c r="E157" i="4"/>
  <c r="D157" i="4"/>
  <c r="C157" i="4"/>
  <c r="F156" i="4"/>
  <c r="D156" i="4"/>
  <c r="E156" i="4" s="1"/>
  <c r="C156" i="4"/>
  <c r="F155" i="4"/>
  <c r="E155" i="4"/>
  <c r="D155" i="4"/>
  <c r="C155" i="4"/>
  <c r="F154" i="4"/>
  <c r="D154" i="4"/>
  <c r="E154" i="4" s="1"/>
  <c r="C154" i="4"/>
  <c r="F153" i="4"/>
  <c r="E153" i="4"/>
  <c r="D153" i="4"/>
  <c r="C153" i="4"/>
  <c r="F152" i="4"/>
  <c r="D152" i="4"/>
  <c r="E152" i="4" s="1"/>
  <c r="C152" i="4"/>
  <c r="F151" i="4"/>
  <c r="E151" i="4"/>
  <c r="D151" i="4"/>
  <c r="C151" i="4"/>
  <c r="F150" i="4"/>
  <c r="D150" i="4"/>
  <c r="E150" i="4" s="1"/>
  <c r="C150" i="4"/>
  <c r="F149" i="4"/>
  <c r="E149" i="4"/>
  <c r="D149" i="4"/>
  <c r="C149" i="4"/>
  <c r="F148" i="4"/>
  <c r="D148" i="4"/>
  <c r="E148" i="4" s="1"/>
  <c r="C148" i="4"/>
  <c r="F147" i="4"/>
  <c r="E147" i="4"/>
  <c r="D147" i="4"/>
  <c r="C147" i="4"/>
  <c r="F146" i="4"/>
  <c r="D146" i="4"/>
  <c r="E146" i="4" s="1"/>
  <c r="C146" i="4"/>
  <c r="F145" i="4"/>
  <c r="E145" i="4"/>
  <c r="D145" i="4"/>
  <c r="C145" i="4"/>
  <c r="F144" i="4"/>
  <c r="D144" i="4"/>
  <c r="E144" i="4" s="1"/>
  <c r="C144" i="4"/>
  <c r="F143" i="4"/>
  <c r="E143" i="4"/>
  <c r="D143" i="4"/>
  <c r="C143" i="4"/>
  <c r="F142" i="4"/>
  <c r="D142" i="4"/>
  <c r="E142" i="4" s="1"/>
  <c r="C142" i="4"/>
  <c r="F141" i="4"/>
  <c r="E141" i="4"/>
  <c r="D141" i="4"/>
  <c r="C141" i="4"/>
  <c r="F140" i="4"/>
  <c r="D140" i="4"/>
  <c r="E140" i="4" s="1"/>
  <c r="C140" i="4"/>
  <c r="F139" i="4"/>
  <c r="E139" i="4"/>
  <c r="D139" i="4"/>
  <c r="C139" i="4"/>
  <c r="F138" i="4"/>
  <c r="D138" i="4"/>
  <c r="E138" i="4" s="1"/>
  <c r="C138" i="4"/>
  <c r="F137" i="4"/>
  <c r="E137" i="4"/>
  <c r="D137" i="4"/>
  <c r="C137" i="4"/>
  <c r="F136" i="4"/>
  <c r="D136" i="4"/>
  <c r="E136" i="4" s="1"/>
  <c r="C136" i="4"/>
  <c r="F135" i="4"/>
  <c r="E135" i="4"/>
  <c r="D135" i="4"/>
  <c r="C135" i="4"/>
  <c r="F134" i="4"/>
  <c r="D134" i="4"/>
  <c r="E134" i="4" s="1"/>
  <c r="C134" i="4"/>
  <c r="F133" i="4"/>
  <c r="E133" i="4"/>
  <c r="D133" i="4"/>
  <c r="C133" i="4"/>
  <c r="F132" i="4"/>
  <c r="D132" i="4"/>
  <c r="E132" i="4" s="1"/>
  <c r="C132" i="4"/>
  <c r="F131" i="4"/>
  <c r="E131" i="4"/>
  <c r="D131" i="4"/>
  <c r="C131" i="4"/>
  <c r="F130" i="4"/>
  <c r="D130" i="4"/>
  <c r="E130" i="4" s="1"/>
  <c r="C130" i="4"/>
  <c r="F129" i="4"/>
  <c r="E129" i="4"/>
  <c r="D129" i="4"/>
  <c r="C129" i="4"/>
  <c r="F128" i="4"/>
  <c r="D128" i="4"/>
  <c r="E128" i="4" s="1"/>
  <c r="C128" i="4"/>
  <c r="F127" i="4"/>
  <c r="E127" i="4"/>
  <c r="D127" i="4"/>
  <c r="C127" i="4"/>
  <c r="F126" i="4"/>
  <c r="D126" i="4"/>
  <c r="E126" i="4" s="1"/>
  <c r="C126" i="4"/>
  <c r="F125" i="4"/>
  <c r="E125" i="4"/>
  <c r="D125" i="4"/>
  <c r="C125" i="4"/>
  <c r="F124" i="4"/>
  <c r="D124" i="4"/>
  <c r="E124" i="4" s="1"/>
  <c r="C124" i="4"/>
  <c r="F123" i="4"/>
  <c r="E123" i="4"/>
  <c r="D123" i="4"/>
  <c r="C123" i="4"/>
  <c r="F122" i="4"/>
  <c r="D122" i="4"/>
  <c r="E122" i="4" s="1"/>
  <c r="C122" i="4"/>
  <c r="F121" i="4"/>
  <c r="E121" i="4"/>
  <c r="D121" i="4"/>
  <c r="C121" i="4"/>
  <c r="F120" i="4"/>
  <c r="D120" i="4"/>
  <c r="E120" i="4" s="1"/>
  <c r="C120" i="4"/>
  <c r="F119" i="4"/>
  <c r="E119" i="4"/>
  <c r="D119" i="4"/>
  <c r="C119" i="4"/>
  <c r="F118" i="4"/>
  <c r="D118" i="4"/>
  <c r="E118" i="4" s="1"/>
  <c r="C118" i="4"/>
  <c r="F117" i="4"/>
  <c r="E117" i="4"/>
  <c r="D117" i="4"/>
  <c r="C117" i="4"/>
  <c r="F116" i="4"/>
  <c r="D116" i="4"/>
  <c r="E116" i="4" s="1"/>
  <c r="C116" i="4"/>
  <c r="F115" i="4"/>
  <c r="E115" i="4"/>
  <c r="D115" i="4"/>
  <c r="C115" i="4"/>
  <c r="F114" i="4"/>
  <c r="D114" i="4"/>
  <c r="E114" i="4" s="1"/>
  <c r="C114" i="4"/>
  <c r="F113" i="4"/>
  <c r="E113" i="4"/>
  <c r="D113" i="4"/>
  <c r="C113" i="4"/>
  <c r="F112" i="4"/>
  <c r="D112" i="4"/>
  <c r="E112" i="4" s="1"/>
  <c r="C112" i="4"/>
  <c r="F111" i="4"/>
  <c r="E111" i="4"/>
  <c r="D111" i="4"/>
  <c r="C111" i="4"/>
  <c r="F110" i="4"/>
  <c r="D110" i="4"/>
  <c r="E110" i="4" s="1"/>
  <c r="C110" i="4"/>
  <c r="F109" i="4"/>
  <c r="E109" i="4"/>
  <c r="D109" i="4"/>
  <c r="C109" i="4"/>
  <c r="F108" i="4"/>
  <c r="D108" i="4"/>
  <c r="E108" i="4" s="1"/>
  <c r="C108" i="4"/>
  <c r="F107" i="4"/>
  <c r="E107" i="4"/>
  <c r="D107" i="4"/>
  <c r="C107" i="4"/>
  <c r="F106" i="4"/>
  <c r="D106" i="4"/>
  <c r="E106" i="4" s="1"/>
  <c r="C106" i="4"/>
  <c r="F105" i="4"/>
  <c r="E105" i="4"/>
  <c r="D105" i="4"/>
  <c r="C105" i="4"/>
  <c r="F104" i="4"/>
  <c r="D104" i="4"/>
  <c r="E104" i="4" s="1"/>
  <c r="C104" i="4"/>
  <c r="F103" i="4"/>
  <c r="E103" i="4"/>
  <c r="D103" i="4"/>
  <c r="C103" i="4"/>
  <c r="F102" i="4"/>
  <c r="D102" i="4"/>
  <c r="E102" i="4" s="1"/>
  <c r="C102" i="4"/>
  <c r="F101" i="4"/>
  <c r="E101" i="4"/>
  <c r="D101" i="4"/>
  <c r="C101" i="4"/>
  <c r="F100" i="4"/>
  <c r="D100" i="4"/>
  <c r="E100" i="4" s="1"/>
  <c r="C100" i="4"/>
  <c r="F99" i="4"/>
  <c r="E99" i="4"/>
  <c r="D99" i="4"/>
  <c r="C99" i="4"/>
  <c r="F98" i="4"/>
  <c r="D98" i="4"/>
  <c r="E98" i="4" s="1"/>
  <c r="C98" i="4"/>
  <c r="F97" i="4"/>
  <c r="E97" i="4"/>
  <c r="D97" i="4"/>
  <c r="C97" i="4"/>
  <c r="F96" i="4"/>
  <c r="D96" i="4"/>
  <c r="E96" i="4" s="1"/>
  <c r="C96" i="4"/>
  <c r="F95" i="4"/>
  <c r="E95" i="4"/>
  <c r="D95" i="4"/>
  <c r="C95" i="4"/>
  <c r="F94" i="4"/>
  <c r="D94" i="4"/>
  <c r="E94" i="4" s="1"/>
  <c r="C94" i="4"/>
  <c r="F93" i="4"/>
  <c r="E93" i="4"/>
  <c r="D93" i="4"/>
  <c r="C93" i="4"/>
  <c r="F92" i="4"/>
  <c r="E92" i="4"/>
  <c r="D92" i="4"/>
  <c r="C92" i="4"/>
  <c r="F91" i="4"/>
  <c r="E91" i="4"/>
  <c r="D91" i="4"/>
  <c r="C91" i="4"/>
  <c r="F90" i="4"/>
  <c r="E90" i="4"/>
  <c r="D90" i="4"/>
  <c r="C90" i="4"/>
  <c r="F89" i="4"/>
  <c r="E89" i="4"/>
  <c r="D89" i="4"/>
  <c r="C89" i="4"/>
  <c r="F88" i="4"/>
  <c r="E88" i="4"/>
  <c r="D88" i="4"/>
  <c r="C88" i="4"/>
  <c r="F87" i="4"/>
  <c r="E87" i="4"/>
  <c r="D87" i="4"/>
  <c r="C87" i="4"/>
  <c r="F86" i="4"/>
  <c r="E86" i="4"/>
  <c r="D86" i="4"/>
  <c r="C86" i="4"/>
  <c r="F85" i="4"/>
  <c r="E85" i="4"/>
  <c r="D85" i="4"/>
  <c r="C85" i="4"/>
  <c r="F84" i="4"/>
  <c r="E84" i="4"/>
  <c r="D84" i="4"/>
  <c r="C84" i="4"/>
  <c r="F83" i="4"/>
  <c r="E83" i="4"/>
  <c r="D83" i="4"/>
  <c r="C83" i="4"/>
  <c r="F82" i="4"/>
  <c r="E82" i="4"/>
  <c r="D82" i="4"/>
  <c r="C82" i="4"/>
  <c r="F81" i="4"/>
  <c r="E81" i="4"/>
  <c r="D81" i="4"/>
  <c r="C81" i="4"/>
  <c r="F80" i="4"/>
  <c r="E80" i="4"/>
  <c r="D80" i="4"/>
  <c r="C80" i="4"/>
  <c r="F79" i="4"/>
  <c r="E79" i="4"/>
  <c r="D79" i="4"/>
  <c r="C79" i="4"/>
  <c r="F78" i="4"/>
  <c r="E78" i="4"/>
  <c r="D78" i="4"/>
  <c r="C78" i="4"/>
  <c r="F77" i="4"/>
  <c r="E77" i="4"/>
  <c r="D77" i="4"/>
  <c r="C77" i="4"/>
  <c r="F76" i="4"/>
  <c r="E76" i="4"/>
  <c r="D76" i="4"/>
  <c r="C76" i="4"/>
  <c r="F75" i="4"/>
  <c r="E75" i="4"/>
  <c r="D75" i="4"/>
  <c r="C75" i="4"/>
  <c r="F74" i="4"/>
  <c r="E74" i="4"/>
  <c r="D74" i="4"/>
  <c r="C74" i="4"/>
  <c r="F73" i="4"/>
  <c r="E73" i="4"/>
  <c r="D73" i="4"/>
  <c r="C73" i="4"/>
  <c r="F72" i="4"/>
  <c r="E72" i="4"/>
  <c r="D72" i="4"/>
  <c r="C72" i="4"/>
  <c r="F71" i="4"/>
  <c r="E71" i="4"/>
  <c r="D71" i="4"/>
  <c r="C71" i="4"/>
  <c r="F70" i="4"/>
  <c r="E70" i="4"/>
  <c r="D70" i="4"/>
  <c r="C70" i="4"/>
  <c r="F69" i="4"/>
  <c r="E69" i="4"/>
  <c r="D69" i="4"/>
  <c r="C69" i="4"/>
  <c r="F68" i="4"/>
  <c r="E68" i="4"/>
  <c r="D68" i="4"/>
  <c r="C68" i="4"/>
  <c r="F67" i="4"/>
  <c r="E67" i="4"/>
  <c r="D67" i="4"/>
  <c r="C67" i="4"/>
  <c r="F66" i="4"/>
  <c r="E66" i="4"/>
  <c r="D66" i="4"/>
  <c r="C66" i="4"/>
  <c r="F65" i="4"/>
  <c r="E65" i="4"/>
  <c r="D65" i="4"/>
  <c r="C65" i="4"/>
  <c r="F64" i="4"/>
  <c r="E64" i="4"/>
  <c r="D64" i="4"/>
  <c r="C64" i="4"/>
  <c r="F63" i="4"/>
  <c r="E63" i="4"/>
  <c r="D63" i="4"/>
  <c r="C63" i="4"/>
  <c r="F62" i="4"/>
  <c r="E62" i="4"/>
  <c r="D62" i="4"/>
  <c r="C62" i="4"/>
  <c r="F61" i="4"/>
  <c r="E61" i="4"/>
  <c r="D61" i="4"/>
  <c r="C61" i="4"/>
  <c r="F60" i="4"/>
  <c r="E60" i="4"/>
  <c r="D60" i="4"/>
  <c r="C60" i="4"/>
  <c r="F59" i="4"/>
  <c r="E59" i="4"/>
  <c r="D59" i="4"/>
  <c r="C59" i="4"/>
  <c r="F58" i="4"/>
  <c r="E58" i="4"/>
  <c r="D58" i="4"/>
  <c r="C58" i="4"/>
  <c r="F57" i="4"/>
  <c r="E57" i="4"/>
  <c r="D57" i="4"/>
  <c r="C57" i="4"/>
  <c r="F56" i="4"/>
  <c r="E56" i="4"/>
  <c r="D56" i="4"/>
  <c r="C56" i="4"/>
  <c r="F55" i="4"/>
  <c r="E55" i="4"/>
  <c r="D55" i="4"/>
  <c r="C55" i="4"/>
  <c r="F54" i="4"/>
  <c r="E54" i="4"/>
  <c r="D54" i="4"/>
  <c r="C54" i="4"/>
  <c r="F53" i="4"/>
  <c r="E53" i="4"/>
  <c r="D53" i="4"/>
  <c r="C53" i="4"/>
  <c r="F52" i="4"/>
  <c r="E52" i="4"/>
  <c r="D52" i="4"/>
  <c r="C52" i="4"/>
  <c r="F51" i="4"/>
  <c r="E51" i="4"/>
  <c r="D51" i="4"/>
  <c r="C51" i="4"/>
  <c r="F50" i="4"/>
  <c r="E50" i="4"/>
  <c r="D50" i="4"/>
  <c r="C50" i="4"/>
  <c r="F49" i="4"/>
  <c r="E49" i="4"/>
  <c r="D49" i="4"/>
  <c r="C49" i="4"/>
  <c r="F48" i="4"/>
  <c r="E48" i="4"/>
  <c r="D48" i="4"/>
  <c r="C48" i="4"/>
  <c r="F47" i="4"/>
  <c r="E47" i="4"/>
  <c r="D47" i="4"/>
  <c r="C47" i="4"/>
  <c r="F46" i="4"/>
  <c r="E46" i="4"/>
  <c r="D46" i="4"/>
  <c r="C46" i="4"/>
  <c r="F45" i="4"/>
  <c r="E45" i="4"/>
  <c r="D45" i="4"/>
  <c r="C45" i="4"/>
  <c r="F44" i="4"/>
  <c r="E44" i="4"/>
  <c r="D44" i="4"/>
  <c r="C44" i="4"/>
  <c r="F43" i="4"/>
  <c r="E43" i="4"/>
  <c r="D43" i="4"/>
  <c r="C43" i="4"/>
  <c r="F42" i="4"/>
  <c r="E42" i="4"/>
  <c r="D42" i="4"/>
  <c r="C42" i="4"/>
  <c r="F41" i="4"/>
  <c r="E41" i="4"/>
  <c r="D41" i="4"/>
  <c r="C41" i="4"/>
  <c r="F40" i="4"/>
  <c r="E40" i="4"/>
  <c r="D40" i="4"/>
  <c r="C40" i="4"/>
  <c r="F39" i="4"/>
  <c r="E39" i="4"/>
  <c r="D39" i="4"/>
  <c r="C39" i="4"/>
  <c r="F38" i="4"/>
  <c r="E38" i="4"/>
  <c r="D38" i="4"/>
  <c r="C38" i="4"/>
  <c r="F37" i="4"/>
  <c r="E37" i="4"/>
  <c r="D37" i="4"/>
  <c r="C37" i="4"/>
  <c r="F36" i="4"/>
  <c r="E36" i="4"/>
  <c r="D36" i="4"/>
  <c r="C36" i="4"/>
  <c r="F35" i="4"/>
  <c r="E35" i="4"/>
  <c r="D35" i="4"/>
  <c r="C35" i="4"/>
  <c r="F34" i="4"/>
  <c r="E34" i="4"/>
  <c r="D34" i="4"/>
  <c r="C34" i="4"/>
  <c r="F33" i="4"/>
  <c r="E33" i="4"/>
  <c r="D33" i="4"/>
  <c r="C33" i="4"/>
  <c r="F32" i="4"/>
  <c r="E32" i="4"/>
  <c r="D32" i="4"/>
  <c r="C32" i="4"/>
  <c r="F31" i="4"/>
  <c r="E31" i="4"/>
  <c r="D31" i="4"/>
  <c r="C31" i="4"/>
  <c r="F30" i="4"/>
  <c r="E30" i="4"/>
  <c r="D30" i="4"/>
  <c r="C30" i="4"/>
  <c r="F29" i="4"/>
  <c r="E29" i="4"/>
  <c r="D29" i="4"/>
  <c r="C29" i="4"/>
  <c r="F28" i="4"/>
  <c r="E28" i="4"/>
  <c r="D28" i="4"/>
  <c r="C28" i="4"/>
  <c r="F27" i="4"/>
  <c r="E27" i="4"/>
  <c r="D27" i="4"/>
  <c r="C27" i="4"/>
  <c r="F26" i="4"/>
  <c r="E26" i="4"/>
  <c r="D26" i="4"/>
  <c r="C26" i="4"/>
  <c r="F25" i="4"/>
  <c r="E25" i="4"/>
  <c r="D25" i="4"/>
  <c r="C25" i="4"/>
  <c r="F24" i="4"/>
  <c r="E24" i="4"/>
  <c r="D24" i="4"/>
  <c r="C24" i="4"/>
  <c r="F23" i="4"/>
  <c r="E23" i="4"/>
  <c r="D23" i="4"/>
  <c r="C23" i="4"/>
  <c r="F22" i="4"/>
  <c r="E22" i="4"/>
  <c r="D22" i="4"/>
  <c r="C22" i="4"/>
  <c r="F21" i="4"/>
  <c r="E21" i="4"/>
  <c r="D21" i="4"/>
  <c r="C21" i="4"/>
  <c r="F20" i="4"/>
  <c r="E20" i="4"/>
  <c r="D20" i="4"/>
  <c r="C20" i="4"/>
  <c r="F19" i="4"/>
  <c r="E19" i="4"/>
  <c r="D19" i="4"/>
  <c r="C19" i="4"/>
  <c r="F18" i="4"/>
  <c r="E18" i="4"/>
  <c r="D18" i="4"/>
  <c r="C18" i="4"/>
  <c r="F17" i="4"/>
  <c r="E17" i="4"/>
  <c r="D17" i="4"/>
  <c r="C17" i="4"/>
  <c r="F16" i="4"/>
  <c r="E16" i="4"/>
  <c r="D16" i="4"/>
  <c r="C16" i="4"/>
  <c r="F15" i="4"/>
  <c r="E15" i="4"/>
  <c r="D15" i="4"/>
  <c r="C15" i="4"/>
  <c r="F14" i="4"/>
  <c r="E14" i="4"/>
  <c r="D14" i="4"/>
  <c r="C14" i="4"/>
  <c r="F13" i="4"/>
  <c r="E13" i="4"/>
  <c r="D13" i="4"/>
  <c r="C13" i="4"/>
  <c r="F12" i="4"/>
  <c r="E12" i="4"/>
  <c r="D12" i="4"/>
  <c r="C12" i="4"/>
  <c r="F11" i="4"/>
  <c r="E11" i="4"/>
  <c r="D11" i="4"/>
  <c r="C11" i="4"/>
  <c r="F10" i="4"/>
  <c r="E10" i="4"/>
  <c r="D10" i="4"/>
  <c r="C10" i="4"/>
  <c r="F9" i="4"/>
  <c r="E9" i="4"/>
  <c r="D9" i="4"/>
  <c r="C9" i="4"/>
  <c r="F8" i="4"/>
  <c r="E8" i="4"/>
  <c r="D8" i="4"/>
  <c r="C8" i="4"/>
  <c r="F7" i="4"/>
  <c r="E7" i="4"/>
  <c r="D7" i="4"/>
  <c r="C7" i="4"/>
  <c r="F6" i="4"/>
  <c r="E6" i="4"/>
  <c r="D6" i="4"/>
  <c r="C6" i="4"/>
  <c r="F5" i="4"/>
  <c r="E5" i="4"/>
  <c r="D5" i="4"/>
  <c r="C5" i="4"/>
  <c r="C212" i="4" s="1"/>
  <c r="E11" i="3"/>
  <c r="D11" i="3"/>
  <c r="E10" i="3"/>
  <c r="D10" i="3"/>
  <c r="E9" i="3"/>
  <c r="D9" i="3"/>
  <c r="E8" i="3"/>
  <c r="D8" i="3"/>
  <c r="E7" i="3"/>
  <c r="D7" i="3"/>
  <c r="E6" i="3"/>
  <c r="D6" i="3"/>
  <c r="E5" i="3"/>
  <c r="D5" i="3"/>
  <c r="A22" i="2"/>
  <c r="B1009" i="1"/>
  <c r="G1002" i="1"/>
  <c r="D1002" i="1"/>
  <c r="E1002" i="1" s="1"/>
  <c r="G1001" i="1"/>
  <c r="E1001" i="1"/>
  <c r="D1001" i="1"/>
  <c r="G1000" i="1"/>
  <c r="D1000" i="1"/>
  <c r="E1000" i="1" s="1"/>
  <c r="G999" i="1"/>
  <c r="E999" i="1"/>
  <c r="D999" i="1"/>
  <c r="G998" i="1"/>
  <c r="E998" i="1"/>
  <c r="D998" i="1"/>
  <c r="G997" i="1"/>
  <c r="E997" i="1"/>
  <c r="D997" i="1"/>
  <c r="G996" i="1"/>
  <c r="D996" i="1"/>
  <c r="E996" i="1" s="1"/>
  <c r="G995" i="1"/>
  <c r="E995" i="1"/>
  <c r="D995" i="1"/>
  <c r="G994" i="1"/>
  <c r="D994" i="1"/>
  <c r="E994" i="1" s="1"/>
  <c r="G993" i="1"/>
  <c r="D993" i="1"/>
  <c r="E993" i="1" s="1"/>
  <c r="G992" i="1"/>
  <c r="D992" i="1"/>
  <c r="E992" i="1" s="1"/>
  <c r="G991" i="1"/>
  <c r="E991" i="1"/>
  <c r="D991" i="1"/>
  <c r="G990" i="1"/>
  <c r="D990" i="1"/>
  <c r="E990" i="1" s="1"/>
  <c r="G989" i="1"/>
  <c r="E989" i="1"/>
  <c r="D989" i="1"/>
  <c r="G988" i="1"/>
  <c r="D988" i="1"/>
  <c r="E988" i="1" s="1"/>
  <c r="G987" i="1"/>
  <c r="E987" i="1"/>
  <c r="D987" i="1"/>
  <c r="G986" i="1"/>
  <c r="D986" i="1"/>
  <c r="E986" i="1" s="1"/>
  <c r="G985" i="1"/>
  <c r="D985" i="1"/>
  <c r="E985" i="1" s="1"/>
  <c r="G984" i="1"/>
  <c r="D984" i="1"/>
  <c r="E984" i="1" s="1"/>
  <c r="G983" i="1"/>
  <c r="E983" i="1"/>
  <c r="D983" i="1"/>
  <c r="G982" i="1"/>
  <c r="D982" i="1"/>
  <c r="E982" i="1" s="1"/>
  <c r="G981" i="1"/>
  <c r="E981" i="1"/>
  <c r="D981" i="1"/>
  <c r="G980" i="1"/>
  <c r="D980" i="1"/>
  <c r="E980" i="1" s="1"/>
  <c r="G979" i="1"/>
  <c r="E979" i="1"/>
  <c r="D979" i="1"/>
  <c r="G978" i="1"/>
  <c r="D978" i="1"/>
  <c r="E978" i="1" s="1"/>
  <c r="G977" i="1"/>
  <c r="E977" i="1"/>
  <c r="D977" i="1"/>
  <c r="G976" i="1"/>
  <c r="D976" i="1"/>
  <c r="E976" i="1" s="1"/>
  <c r="G975" i="1"/>
  <c r="E975" i="1"/>
  <c r="D975" i="1"/>
  <c r="G974" i="1"/>
  <c r="E974" i="1"/>
  <c r="D974" i="1"/>
  <c r="G973" i="1"/>
  <c r="E973" i="1"/>
  <c r="D973" i="1"/>
  <c r="G972" i="1"/>
  <c r="D972" i="1"/>
  <c r="E972" i="1" s="1"/>
  <c r="G971" i="1"/>
  <c r="E971" i="1"/>
  <c r="D971" i="1"/>
  <c r="G970" i="1"/>
  <c r="E970" i="1"/>
  <c r="D970" i="1"/>
  <c r="G969" i="1"/>
  <c r="E969" i="1"/>
  <c r="D969" i="1"/>
  <c r="G968" i="1"/>
  <c r="D968" i="1"/>
  <c r="E968" i="1" s="1"/>
  <c r="G967" i="1"/>
  <c r="E967" i="1"/>
  <c r="D967" i="1"/>
  <c r="G966" i="1"/>
  <c r="E966" i="1"/>
  <c r="D966" i="1"/>
  <c r="G965" i="1"/>
  <c r="E965" i="1"/>
  <c r="D965" i="1"/>
  <c r="G964" i="1"/>
  <c r="D964" i="1"/>
  <c r="E964" i="1" s="1"/>
  <c r="G963" i="1"/>
  <c r="E963" i="1"/>
  <c r="D963" i="1"/>
  <c r="G962" i="1"/>
  <c r="E962" i="1"/>
  <c r="D962" i="1"/>
  <c r="G961" i="1"/>
  <c r="D961" i="1"/>
  <c r="E961" i="1" s="1"/>
  <c r="G960" i="1"/>
  <c r="D960" i="1"/>
  <c r="E960" i="1" s="1"/>
  <c r="G959" i="1"/>
  <c r="E959" i="1"/>
  <c r="D959" i="1"/>
  <c r="G958" i="1"/>
  <c r="D958" i="1"/>
  <c r="E958" i="1" s="1"/>
  <c r="G957" i="1"/>
  <c r="D957" i="1"/>
  <c r="E957" i="1" s="1"/>
  <c r="G956" i="1"/>
  <c r="D956" i="1"/>
  <c r="E956" i="1" s="1"/>
  <c r="G955" i="1"/>
  <c r="E955" i="1"/>
  <c r="D955" i="1"/>
  <c r="G954" i="1"/>
  <c r="D954" i="1"/>
  <c r="E954" i="1" s="1"/>
  <c r="G953" i="1"/>
  <c r="D953" i="1"/>
  <c r="E953" i="1" s="1"/>
  <c r="G952" i="1"/>
  <c r="D952" i="1"/>
  <c r="E952" i="1" s="1"/>
  <c r="G951" i="1"/>
  <c r="E951" i="1"/>
  <c r="D951" i="1"/>
  <c r="G950" i="1"/>
  <c r="D950" i="1"/>
  <c r="E950" i="1" s="1"/>
  <c r="G949" i="1"/>
  <c r="D949" i="1"/>
  <c r="E949" i="1" s="1"/>
  <c r="G948" i="1"/>
  <c r="D948" i="1"/>
  <c r="E948" i="1" s="1"/>
  <c r="G947" i="1"/>
  <c r="E947" i="1"/>
  <c r="D947" i="1"/>
  <c r="G946" i="1"/>
  <c r="D946" i="1"/>
  <c r="E946" i="1" s="1"/>
  <c r="G945" i="1"/>
  <c r="E945" i="1"/>
  <c r="D945" i="1"/>
  <c r="G944" i="1"/>
  <c r="D944" i="1"/>
  <c r="E944" i="1" s="1"/>
  <c r="G943" i="1"/>
  <c r="E943" i="1"/>
  <c r="D943" i="1"/>
  <c r="G942" i="1"/>
  <c r="E942" i="1"/>
  <c r="D942" i="1"/>
  <c r="G941" i="1"/>
  <c r="E941" i="1"/>
  <c r="D941" i="1"/>
  <c r="G940" i="1"/>
  <c r="D940" i="1"/>
  <c r="E940" i="1" s="1"/>
  <c r="G939" i="1"/>
  <c r="E939" i="1"/>
  <c r="D939" i="1"/>
  <c r="G938" i="1"/>
  <c r="E938" i="1"/>
  <c r="D938" i="1"/>
  <c r="G937" i="1"/>
  <c r="E937" i="1"/>
  <c r="D937" i="1"/>
  <c r="G936" i="1"/>
  <c r="E936" i="1"/>
  <c r="D936" i="1"/>
  <c r="G935" i="1"/>
  <c r="E935" i="1"/>
  <c r="D935" i="1"/>
  <c r="G934" i="1"/>
  <c r="D934" i="1"/>
  <c r="E934" i="1" s="1"/>
  <c r="G933" i="1"/>
  <c r="D933" i="1"/>
  <c r="E933" i="1" s="1"/>
  <c r="G932" i="1"/>
  <c r="D932" i="1"/>
  <c r="E932" i="1" s="1"/>
  <c r="G931" i="1"/>
  <c r="D931" i="1"/>
  <c r="E931" i="1" s="1"/>
  <c r="G930" i="1"/>
  <c r="D930" i="1"/>
  <c r="E930" i="1" s="1"/>
  <c r="G929" i="1"/>
  <c r="D929" i="1"/>
  <c r="E929" i="1" s="1"/>
  <c r="G928" i="1"/>
  <c r="E928" i="1"/>
  <c r="D928" i="1"/>
  <c r="G927" i="1"/>
  <c r="E927" i="1"/>
  <c r="D927" i="1"/>
  <c r="G926" i="1"/>
  <c r="E926" i="1"/>
  <c r="D926" i="1"/>
  <c r="G925" i="1"/>
  <c r="E925" i="1"/>
  <c r="D925" i="1"/>
  <c r="G924" i="1"/>
  <c r="D924" i="1"/>
  <c r="E924" i="1" s="1"/>
  <c r="G923" i="1"/>
  <c r="E923" i="1"/>
  <c r="D923" i="1"/>
  <c r="G922" i="1"/>
  <c r="E922" i="1"/>
  <c r="D922" i="1"/>
  <c r="G921" i="1"/>
  <c r="D921" i="1"/>
  <c r="E921" i="1" s="1"/>
  <c r="G920" i="1"/>
  <c r="D920" i="1"/>
  <c r="E920" i="1" s="1"/>
  <c r="G919" i="1"/>
  <c r="E919" i="1"/>
  <c r="D919" i="1"/>
  <c r="G918" i="1"/>
  <c r="D918" i="1"/>
  <c r="E918" i="1" s="1"/>
  <c r="G917" i="1"/>
  <c r="E917" i="1"/>
  <c r="D917" i="1"/>
  <c r="G916" i="1"/>
  <c r="D916" i="1"/>
  <c r="E916" i="1" s="1"/>
  <c r="G915" i="1"/>
  <c r="D915" i="1"/>
  <c r="E915" i="1" s="1"/>
  <c r="G914" i="1"/>
  <c r="E914" i="1"/>
  <c r="D914" i="1"/>
  <c r="G913" i="1"/>
  <c r="E913" i="1"/>
  <c r="D913" i="1"/>
  <c r="G912" i="1"/>
  <c r="E912" i="1"/>
  <c r="D912" i="1"/>
  <c r="G911" i="1"/>
  <c r="E911" i="1"/>
  <c r="D911" i="1"/>
  <c r="G910" i="1"/>
  <c r="D910" i="1"/>
  <c r="E910" i="1" s="1"/>
  <c r="G909" i="1"/>
  <c r="D909" i="1"/>
  <c r="E909" i="1" s="1"/>
  <c r="G908" i="1"/>
  <c r="D908" i="1"/>
  <c r="E908" i="1" s="1"/>
  <c r="G907" i="1"/>
  <c r="D907" i="1"/>
  <c r="E907" i="1" s="1"/>
  <c r="G906" i="1"/>
  <c r="D906" i="1"/>
  <c r="E906" i="1" s="1"/>
  <c r="G905" i="1"/>
  <c r="D905" i="1"/>
  <c r="E905" i="1" s="1"/>
  <c r="G904" i="1"/>
  <c r="D904" i="1"/>
  <c r="E904" i="1" s="1"/>
  <c r="G903" i="1"/>
  <c r="E903" i="1"/>
  <c r="D903" i="1"/>
  <c r="G902" i="1"/>
  <c r="E902" i="1"/>
  <c r="D902" i="1"/>
  <c r="G901" i="1"/>
  <c r="E901" i="1"/>
  <c r="D901" i="1"/>
  <c r="G900" i="1"/>
  <c r="D900" i="1"/>
  <c r="E900" i="1" s="1"/>
  <c r="G899" i="1"/>
  <c r="E899" i="1"/>
  <c r="D899" i="1"/>
  <c r="G898" i="1"/>
  <c r="E898" i="1"/>
  <c r="D898" i="1"/>
  <c r="G897" i="1"/>
  <c r="E897" i="1"/>
  <c r="D897" i="1"/>
  <c r="G896" i="1"/>
  <c r="D896" i="1"/>
  <c r="E896" i="1" s="1"/>
  <c r="G895" i="1"/>
  <c r="E895" i="1"/>
  <c r="D895" i="1"/>
  <c r="G894" i="1"/>
  <c r="D894" i="1"/>
  <c r="E894" i="1" s="1"/>
  <c r="G893" i="1"/>
  <c r="D893" i="1"/>
  <c r="E893" i="1" s="1"/>
  <c r="G892" i="1"/>
  <c r="D892" i="1"/>
  <c r="E892" i="1" s="1"/>
  <c r="G891" i="1"/>
  <c r="D891" i="1"/>
  <c r="E891" i="1" s="1"/>
  <c r="G890" i="1"/>
  <c r="D890" i="1"/>
  <c r="E890" i="1" s="1"/>
  <c r="G889" i="1"/>
  <c r="E889" i="1"/>
  <c r="D889" i="1"/>
  <c r="G888" i="1"/>
  <c r="E888" i="1"/>
  <c r="D888" i="1"/>
  <c r="G887" i="1"/>
  <c r="E887" i="1"/>
  <c r="D887" i="1"/>
  <c r="G886" i="1"/>
  <c r="E886" i="1"/>
  <c r="D886" i="1"/>
  <c r="G885" i="1"/>
  <c r="D885" i="1"/>
  <c r="E885" i="1" s="1"/>
  <c r="G884" i="1"/>
  <c r="D884" i="1"/>
  <c r="E884" i="1" s="1"/>
  <c r="G883" i="1"/>
  <c r="E883" i="1"/>
  <c r="D883" i="1"/>
  <c r="G882" i="1"/>
  <c r="D882" i="1"/>
  <c r="E882" i="1" s="1"/>
  <c r="G881" i="1"/>
  <c r="D881" i="1"/>
  <c r="E881" i="1" s="1"/>
  <c r="G880" i="1"/>
  <c r="D880" i="1"/>
  <c r="E880" i="1" s="1"/>
  <c r="G879" i="1"/>
  <c r="E879" i="1"/>
  <c r="D879" i="1"/>
  <c r="G878" i="1"/>
  <c r="E878" i="1"/>
  <c r="D878" i="1"/>
  <c r="G877" i="1"/>
  <c r="E877" i="1"/>
  <c r="D877" i="1"/>
  <c r="G876" i="1"/>
  <c r="D876" i="1"/>
  <c r="E876" i="1" s="1"/>
  <c r="G875" i="1"/>
  <c r="E875" i="1"/>
  <c r="D875" i="1"/>
  <c r="G874" i="1"/>
  <c r="E874" i="1"/>
  <c r="D874" i="1"/>
  <c r="G873" i="1"/>
  <c r="E873" i="1"/>
  <c r="D873" i="1"/>
  <c r="G872" i="1"/>
  <c r="E872" i="1"/>
  <c r="D872" i="1"/>
  <c r="G871" i="1"/>
  <c r="E871" i="1"/>
  <c r="D871" i="1"/>
  <c r="G870" i="1"/>
  <c r="D870" i="1"/>
  <c r="E870" i="1" s="1"/>
  <c r="G869" i="1"/>
  <c r="D869" i="1"/>
  <c r="E869" i="1" s="1"/>
  <c r="G868" i="1"/>
  <c r="D868" i="1"/>
  <c r="E868" i="1" s="1"/>
  <c r="G867" i="1"/>
  <c r="D867" i="1"/>
  <c r="E867" i="1" s="1"/>
  <c r="G866" i="1"/>
  <c r="D866" i="1"/>
  <c r="E866" i="1" s="1"/>
  <c r="G865" i="1"/>
  <c r="D865" i="1"/>
  <c r="E865" i="1" s="1"/>
  <c r="G864" i="1"/>
  <c r="E864" i="1"/>
  <c r="D864" i="1"/>
  <c r="G863" i="1"/>
  <c r="E863" i="1"/>
  <c r="D863" i="1"/>
  <c r="G862" i="1"/>
  <c r="E862" i="1"/>
  <c r="D862" i="1"/>
  <c r="G861" i="1"/>
  <c r="E861" i="1"/>
  <c r="D861" i="1"/>
  <c r="G860" i="1"/>
  <c r="D860" i="1"/>
  <c r="E860" i="1" s="1"/>
  <c r="G859" i="1"/>
  <c r="E859" i="1"/>
  <c r="D859" i="1"/>
  <c r="G858" i="1"/>
  <c r="E858" i="1"/>
  <c r="D858" i="1"/>
  <c r="G857" i="1"/>
  <c r="D857" i="1"/>
  <c r="E857" i="1" s="1"/>
  <c r="G856" i="1"/>
  <c r="D856" i="1"/>
  <c r="E856" i="1" s="1"/>
  <c r="G855" i="1"/>
  <c r="E855" i="1"/>
  <c r="D855" i="1"/>
  <c r="G854" i="1"/>
  <c r="D854" i="1"/>
  <c r="E854" i="1" s="1"/>
  <c r="G853" i="1"/>
  <c r="E853" i="1"/>
  <c r="D853" i="1"/>
  <c r="G852" i="1"/>
  <c r="D852" i="1"/>
  <c r="E852" i="1" s="1"/>
  <c r="G851" i="1"/>
  <c r="D851" i="1"/>
  <c r="E851" i="1" s="1"/>
  <c r="G850" i="1"/>
  <c r="E850" i="1"/>
  <c r="D850" i="1"/>
  <c r="G849" i="1"/>
  <c r="E849" i="1"/>
  <c r="D849" i="1"/>
  <c r="G848" i="1"/>
  <c r="E848" i="1"/>
  <c r="D848" i="1"/>
  <c r="G847" i="1"/>
  <c r="E847" i="1"/>
  <c r="D847" i="1"/>
  <c r="G846" i="1"/>
  <c r="D846" i="1"/>
  <c r="E846" i="1" s="1"/>
  <c r="G845" i="1"/>
  <c r="D845" i="1"/>
  <c r="E845" i="1" s="1"/>
  <c r="G844" i="1"/>
  <c r="D844" i="1"/>
  <c r="E844" i="1" s="1"/>
  <c r="G843" i="1"/>
  <c r="D843" i="1"/>
  <c r="E843" i="1" s="1"/>
  <c r="G842" i="1"/>
  <c r="D842" i="1"/>
  <c r="E842" i="1" s="1"/>
  <c r="G841" i="1"/>
  <c r="D841" i="1"/>
  <c r="E841" i="1" s="1"/>
  <c r="G840" i="1"/>
  <c r="D840" i="1"/>
  <c r="E840" i="1" s="1"/>
  <c r="G839" i="1"/>
  <c r="E839" i="1"/>
  <c r="D839" i="1"/>
  <c r="G838" i="1"/>
  <c r="E838" i="1"/>
  <c r="D838" i="1"/>
  <c r="G837" i="1"/>
  <c r="E837" i="1"/>
  <c r="D837" i="1"/>
  <c r="G836" i="1"/>
  <c r="D836" i="1"/>
  <c r="E836" i="1" s="1"/>
  <c r="G835" i="1"/>
  <c r="E835" i="1"/>
  <c r="D835" i="1"/>
  <c r="G834" i="1"/>
  <c r="E834" i="1"/>
  <c r="D834" i="1"/>
  <c r="G833" i="1"/>
  <c r="E833" i="1"/>
  <c r="D833" i="1"/>
  <c r="G832" i="1"/>
  <c r="D832" i="1"/>
  <c r="E832" i="1" s="1"/>
  <c r="G831" i="1"/>
  <c r="E831" i="1"/>
  <c r="D831" i="1"/>
  <c r="G830" i="1"/>
  <c r="D830" i="1"/>
  <c r="E830" i="1" s="1"/>
  <c r="G829" i="1"/>
  <c r="D829" i="1"/>
  <c r="E829" i="1" s="1"/>
  <c r="G828" i="1"/>
  <c r="D828" i="1"/>
  <c r="E828" i="1" s="1"/>
  <c r="G827" i="1"/>
  <c r="D827" i="1"/>
  <c r="E827" i="1" s="1"/>
  <c r="G826" i="1"/>
  <c r="D826" i="1"/>
  <c r="E826" i="1" s="1"/>
  <c r="G825" i="1"/>
  <c r="E825" i="1"/>
  <c r="D825" i="1"/>
  <c r="G824" i="1"/>
  <c r="E824" i="1"/>
  <c r="D824" i="1"/>
  <c r="G823" i="1"/>
  <c r="E823" i="1"/>
  <c r="D823" i="1"/>
  <c r="G822" i="1"/>
  <c r="E822" i="1"/>
  <c r="D822" i="1"/>
  <c r="G821" i="1"/>
  <c r="D821" i="1"/>
  <c r="E821" i="1" s="1"/>
  <c r="G820" i="1"/>
  <c r="D820" i="1"/>
  <c r="E820" i="1" s="1"/>
  <c r="G819" i="1"/>
  <c r="E819" i="1"/>
  <c r="D819" i="1"/>
  <c r="G818" i="1"/>
  <c r="D818" i="1"/>
  <c r="E818" i="1" s="1"/>
  <c r="G817" i="1"/>
  <c r="D817" i="1"/>
  <c r="E817" i="1" s="1"/>
  <c r="G816" i="1"/>
  <c r="D816" i="1"/>
  <c r="E816" i="1" s="1"/>
  <c r="G815" i="1"/>
  <c r="D815" i="1"/>
  <c r="E815" i="1" s="1"/>
  <c r="G814" i="1"/>
  <c r="E814" i="1"/>
  <c r="D814" i="1"/>
  <c r="G813" i="1"/>
  <c r="E813" i="1"/>
  <c r="D813" i="1"/>
  <c r="G812" i="1"/>
  <c r="E812" i="1"/>
  <c r="D812" i="1"/>
  <c r="G811" i="1"/>
  <c r="E811" i="1"/>
  <c r="D811" i="1"/>
  <c r="G810" i="1"/>
  <c r="D810" i="1"/>
  <c r="E810" i="1" s="1"/>
  <c r="G809" i="1"/>
  <c r="D809" i="1"/>
  <c r="E809" i="1" s="1"/>
  <c r="G808" i="1"/>
  <c r="D808" i="1"/>
  <c r="E808" i="1" s="1"/>
  <c r="G807" i="1"/>
  <c r="D807" i="1"/>
  <c r="E807" i="1" s="1"/>
  <c r="G806" i="1"/>
  <c r="E806" i="1"/>
  <c r="D806" i="1"/>
  <c r="G805" i="1"/>
  <c r="E805" i="1"/>
  <c r="D805" i="1"/>
  <c r="G804" i="1"/>
  <c r="E804" i="1"/>
  <c r="D804" i="1"/>
  <c r="G803" i="1"/>
  <c r="E803" i="1"/>
  <c r="D803" i="1"/>
  <c r="G802" i="1"/>
  <c r="D802" i="1"/>
  <c r="E802" i="1" s="1"/>
  <c r="G801" i="1"/>
  <c r="D801" i="1"/>
  <c r="E801" i="1" s="1"/>
  <c r="G800" i="1"/>
  <c r="D800" i="1"/>
  <c r="E800" i="1" s="1"/>
  <c r="G799" i="1"/>
  <c r="D799" i="1"/>
  <c r="E799" i="1" s="1"/>
  <c r="G798" i="1"/>
  <c r="E798" i="1"/>
  <c r="D798" i="1"/>
  <c r="G797" i="1"/>
  <c r="E797" i="1"/>
  <c r="D797" i="1"/>
  <c r="G796" i="1"/>
  <c r="E796" i="1"/>
  <c r="D796" i="1"/>
  <c r="G795" i="1"/>
  <c r="E795" i="1"/>
  <c r="D795" i="1"/>
  <c r="G794" i="1"/>
  <c r="D794" i="1"/>
  <c r="E794" i="1" s="1"/>
  <c r="G793" i="1"/>
  <c r="D793" i="1"/>
  <c r="E793" i="1" s="1"/>
  <c r="G792" i="1"/>
  <c r="D792" i="1"/>
  <c r="E792" i="1" s="1"/>
  <c r="G791" i="1"/>
  <c r="D791" i="1"/>
  <c r="E791" i="1" s="1"/>
  <c r="G790" i="1"/>
  <c r="E790" i="1"/>
  <c r="D790" i="1"/>
  <c r="G789" i="1"/>
  <c r="E789" i="1"/>
  <c r="D789" i="1"/>
  <c r="G788" i="1"/>
  <c r="E788" i="1"/>
  <c r="D788" i="1"/>
  <c r="G787" i="1"/>
  <c r="E787" i="1"/>
  <c r="D787" i="1"/>
  <c r="G786" i="1"/>
  <c r="D786" i="1"/>
  <c r="E786" i="1" s="1"/>
  <c r="G785" i="1"/>
  <c r="D785" i="1"/>
  <c r="E785" i="1" s="1"/>
  <c r="G784" i="1"/>
  <c r="D784" i="1"/>
  <c r="E784" i="1" s="1"/>
  <c r="G783" i="1"/>
  <c r="D783" i="1"/>
  <c r="E783" i="1" s="1"/>
  <c r="G782" i="1"/>
  <c r="E782" i="1"/>
  <c r="D782" i="1"/>
  <c r="G781" i="1"/>
  <c r="E781" i="1"/>
  <c r="D781" i="1"/>
  <c r="G780" i="1"/>
  <c r="E780" i="1"/>
  <c r="D780" i="1"/>
  <c r="G779" i="1"/>
  <c r="E779" i="1"/>
  <c r="D779" i="1"/>
  <c r="G778" i="1"/>
  <c r="D778" i="1"/>
  <c r="E778" i="1" s="1"/>
  <c r="G777" i="1"/>
  <c r="D777" i="1"/>
  <c r="E777" i="1" s="1"/>
  <c r="G776" i="1"/>
  <c r="D776" i="1"/>
  <c r="E776" i="1" s="1"/>
  <c r="G775" i="1"/>
  <c r="D775" i="1"/>
  <c r="E775" i="1" s="1"/>
  <c r="G774" i="1"/>
  <c r="E774" i="1"/>
  <c r="D774" i="1"/>
  <c r="G773" i="1"/>
  <c r="E773" i="1"/>
  <c r="D773" i="1"/>
  <c r="G772" i="1"/>
  <c r="E772" i="1"/>
  <c r="D772" i="1"/>
  <c r="G771" i="1"/>
  <c r="E771" i="1"/>
  <c r="D771" i="1"/>
  <c r="G770" i="1"/>
  <c r="D770" i="1"/>
  <c r="E770" i="1" s="1"/>
  <c r="G769" i="1"/>
  <c r="D769" i="1"/>
  <c r="E769" i="1" s="1"/>
  <c r="G768" i="1"/>
  <c r="D768" i="1"/>
  <c r="E768" i="1" s="1"/>
  <c r="G767" i="1"/>
  <c r="D767" i="1"/>
  <c r="E767" i="1" s="1"/>
  <c r="G766" i="1"/>
  <c r="E766" i="1"/>
  <c r="D766" i="1"/>
  <c r="G765" i="1"/>
  <c r="E765" i="1"/>
  <c r="D765" i="1"/>
  <c r="G764" i="1"/>
  <c r="E764" i="1"/>
  <c r="D764" i="1"/>
  <c r="G763" i="1"/>
  <c r="E763" i="1"/>
  <c r="D763" i="1"/>
  <c r="G762" i="1"/>
  <c r="D762" i="1"/>
  <c r="E762" i="1" s="1"/>
  <c r="G761" i="1"/>
  <c r="D761" i="1"/>
  <c r="E761" i="1" s="1"/>
  <c r="G760" i="1"/>
  <c r="D760" i="1"/>
  <c r="E760" i="1" s="1"/>
  <c r="G759" i="1"/>
  <c r="D759" i="1"/>
  <c r="E759" i="1" s="1"/>
  <c r="G758" i="1"/>
  <c r="E758" i="1"/>
  <c r="D758" i="1"/>
  <c r="G757" i="1"/>
  <c r="E757" i="1"/>
  <c r="D757" i="1"/>
  <c r="G756" i="1"/>
  <c r="E756" i="1"/>
  <c r="D756" i="1"/>
  <c r="G755" i="1"/>
  <c r="E755" i="1"/>
  <c r="D755" i="1"/>
  <c r="G754" i="1"/>
  <c r="D754" i="1"/>
  <c r="E754" i="1" s="1"/>
  <c r="G753" i="1"/>
  <c r="D753" i="1"/>
  <c r="E753" i="1" s="1"/>
  <c r="G752" i="1"/>
  <c r="D752" i="1"/>
  <c r="E752" i="1" s="1"/>
  <c r="G751" i="1"/>
  <c r="D751" i="1"/>
  <c r="E751" i="1" s="1"/>
  <c r="G750" i="1"/>
  <c r="E750" i="1"/>
  <c r="D750" i="1"/>
  <c r="G749" i="1"/>
  <c r="E749" i="1"/>
  <c r="D749" i="1"/>
  <c r="G748" i="1"/>
  <c r="E748" i="1"/>
  <c r="D748" i="1"/>
  <c r="G747" i="1"/>
  <c r="E747" i="1"/>
  <c r="D747" i="1"/>
  <c r="G746" i="1"/>
  <c r="D746" i="1"/>
  <c r="E746" i="1" s="1"/>
  <c r="G745" i="1"/>
  <c r="D745" i="1"/>
  <c r="E745" i="1" s="1"/>
  <c r="G744" i="1"/>
  <c r="D744" i="1"/>
  <c r="E744" i="1" s="1"/>
  <c r="G743" i="1"/>
  <c r="D743" i="1"/>
  <c r="E743" i="1" s="1"/>
  <c r="G742" i="1"/>
  <c r="E742" i="1"/>
  <c r="D742" i="1"/>
  <c r="G741" i="1"/>
  <c r="E741" i="1"/>
  <c r="D741" i="1"/>
  <c r="G740" i="1"/>
  <c r="E740" i="1"/>
  <c r="D740" i="1"/>
  <c r="G739" i="1"/>
  <c r="E739" i="1"/>
  <c r="D739" i="1"/>
  <c r="G738" i="1"/>
  <c r="D738" i="1"/>
  <c r="E738" i="1" s="1"/>
  <c r="G737" i="1"/>
  <c r="D737" i="1"/>
  <c r="E737" i="1" s="1"/>
  <c r="G736" i="1"/>
  <c r="D736" i="1"/>
  <c r="E736" i="1" s="1"/>
  <c r="G735" i="1"/>
  <c r="D735" i="1"/>
  <c r="E735" i="1" s="1"/>
  <c r="G734" i="1"/>
  <c r="E734" i="1"/>
  <c r="D734" i="1"/>
  <c r="G733" i="1"/>
  <c r="E733" i="1"/>
  <c r="D733" i="1"/>
  <c r="G732" i="1"/>
  <c r="E732" i="1"/>
  <c r="D732" i="1"/>
  <c r="G731" i="1"/>
  <c r="E731" i="1"/>
  <c r="D731" i="1"/>
  <c r="G730" i="1"/>
  <c r="D730" i="1"/>
  <c r="E730" i="1" s="1"/>
  <c r="G729" i="1"/>
  <c r="D729" i="1"/>
  <c r="E729" i="1" s="1"/>
  <c r="G728" i="1"/>
  <c r="D728" i="1"/>
  <c r="E728" i="1" s="1"/>
  <c r="G727" i="1"/>
  <c r="D727" i="1"/>
  <c r="E727" i="1" s="1"/>
  <c r="G726" i="1"/>
  <c r="E726" i="1"/>
  <c r="D726" i="1"/>
  <c r="G725" i="1"/>
  <c r="E725" i="1"/>
  <c r="D725" i="1"/>
  <c r="G724" i="1"/>
  <c r="E724" i="1"/>
  <c r="D724" i="1"/>
  <c r="G723" i="1"/>
  <c r="E723" i="1"/>
  <c r="D723" i="1"/>
  <c r="G722" i="1"/>
  <c r="D722" i="1"/>
  <c r="E722" i="1" s="1"/>
  <c r="G721" i="1"/>
  <c r="D721" i="1"/>
  <c r="E721" i="1" s="1"/>
  <c r="G720" i="1"/>
  <c r="D720" i="1"/>
  <c r="E720" i="1" s="1"/>
  <c r="G719" i="1"/>
  <c r="D719" i="1"/>
  <c r="E719" i="1" s="1"/>
  <c r="G718" i="1"/>
  <c r="E718" i="1"/>
  <c r="D718" i="1"/>
  <c r="G717" i="1"/>
  <c r="E717" i="1"/>
  <c r="D717" i="1"/>
  <c r="G716" i="1"/>
  <c r="E716" i="1"/>
  <c r="D716" i="1"/>
  <c r="G715" i="1"/>
  <c r="E715" i="1"/>
  <c r="D715" i="1"/>
  <c r="G714" i="1"/>
  <c r="D714" i="1"/>
  <c r="E714" i="1" s="1"/>
  <c r="G713" i="1"/>
  <c r="D713" i="1"/>
  <c r="E713" i="1" s="1"/>
  <c r="G712" i="1"/>
  <c r="D712" i="1"/>
  <c r="E712" i="1" s="1"/>
  <c r="G711" i="1"/>
  <c r="D711" i="1"/>
  <c r="E711" i="1" s="1"/>
  <c r="G710" i="1"/>
  <c r="E710" i="1"/>
  <c r="D710" i="1"/>
  <c r="G709" i="1"/>
  <c r="E709" i="1"/>
  <c r="D709" i="1"/>
  <c r="G708" i="1"/>
  <c r="E708" i="1"/>
  <c r="D708" i="1"/>
  <c r="G707" i="1"/>
  <c r="E707" i="1"/>
  <c r="D707" i="1"/>
  <c r="G706" i="1"/>
  <c r="D706" i="1"/>
  <c r="E706" i="1" s="1"/>
  <c r="G705" i="1"/>
  <c r="D705" i="1"/>
  <c r="E705" i="1" s="1"/>
  <c r="G704" i="1"/>
  <c r="D704" i="1"/>
  <c r="E704" i="1" s="1"/>
  <c r="G703" i="1"/>
  <c r="D703" i="1"/>
  <c r="E703" i="1" s="1"/>
  <c r="G702" i="1"/>
  <c r="D702" i="1"/>
  <c r="E702" i="1" s="1"/>
  <c r="G701" i="1"/>
  <c r="E701" i="1"/>
  <c r="D701" i="1"/>
  <c r="G700" i="1"/>
  <c r="E700" i="1"/>
  <c r="D700" i="1"/>
  <c r="G699" i="1"/>
  <c r="E699" i="1"/>
  <c r="D699" i="1"/>
  <c r="G698" i="1"/>
  <c r="D698" i="1"/>
  <c r="E698" i="1" s="1"/>
  <c r="G697" i="1"/>
  <c r="D697" i="1"/>
  <c r="E697" i="1" s="1"/>
  <c r="G696" i="1"/>
  <c r="D696" i="1"/>
  <c r="E696" i="1" s="1"/>
  <c r="G695" i="1"/>
  <c r="D695" i="1"/>
  <c r="E695" i="1" s="1"/>
  <c r="G694" i="1"/>
  <c r="E694" i="1"/>
  <c r="D694" i="1"/>
  <c r="G693" i="1"/>
  <c r="E693" i="1"/>
  <c r="D693" i="1"/>
  <c r="G692" i="1"/>
  <c r="E692" i="1"/>
  <c r="D692" i="1"/>
  <c r="G691" i="1"/>
  <c r="E691" i="1"/>
  <c r="D691" i="1"/>
  <c r="G690" i="1"/>
  <c r="D690" i="1"/>
  <c r="E690" i="1" s="1"/>
  <c r="G689" i="1"/>
  <c r="D689" i="1"/>
  <c r="E689" i="1" s="1"/>
  <c r="G688" i="1"/>
  <c r="D688" i="1"/>
  <c r="E688" i="1" s="1"/>
  <c r="G687" i="1"/>
  <c r="D687" i="1"/>
  <c r="E687" i="1" s="1"/>
  <c r="G686" i="1"/>
  <c r="D686" i="1"/>
  <c r="E686" i="1" s="1"/>
  <c r="G685" i="1"/>
  <c r="E685" i="1"/>
  <c r="D685" i="1"/>
  <c r="G684" i="1"/>
  <c r="E684" i="1"/>
  <c r="D684" i="1"/>
  <c r="G683" i="1"/>
  <c r="E683" i="1"/>
  <c r="D683" i="1"/>
  <c r="G682" i="1"/>
  <c r="D682" i="1"/>
  <c r="E682" i="1" s="1"/>
  <c r="G681" i="1"/>
  <c r="D681" i="1"/>
  <c r="E681" i="1" s="1"/>
  <c r="G680" i="1"/>
  <c r="D680" i="1"/>
  <c r="E680" i="1" s="1"/>
  <c r="G679" i="1"/>
  <c r="D679" i="1"/>
  <c r="E679" i="1" s="1"/>
  <c r="G678" i="1"/>
  <c r="E678" i="1"/>
  <c r="D678" i="1"/>
  <c r="G677" i="1"/>
  <c r="E677" i="1"/>
  <c r="D677" i="1"/>
  <c r="G676" i="1"/>
  <c r="E676" i="1"/>
  <c r="D676" i="1"/>
  <c r="G675" i="1"/>
  <c r="E675" i="1"/>
  <c r="D675" i="1"/>
  <c r="G674" i="1"/>
  <c r="D674" i="1"/>
  <c r="E674" i="1" s="1"/>
  <c r="G673" i="1"/>
  <c r="D673" i="1"/>
  <c r="E673" i="1" s="1"/>
  <c r="G672" i="1"/>
  <c r="D672" i="1"/>
  <c r="E672" i="1" s="1"/>
  <c r="G671" i="1"/>
  <c r="D671" i="1"/>
  <c r="E671" i="1" s="1"/>
  <c r="G670" i="1"/>
  <c r="D670" i="1"/>
  <c r="E670" i="1" s="1"/>
  <c r="G669" i="1"/>
  <c r="E669" i="1"/>
  <c r="D669" i="1"/>
  <c r="G668" i="1"/>
  <c r="E668" i="1"/>
  <c r="D668" i="1"/>
  <c r="G667" i="1"/>
  <c r="E667" i="1"/>
  <c r="D667" i="1"/>
  <c r="G666" i="1"/>
  <c r="D666" i="1"/>
  <c r="E666" i="1" s="1"/>
  <c r="G665" i="1"/>
  <c r="D665" i="1"/>
  <c r="E665" i="1" s="1"/>
  <c r="G664" i="1"/>
  <c r="D664" i="1"/>
  <c r="E664" i="1" s="1"/>
  <c r="G663" i="1"/>
  <c r="D663" i="1"/>
  <c r="E663" i="1" s="1"/>
  <c r="G662" i="1"/>
  <c r="E662" i="1"/>
  <c r="D662" i="1"/>
  <c r="G661" i="1"/>
  <c r="E661" i="1"/>
  <c r="D661" i="1"/>
  <c r="G660" i="1"/>
  <c r="E660" i="1"/>
  <c r="D660" i="1"/>
  <c r="G659" i="1"/>
  <c r="E659" i="1"/>
  <c r="D659" i="1"/>
  <c r="G658" i="1"/>
  <c r="D658" i="1"/>
  <c r="E658" i="1" s="1"/>
  <c r="G657" i="1"/>
  <c r="D657" i="1"/>
  <c r="E657" i="1" s="1"/>
  <c r="G656" i="1"/>
  <c r="D656" i="1"/>
  <c r="E656" i="1" s="1"/>
  <c r="G655" i="1"/>
  <c r="D655" i="1"/>
  <c r="E655" i="1" s="1"/>
  <c r="G654" i="1"/>
  <c r="D654" i="1"/>
  <c r="E654" i="1" s="1"/>
  <c r="G653" i="1"/>
  <c r="E653" i="1"/>
  <c r="D653" i="1"/>
  <c r="G652" i="1"/>
  <c r="E652" i="1"/>
  <c r="D652" i="1"/>
  <c r="G651" i="1"/>
  <c r="E651" i="1"/>
  <c r="D651" i="1"/>
  <c r="G650" i="1"/>
  <c r="D650" i="1"/>
  <c r="E650" i="1" s="1"/>
  <c r="G649" i="1"/>
  <c r="D649" i="1"/>
  <c r="E649" i="1" s="1"/>
  <c r="G648" i="1"/>
  <c r="D648" i="1"/>
  <c r="E648" i="1" s="1"/>
  <c r="G647" i="1"/>
  <c r="D647" i="1"/>
  <c r="E647" i="1" s="1"/>
  <c r="G646" i="1"/>
  <c r="E646" i="1"/>
  <c r="D646" i="1"/>
  <c r="G645" i="1"/>
  <c r="E645" i="1"/>
  <c r="D645" i="1"/>
  <c r="G644" i="1"/>
  <c r="E644" i="1"/>
  <c r="D644" i="1"/>
  <c r="G643" i="1"/>
  <c r="E643" i="1"/>
  <c r="D643" i="1"/>
  <c r="G642" i="1"/>
  <c r="D642" i="1"/>
  <c r="E642" i="1" s="1"/>
  <c r="G641" i="1"/>
  <c r="D641" i="1"/>
  <c r="E641" i="1" s="1"/>
  <c r="G640" i="1"/>
  <c r="D640" i="1"/>
  <c r="E640" i="1" s="1"/>
  <c r="G639" i="1"/>
  <c r="D639" i="1"/>
  <c r="E639" i="1" s="1"/>
  <c r="G638" i="1"/>
  <c r="D638" i="1"/>
  <c r="E638" i="1" s="1"/>
  <c r="G637" i="1"/>
  <c r="E637" i="1"/>
  <c r="D637" i="1"/>
  <c r="G636" i="1"/>
  <c r="E636" i="1"/>
  <c r="D636" i="1"/>
  <c r="G635" i="1"/>
  <c r="E635" i="1"/>
  <c r="D635" i="1"/>
  <c r="G634" i="1"/>
  <c r="D634" i="1"/>
  <c r="E634" i="1" s="1"/>
  <c r="G633" i="1"/>
  <c r="D633" i="1"/>
  <c r="E633" i="1" s="1"/>
  <c r="G632" i="1"/>
  <c r="D632" i="1"/>
  <c r="E632" i="1" s="1"/>
  <c r="G631" i="1"/>
  <c r="D631" i="1"/>
  <c r="E631" i="1" s="1"/>
  <c r="G630" i="1"/>
  <c r="E630" i="1"/>
  <c r="D630" i="1"/>
  <c r="G629" i="1"/>
  <c r="E629" i="1"/>
  <c r="D629" i="1"/>
  <c r="G628" i="1"/>
  <c r="E628" i="1"/>
  <c r="D628" i="1"/>
  <c r="G627" i="1"/>
  <c r="E627" i="1"/>
  <c r="D627" i="1"/>
  <c r="G626" i="1"/>
  <c r="D626" i="1"/>
  <c r="E626" i="1" s="1"/>
  <c r="G625" i="1"/>
  <c r="D625" i="1"/>
  <c r="E625" i="1" s="1"/>
  <c r="G624" i="1"/>
  <c r="D624" i="1"/>
  <c r="E624" i="1" s="1"/>
  <c r="G623" i="1"/>
  <c r="D623" i="1"/>
  <c r="E623" i="1" s="1"/>
  <c r="G622" i="1"/>
  <c r="D622" i="1"/>
  <c r="E622" i="1" s="1"/>
  <c r="G621" i="1"/>
  <c r="E621" i="1"/>
  <c r="D621" i="1"/>
  <c r="G620" i="1"/>
  <c r="E620" i="1"/>
  <c r="D620" i="1"/>
  <c r="G619" i="1"/>
  <c r="E619" i="1"/>
  <c r="D619" i="1"/>
  <c r="G618" i="1"/>
  <c r="D618" i="1"/>
  <c r="E618" i="1" s="1"/>
  <c r="G617" i="1"/>
  <c r="D617" i="1"/>
  <c r="E617" i="1" s="1"/>
  <c r="G616" i="1"/>
  <c r="D616" i="1"/>
  <c r="E616" i="1" s="1"/>
  <c r="G615" i="1"/>
  <c r="D615" i="1"/>
  <c r="E615" i="1" s="1"/>
  <c r="G614" i="1"/>
  <c r="E614" i="1"/>
  <c r="D614" i="1"/>
  <c r="G613" i="1"/>
  <c r="E613" i="1"/>
  <c r="D613" i="1"/>
  <c r="G612" i="1"/>
  <c r="E612" i="1"/>
  <c r="D612" i="1"/>
  <c r="G611" i="1"/>
  <c r="E611" i="1"/>
  <c r="D611" i="1"/>
  <c r="G610" i="1"/>
  <c r="D610" i="1"/>
  <c r="E610" i="1" s="1"/>
  <c r="G609" i="1"/>
  <c r="D609" i="1"/>
  <c r="E609" i="1" s="1"/>
  <c r="G608" i="1"/>
  <c r="D608" i="1"/>
  <c r="E608" i="1" s="1"/>
  <c r="G607" i="1"/>
  <c r="D607" i="1"/>
  <c r="E607" i="1" s="1"/>
  <c r="G606" i="1"/>
  <c r="D606" i="1"/>
  <c r="E606" i="1" s="1"/>
  <c r="G605" i="1"/>
  <c r="E605" i="1"/>
  <c r="D605" i="1"/>
  <c r="G604" i="1"/>
  <c r="E604" i="1"/>
  <c r="D604" i="1"/>
  <c r="G603" i="1"/>
  <c r="E603" i="1"/>
  <c r="D603" i="1"/>
  <c r="G602" i="1"/>
  <c r="D602" i="1"/>
  <c r="E602" i="1" s="1"/>
  <c r="G601" i="1"/>
  <c r="D601" i="1"/>
  <c r="E601" i="1" s="1"/>
  <c r="G600" i="1"/>
  <c r="D600" i="1"/>
  <c r="E600" i="1" s="1"/>
  <c r="G599" i="1"/>
  <c r="D599" i="1"/>
  <c r="E599" i="1" s="1"/>
  <c r="G598" i="1"/>
  <c r="E598" i="1"/>
  <c r="D598" i="1"/>
  <c r="G597" i="1"/>
  <c r="E597" i="1"/>
  <c r="D597" i="1"/>
  <c r="G596" i="1"/>
  <c r="E596" i="1"/>
  <c r="D596" i="1"/>
  <c r="G595" i="1"/>
  <c r="E595" i="1"/>
  <c r="D595" i="1"/>
  <c r="G594" i="1"/>
  <c r="D594" i="1"/>
  <c r="E594" i="1" s="1"/>
  <c r="G593" i="1"/>
  <c r="D593" i="1"/>
  <c r="E593" i="1" s="1"/>
  <c r="G592" i="1"/>
  <c r="D592" i="1"/>
  <c r="E592" i="1" s="1"/>
  <c r="G591" i="1"/>
  <c r="D591" i="1"/>
  <c r="E591" i="1" s="1"/>
  <c r="G590" i="1"/>
  <c r="D590" i="1"/>
  <c r="E590" i="1" s="1"/>
  <c r="G589" i="1"/>
  <c r="E589" i="1"/>
  <c r="D589" i="1"/>
  <c r="G588" i="1"/>
  <c r="E588" i="1"/>
  <c r="D588" i="1"/>
  <c r="G587" i="1"/>
  <c r="E587" i="1"/>
  <c r="D587" i="1"/>
  <c r="G586" i="1"/>
  <c r="D586" i="1"/>
  <c r="E586" i="1" s="1"/>
  <c r="G585" i="1"/>
  <c r="D585" i="1"/>
  <c r="E585" i="1" s="1"/>
  <c r="G584" i="1"/>
  <c r="D584" i="1"/>
  <c r="E584" i="1" s="1"/>
  <c r="G583" i="1"/>
  <c r="D583" i="1"/>
  <c r="E583" i="1" s="1"/>
  <c r="G582" i="1"/>
  <c r="E582" i="1"/>
  <c r="D582" i="1"/>
  <c r="G581" i="1"/>
  <c r="E581" i="1"/>
  <c r="D581" i="1"/>
  <c r="G580" i="1"/>
  <c r="E580" i="1"/>
  <c r="D580" i="1"/>
  <c r="G579" i="1"/>
  <c r="E579" i="1"/>
  <c r="D579" i="1"/>
  <c r="G578" i="1"/>
  <c r="D578" i="1"/>
  <c r="E578" i="1" s="1"/>
  <c r="G577" i="1"/>
  <c r="D577" i="1"/>
  <c r="E577" i="1" s="1"/>
  <c r="G576" i="1"/>
  <c r="D576" i="1"/>
  <c r="E576" i="1" s="1"/>
  <c r="G575" i="1"/>
  <c r="D575" i="1"/>
  <c r="E575" i="1" s="1"/>
  <c r="G574" i="1"/>
  <c r="D574" i="1"/>
  <c r="E574" i="1" s="1"/>
  <c r="G573" i="1"/>
  <c r="E573" i="1"/>
  <c r="D573" i="1"/>
  <c r="G572" i="1"/>
  <c r="E572" i="1"/>
  <c r="D572" i="1"/>
  <c r="G571" i="1"/>
  <c r="E571" i="1"/>
  <c r="D571" i="1"/>
  <c r="G570" i="1"/>
  <c r="D570" i="1"/>
  <c r="E570" i="1" s="1"/>
  <c r="G569" i="1"/>
  <c r="D569" i="1"/>
  <c r="E569" i="1" s="1"/>
  <c r="G568" i="1"/>
  <c r="D568" i="1"/>
  <c r="E568" i="1" s="1"/>
  <c r="G567" i="1"/>
  <c r="E567" i="1"/>
  <c r="D567" i="1"/>
  <c r="G566" i="1"/>
  <c r="D566" i="1"/>
  <c r="E566" i="1" s="1"/>
  <c r="G565" i="1"/>
  <c r="E565" i="1"/>
  <c r="D565" i="1"/>
  <c r="G564" i="1"/>
  <c r="E564" i="1"/>
  <c r="D564" i="1"/>
  <c r="G563" i="1"/>
  <c r="E563" i="1"/>
  <c r="D563" i="1"/>
  <c r="G562" i="1"/>
  <c r="D562" i="1"/>
  <c r="E562" i="1" s="1"/>
  <c r="G561" i="1"/>
  <c r="D561" i="1"/>
  <c r="E561" i="1" s="1"/>
  <c r="G560" i="1"/>
  <c r="D560" i="1"/>
  <c r="E560" i="1" s="1"/>
  <c r="G559" i="1"/>
  <c r="D559" i="1"/>
  <c r="E559" i="1" s="1"/>
  <c r="G558" i="1"/>
  <c r="E558" i="1"/>
  <c r="D558" i="1"/>
  <c r="G557" i="1"/>
  <c r="E557" i="1"/>
  <c r="D557" i="1"/>
  <c r="G556" i="1"/>
  <c r="E556" i="1"/>
  <c r="D556" i="1"/>
  <c r="G555" i="1"/>
  <c r="E555" i="1"/>
  <c r="D555" i="1"/>
  <c r="G554" i="1"/>
  <c r="D554" i="1"/>
  <c r="E554" i="1" s="1"/>
  <c r="G553" i="1"/>
  <c r="D553" i="1"/>
  <c r="E553" i="1" s="1"/>
  <c r="G552" i="1"/>
  <c r="D552" i="1"/>
  <c r="E552" i="1" s="1"/>
  <c r="G551" i="1"/>
  <c r="E551" i="1"/>
  <c r="D551" i="1"/>
  <c r="G550" i="1"/>
  <c r="D550" i="1"/>
  <c r="E550" i="1" s="1"/>
  <c r="G549" i="1"/>
  <c r="E549" i="1"/>
  <c r="D549" i="1"/>
  <c r="G548" i="1"/>
  <c r="E548" i="1"/>
  <c r="D548" i="1"/>
  <c r="G547" i="1"/>
  <c r="E547" i="1"/>
  <c r="D547" i="1"/>
  <c r="G546" i="1"/>
  <c r="D546" i="1"/>
  <c r="E546" i="1" s="1"/>
  <c r="G545" i="1"/>
  <c r="D545" i="1"/>
  <c r="E545" i="1" s="1"/>
  <c r="G544" i="1"/>
  <c r="D544" i="1"/>
  <c r="E544" i="1" s="1"/>
  <c r="G543" i="1"/>
  <c r="D543" i="1"/>
  <c r="E543" i="1" s="1"/>
  <c r="G542" i="1"/>
  <c r="E542" i="1"/>
  <c r="D542" i="1"/>
  <c r="G541" i="1"/>
  <c r="E541" i="1"/>
  <c r="D541" i="1"/>
  <c r="G540" i="1"/>
  <c r="E540" i="1"/>
  <c r="D540" i="1"/>
  <c r="G539" i="1"/>
  <c r="E539" i="1"/>
  <c r="D539" i="1"/>
  <c r="G538" i="1"/>
  <c r="D538" i="1"/>
  <c r="E538" i="1" s="1"/>
  <c r="G537" i="1"/>
  <c r="D537" i="1"/>
  <c r="E537" i="1" s="1"/>
  <c r="G536" i="1"/>
  <c r="D536" i="1"/>
  <c r="E536" i="1" s="1"/>
  <c r="G535" i="1"/>
  <c r="E535" i="1"/>
  <c r="D535" i="1"/>
  <c r="G534" i="1"/>
  <c r="D534" i="1"/>
  <c r="E534" i="1" s="1"/>
  <c r="G533" i="1"/>
  <c r="E533" i="1"/>
  <c r="D533" i="1"/>
  <c r="G532" i="1"/>
  <c r="E532" i="1"/>
  <c r="D532" i="1"/>
  <c r="G531" i="1"/>
  <c r="E531" i="1"/>
  <c r="D531" i="1"/>
  <c r="G530" i="1"/>
  <c r="D530" i="1"/>
  <c r="E530" i="1" s="1"/>
  <c r="G529" i="1"/>
  <c r="D529" i="1"/>
  <c r="E529" i="1" s="1"/>
  <c r="G528" i="1"/>
  <c r="D528" i="1"/>
  <c r="E528" i="1" s="1"/>
  <c r="G527" i="1"/>
  <c r="D527" i="1"/>
  <c r="E527" i="1" s="1"/>
  <c r="G526" i="1"/>
  <c r="E526" i="1"/>
  <c r="D526" i="1"/>
  <c r="G525" i="1"/>
  <c r="E525" i="1"/>
  <c r="D525" i="1"/>
  <c r="G524" i="1"/>
  <c r="E524" i="1"/>
  <c r="D524" i="1"/>
  <c r="G523" i="1"/>
  <c r="E523" i="1"/>
  <c r="D523" i="1"/>
  <c r="G522" i="1"/>
  <c r="D522" i="1"/>
  <c r="E522" i="1" s="1"/>
  <c r="G521" i="1"/>
  <c r="D521" i="1"/>
  <c r="E521" i="1" s="1"/>
  <c r="G520" i="1"/>
  <c r="D520" i="1"/>
  <c r="E520" i="1" s="1"/>
  <c r="G519" i="1"/>
  <c r="E519" i="1"/>
  <c r="D519" i="1"/>
  <c r="G518" i="1"/>
  <c r="D518" i="1"/>
  <c r="E518" i="1" s="1"/>
  <c r="G517" i="1"/>
  <c r="E517" i="1"/>
  <c r="D517" i="1"/>
  <c r="G516" i="1"/>
  <c r="E516" i="1"/>
  <c r="D516" i="1"/>
  <c r="G515" i="1"/>
  <c r="E515" i="1"/>
  <c r="D515" i="1"/>
  <c r="G514" i="1"/>
  <c r="D514" i="1"/>
  <c r="E514" i="1" s="1"/>
  <c r="G513" i="1"/>
  <c r="D513" i="1"/>
  <c r="E513" i="1" s="1"/>
  <c r="G512" i="1"/>
  <c r="D512" i="1"/>
  <c r="E512" i="1" s="1"/>
  <c r="G511" i="1"/>
  <c r="D511" i="1"/>
  <c r="E511" i="1" s="1"/>
  <c r="G510" i="1"/>
  <c r="E510" i="1"/>
  <c r="D510" i="1"/>
  <c r="G509" i="1"/>
  <c r="E509" i="1"/>
  <c r="D509" i="1"/>
  <c r="G508" i="1"/>
  <c r="E508" i="1"/>
  <c r="D508" i="1"/>
  <c r="G507" i="1"/>
  <c r="E507" i="1"/>
  <c r="D507" i="1"/>
  <c r="G506" i="1"/>
  <c r="D506" i="1"/>
  <c r="E506" i="1" s="1"/>
  <c r="G505" i="1"/>
  <c r="D505" i="1"/>
  <c r="E505" i="1" s="1"/>
  <c r="G504" i="1"/>
  <c r="D504" i="1"/>
  <c r="E504" i="1" s="1"/>
  <c r="G503" i="1"/>
  <c r="E503" i="1"/>
  <c r="D503" i="1"/>
  <c r="G502" i="1"/>
  <c r="D502" i="1"/>
  <c r="E502" i="1" s="1"/>
  <c r="G501" i="1"/>
  <c r="E501" i="1"/>
  <c r="D501" i="1"/>
  <c r="G500" i="1"/>
  <c r="E500" i="1"/>
  <c r="D500" i="1"/>
  <c r="G499" i="1"/>
  <c r="E499" i="1"/>
  <c r="D499" i="1"/>
  <c r="G498" i="1"/>
  <c r="D498" i="1"/>
  <c r="E498" i="1" s="1"/>
  <c r="G497" i="1"/>
  <c r="D497" i="1"/>
  <c r="E497" i="1" s="1"/>
  <c r="G496" i="1"/>
  <c r="D496" i="1"/>
  <c r="E496" i="1" s="1"/>
  <c r="G495" i="1"/>
  <c r="D495" i="1"/>
  <c r="E495" i="1" s="1"/>
  <c r="G494" i="1"/>
  <c r="E494" i="1"/>
  <c r="D494" i="1"/>
  <c r="G493" i="1"/>
  <c r="E493" i="1"/>
  <c r="D493" i="1"/>
  <c r="G492" i="1"/>
  <c r="E492" i="1"/>
  <c r="D492" i="1"/>
  <c r="G491" i="1"/>
  <c r="E491" i="1"/>
  <c r="D491" i="1"/>
  <c r="G490" i="1"/>
  <c r="D490" i="1"/>
  <c r="E490" i="1" s="1"/>
  <c r="G489" i="1"/>
  <c r="D489" i="1"/>
  <c r="E489" i="1" s="1"/>
  <c r="G488" i="1"/>
  <c r="D488" i="1"/>
  <c r="E488" i="1" s="1"/>
  <c r="G487" i="1"/>
  <c r="E487" i="1"/>
  <c r="D487" i="1"/>
  <c r="G486" i="1"/>
  <c r="D486" i="1"/>
  <c r="E486" i="1" s="1"/>
  <c r="G485" i="1"/>
  <c r="E485" i="1"/>
  <c r="D485" i="1"/>
  <c r="G484" i="1"/>
  <c r="E484" i="1"/>
  <c r="D484" i="1"/>
  <c r="G483" i="1"/>
  <c r="E483" i="1"/>
  <c r="D483" i="1"/>
  <c r="G482" i="1"/>
  <c r="D482" i="1"/>
  <c r="E482" i="1" s="1"/>
  <c r="G481" i="1"/>
  <c r="D481" i="1"/>
  <c r="E481" i="1" s="1"/>
  <c r="G480" i="1"/>
  <c r="D480" i="1"/>
  <c r="E480" i="1" s="1"/>
  <c r="G479" i="1"/>
  <c r="D479" i="1"/>
  <c r="E479" i="1" s="1"/>
  <c r="G478" i="1"/>
  <c r="E478" i="1"/>
  <c r="D478" i="1"/>
  <c r="G477" i="1"/>
  <c r="E477" i="1"/>
  <c r="D477" i="1"/>
  <c r="G476" i="1"/>
  <c r="E476" i="1"/>
  <c r="D476" i="1"/>
  <c r="G475" i="1"/>
  <c r="E475" i="1"/>
  <c r="D475" i="1"/>
  <c r="G474" i="1"/>
  <c r="D474" i="1"/>
  <c r="E474" i="1" s="1"/>
  <c r="G473" i="1"/>
  <c r="D473" i="1"/>
  <c r="E473" i="1" s="1"/>
  <c r="G472" i="1"/>
  <c r="D472" i="1"/>
  <c r="E472" i="1" s="1"/>
  <c r="G471" i="1"/>
  <c r="E471" i="1"/>
  <c r="D471" i="1"/>
  <c r="G470" i="1"/>
  <c r="D470" i="1"/>
  <c r="E470" i="1" s="1"/>
  <c r="G469" i="1"/>
  <c r="E469" i="1"/>
  <c r="D469" i="1"/>
  <c r="G468" i="1"/>
  <c r="E468" i="1"/>
  <c r="D468" i="1"/>
  <c r="G467" i="1"/>
  <c r="E467" i="1"/>
  <c r="D467" i="1"/>
  <c r="G466" i="1"/>
  <c r="D466" i="1"/>
  <c r="E466" i="1" s="1"/>
  <c r="G465" i="1"/>
  <c r="D465" i="1"/>
  <c r="E465" i="1" s="1"/>
  <c r="G464" i="1"/>
  <c r="D464" i="1"/>
  <c r="E464" i="1" s="1"/>
  <c r="G463" i="1"/>
  <c r="D463" i="1"/>
  <c r="E463" i="1" s="1"/>
  <c r="G462" i="1"/>
  <c r="E462" i="1"/>
  <c r="D462" i="1"/>
  <c r="G461" i="1"/>
  <c r="E461" i="1"/>
  <c r="D461" i="1"/>
  <c r="G460" i="1"/>
  <c r="E460" i="1"/>
  <c r="D460" i="1"/>
  <c r="G459" i="1"/>
  <c r="E459" i="1"/>
  <c r="D459" i="1"/>
  <c r="G458" i="1"/>
  <c r="D458" i="1"/>
  <c r="E458" i="1" s="1"/>
  <c r="G457" i="1"/>
  <c r="D457" i="1"/>
  <c r="E457" i="1" s="1"/>
  <c r="G456" i="1"/>
  <c r="D456" i="1"/>
  <c r="E456" i="1" s="1"/>
  <c r="G455" i="1"/>
  <c r="E455" i="1"/>
  <c r="D455" i="1"/>
  <c r="G454" i="1"/>
  <c r="D454" i="1"/>
  <c r="E454" i="1" s="1"/>
  <c r="G453" i="1"/>
  <c r="E453" i="1"/>
  <c r="D453" i="1"/>
  <c r="G452" i="1"/>
  <c r="E452" i="1"/>
  <c r="D452" i="1"/>
  <c r="G451" i="1"/>
  <c r="E451" i="1"/>
  <c r="D451" i="1"/>
  <c r="G450" i="1"/>
  <c r="D450" i="1"/>
  <c r="E450" i="1" s="1"/>
  <c r="G449" i="1"/>
  <c r="D449" i="1"/>
  <c r="E449" i="1" s="1"/>
  <c r="G448" i="1"/>
  <c r="D448" i="1"/>
  <c r="E448" i="1" s="1"/>
  <c r="G447" i="1"/>
  <c r="D447" i="1"/>
  <c r="E447" i="1" s="1"/>
  <c r="G446" i="1"/>
  <c r="E446" i="1"/>
  <c r="D446" i="1"/>
  <c r="G445" i="1"/>
  <c r="E445" i="1"/>
  <c r="D445" i="1"/>
  <c r="G444" i="1"/>
  <c r="E444" i="1"/>
  <c r="D444" i="1"/>
  <c r="G443" i="1"/>
  <c r="E443" i="1"/>
  <c r="D443" i="1"/>
  <c r="G442" i="1"/>
  <c r="D442" i="1"/>
  <c r="E442" i="1" s="1"/>
  <c r="G441" i="1"/>
  <c r="D441" i="1"/>
  <c r="E441" i="1" s="1"/>
  <c r="G440" i="1"/>
  <c r="D440" i="1"/>
  <c r="E440" i="1" s="1"/>
  <c r="G439" i="1"/>
  <c r="E439" i="1"/>
  <c r="D439" i="1"/>
  <c r="G438" i="1"/>
  <c r="D438" i="1"/>
  <c r="E438" i="1" s="1"/>
  <c r="G437" i="1"/>
  <c r="E437" i="1"/>
  <c r="D437" i="1"/>
  <c r="G436" i="1"/>
  <c r="E436" i="1"/>
  <c r="D436" i="1"/>
  <c r="G435" i="1"/>
  <c r="E435" i="1"/>
  <c r="D435" i="1"/>
  <c r="G434" i="1"/>
  <c r="D434" i="1"/>
  <c r="E434" i="1" s="1"/>
  <c r="G433" i="1"/>
  <c r="D433" i="1"/>
  <c r="E433" i="1" s="1"/>
  <c r="G432" i="1"/>
  <c r="D432" i="1"/>
  <c r="E432" i="1" s="1"/>
  <c r="G431" i="1"/>
  <c r="D431" i="1"/>
  <c r="E431" i="1" s="1"/>
  <c r="G430" i="1"/>
  <c r="E430" i="1"/>
  <c r="D430" i="1"/>
  <c r="G429" i="1"/>
  <c r="E429" i="1"/>
  <c r="D429" i="1"/>
  <c r="G428" i="1"/>
  <c r="E428" i="1"/>
  <c r="D428" i="1"/>
  <c r="G427" i="1"/>
  <c r="E427" i="1"/>
  <c r="D427" i="1"/>
  <c r="G426" i="1"/>
  <c r="D426" i="1"/>
  <c r="E426" i="1" s="1"/>
  <c r="G425" i="1"/>
  <c r="D425" i="1"/>
  <c r="E425" i="1" s="1"/>
  <c r="G424" i="1"/>
  <c r="D424" i="1"/>
  <c r="E424" i="1" s="1"/>
  <c r="G423" i="1"/>
  <c r="E423" i="1"/>
  <c r="D423" i="1"/>
  <c r="G422" i="1"/>
  <c r="D422" i="1"/>
  <c r="E422" i="1" s="1"/>
  <c r="G421" i="1"/>
  <c r="E421" i="1"/>
  <c r="D421" i="1"/>
  <c r="G420" i="1"/>
  <c r="E420" i="1"/>
  <c r="D420" i="1"/>
  <c r="G419" i="1"/>
  <c r="E419" i="1"/>
  <c r="D419" i="1"/>
  <c r="G418" i="1"/>
  <c r="D418" i="1"/>
  <c r="E418" i="1" s="1"/>
  <c r="G417" i="1"/>
  <c r="D417" i="1"/>
  <c r="E417" i="1" s="1"/>
  <c r="G416" i="1"/>
  <c r="D416" i="1"/>
  <c r="E416" i="1" s="1"/>
  <c r="G415" i="1"/>
  <c r="D415" i="1"/>
  <c r="E415" i="1" s="1"/>
  <c r="G414" i="1"/>
  <c r="E414" i="1"/>
  <c r="D414" i="1"/>
  <c r="G413" i="1"/>
  <c r="E413" i="1"/>
  <c r="D413" i="1"/>
  <c r="G412" i="1"/>
  <c r="E412" i="1"/>
  <c r="D412" i="1"/>
  <c r="G411" i="1"/>
  <c r="E411" i="1"/>
  <c r="D411" i="1"/>
  <c r="G410" i="1"/>
  <c r="D410" i="1"/>
  <c r="E410" i="1" s="1"/>
  <c r="G409" i="1"/>
  <c r="D409" i="1"/>
  <c r="E409" i="1" s="1"/>
  <c r="G408" i="1"/>
  <c r="D408" i="1"/>
  <c r="E408" i="1" s="1"/>
  <c r="G407" i="1"/>
  <c r="E407" i="1"/>
  <c r="D407" i="1"/>
  <c r="G406" i="1"/>
  <c r="D406" i="1"/>
  <c r="E406" i="1" s="1"/>
  <c r="G405" i="1"/>
  <c r="E405" i="1"/>
  <c r="D405" i="1"/>
  <c r="G404" i="1"/>
  <c r="E404" i="1"/>
  <c r="D404" i="1"/>
  <c r="G403" i="1"/>
  <c r="E403" i="1"/>
  <c r="D403" i="1"/>
  <c r="G402" i="1"/>
  <c r="D402" i="1"/>
  <c r="E402" i="1" s="1"/>
  <c r="G401" i="1"/>
  <c r="D401" i="1"/>
  <c r="E401" i="1" s="1"/>
  <c r="G400" i="1"/>
  <c r="D400" i="1"/>
  <c r="E400" i="1" s="1"/>
  <c r="G399" i="1"/>
  <c r="D399" i="1"/>
  <c r="E399" i="1" s="1"/>
  <c r="G398" i="1"/>
  <c r="E398" i="1"/>
  <c r="D398" i="1"/>
  <c r="G397" i="1"/>
  <c r="E397" i="1"/>
  <c r="D397" i="1"/>
  <c r="G396" i="1"/>
  <c r="E396" i="1"/>
  <c r="D396" i="1"/>
  <c r="G395" i="1"/>
  <c r="E395" i="1"/>
  <c r="D395" i="1"/>
  <c r="G394" i="1"/>
  <c r="D394" i="1"/>
  <c r="E394" i="1" s="1"/>
  <c r="G393" i="1"/>
  <c r="D393" i="1"/>
  <c r="E393" i="1" s="1"/>
  <c r="G392" i="1"/>
  <c r="D392" i="1"/>
  <c r="E392" i="1" s="1"/>
  <c r="G391" i="1"/>
  <c r="E391" i="1"/>
  <c r="D391" i="1"/>
  <c r="G390" i="1"/>
  <c r="D390" i="1"/>
  <c r="E390" i="1" s="1"/>
  <c r="G389" i="1"/>
  <c r="E389" i="1"/>
  <c r="D389" i="1"/>
  <c r="G388" i="1"/>
  <c r="E388" i="1"/>
  <c r="D388" i="1"/>
  <c r="G387" i="1"/>
  <c r="E387" i="1"/>
  <c r="D387" i="1"/>
  <c r="G386" i="1"/>
  <c r="D386" i="1"/>
  <c r="E386" i="1" s="1"/>
  <c r="G385" i="1"/>
  <c r="D385" i="1"/>
  <c r="E385" i="1" s="1"/>
  <c r="G384" i="1"/>
  <c r="D384" i="1"/>
  <c r="E384" i="1" s="1"/>
  <c r="G383" i="1"/>
  <c r="D383" i="1"/>
  <c r="E383" i="1" s="1"/>
  <c r="G382" i="1"/>
  <c r="E382" i="1"/>
  <c r="D382" i="1"/>
  <c r="G381" i="1"/>
  <c r="E381" i="1"/>
  <c r="D381" i="1"/>
  <c r="G380" i="1"/>
  <c r="E380" i="1"/>
  <c r="D380" i="1"/>
  <c r="G379" i="1"/>
  <c r="E379" i="1"/>
  <c r="D379" i="1"/>
  <c r="G378" i="1"/>
  <c r="D378" i="1"/>
  <c r="E378" i="1" s="1"/>
  <c r="G377" i="1"/>
  <c r="D377" i="1"/>
  <c r="E377" i="1" s="1"/>
  <c r="G376" i="1"/>
  <c r="D376" i="1"/>
  <c r="E376" i="1" s="1"/>
  <c r="G375" i="1"/>
  <c r="E375" i="1"/>
  <c r="D375" i="1"/>
  <c r="G374" i="1"/>
  <c r="D374" i="1"/>
  <c r="E374" i="1" s="1"/>
  <c r="G373" i="1"/>
  <c r="E373" i="1"/>
  <c r="D373" i="1"/>
  <c r="G372" i="1"/>
  <c r="E372" i="1"/>
  <c r="D372" i="1"/>
  <c r="G371" i="1"/>
  <c r="E371" i="1"/>
  <c r="D371" i="1"/>
  <c r="G370" i="1"/>
  <c r="D370" i="1"/>
  <c r="E370" i="1" s="1"/>
  <c r="G369" i="1"/>
  <c r="D369" i="1"/>
  <c r="E369" i="1" s="1"/>
  <c r="G368" i="1"/>
  <c r="D368" i="1"/>
  <c r="E368" i="1" s="1"/>
  <c r="G367" i="1"/>
  <c r="D367" i="1"/>
  <c r="E367" i="1" s="1"/>
  <c r="G366" i="1"/>
  <c r="E366" i="1"/>
  <c r="D366" i="1"/>
  <c r="G365" i="1"/>
  <c r="E365" i="1"/>
  <c r="D365" i="1"/>
  <c r="G364" i="1"/>
  <c r="E364" i="1"/>
  <c r="D364" i="1"/>
  <c r="G363" i="1"/>
  <c r="E363" i="1"/>
  <c r="D363" i="1"/>
  <c r="G362" i="1"/>
  <c r="D362" i="1"/>
  <c r="E362" i="1" s="1"/>
  <c r="G361" i="1"/>
  <c r="D361" i="1"/>
  <c r="E361" i="1" s="1"/>
  <c r="G360" i="1"/>
  <c r="D360" i="1"/>
  <c r="E360" i="1" s="1"/>
  <c r="G359" i="1"/>
  <c r="E359" i="1"/>
  <c r="D359" i="1"/>
  <c r="G358" i="1"/>
  <c r="D358" i="1"/>
  <c r="E358" i="1" s="1"/>
  <c r="G357" i="1"/>
  <c r="E357" i="1"/>
  <c r="D357" i="1"/>
  <c r="G356" i="1"/>
  <c r="E356" i="1"/>
  <c r="D356" i="1"/>
  <c r="G355" i="1"/>
  <c r="E355" i="1"/>
  <c r="D355" i="1"/>
  <c r="G354" i="1"/>
  <c r="D354" i="1"/>
  <c r="E354" i="1" s="1"/>
  <c r="G353" i="1"/>
  <c r="D353" i="1"/>
  <c r="E353" i="1" s="1"/>
  <c r="G352" i="1"/>
  <c r="D352" i="1"/>
  <c r="E352" i="1" s="1"/>
  <c r="G351" i="1"/>
  <c r="D351" i="1"/>
  <c r="E351" i="1" s="1"/>
  <c r="G350" i="1"/>
  <c r="E350" i="1"/>
  <c r="D350" i="1"/>
  <c r="G349" i="1"/>
  <c r="E349" i="1"/>
  <c r="D349" i="1"/>
  <c r="G348" i="1"/>
  <c r="E348" i="1"/>
  <c r="D348" i="1"/>
  <c r="G347" i="1"/>
  <c r="E347" i="1"/>
  <c r="D347" i="1"/>
  <c r="G346" i="1"/>
  <c r="D346" i="1"/>
  <c r="E346" i="1" s="1"/>
  <c r="G345" i="1"/>
  <c r="D345" i="1"/>
  <c r="E345" i="1" s="1"/>
  <c r="G344" i="1"/>
  <c r="D344" i="1"/>
  <c r="E344" i="1" s="1"/>
  <c r="G343" i="1"/>
  <c r="E343" i="1"/>
  <c r="D343" i="1"/>
  <c r="G342" i="1"/>
  <c r="D342" i="1"/>
  <c r="E342" i="1" s="1"/>
  <c r="G341" i="1"/>
  <c r="E341" i="1"/>
  <c r="D341" i="1"/>
  <c r="G340" i="1"/>
  <c r="E340" i="1"/>
  <c r="D340" i="1"/>
  <c r="G339" i="1"/>
  <c r="E339" i="1"/>
  <c r="D339" i="1"/>
  <c r="G338" i="1"/>
  <c r="D338" i="1"/>
  <c r="E338" i="1" s="1"/>
  <c r="G337" i="1"/>
  <c r="D337" i="1"/>
  <c r="E337" i="1" s="1"/>
  <c r="G336" i="1"/>
  <c r="D336" i="1"/>
  <c r="E336" i="1" s="1"/>
  <c r="G335" i="1"/>
  <c r="D335" i="1"/>
  <c r="E335" i="1" s="1"/>
  <c r="G334" i="1"/>
  <c r="E334" i="1"/>
  <c r="D334" i="1"/>
  <c r="G333" i="1"/>
  <c r="E333" i="1"/>
  <c r="D333" i="1"/>
  <c r="G332" i="1"/>
  <c r="E332" i="1"/>
  <c r="D332" i="1"/>
  <c r="G331" i="1"/>
  <c r="E331" i="1"/>
  <c r="D331" i="1"/>
  <c r="G330" i="1"/>
  <c r="D330" i="1"/>
  <c r="E330" i="1" s="1"/>
  <c r="G329" i="1"/>
  <c r="D329" i="1"/>
  <c r="E329" i="1" s="1"/>
  <c r="G328" i="1"/>
  <c r="D328" i="1"/>
  <c r="E328" i="1" s="1"/>
  <c r="G327" i="1"/>
  <c r="E327" i="1"/>
  <c r="D327" i="1"/>
  <c r="G326" i="1"/>
  <c r="D326" i="1"/>
  <c r="E326" i="1" s="1"/>
  <c r="G325" i="1"/>
  <c r="E325" i="1"/>
  <c r="D325" i="1"/>
  <c r="G324" i="1"/>
  <c r="E324" i="1"/>
  <c r="D324" i="1"/>
  <c r="G323" i="1"/>
  <c r="E323" i="1"/>
  <c r="D323" i="1"/>
  <c r="G322" i="1"/>
  <c r="D322" i="1"/>
  <c r="E322" i="1" s="1"/>
  <c r="G321" i="1"/>
  <c r="D321" i="1"/>
  <c r="E321" i="1" s="1"/>
  <c r="G320" i="1"/>
  <c r="D320" i="1"/>
  <c r="E320" i="1" s="1"/>
  <c r="G319" i="1"/>
  <c r="D319" i="1"/>
  <c r="E319" i="1" s="1"/>
  <c r="G318" i="1"/>
  <c r="E318" i="1"/>
  <c r="D318" i="1"/>
  <c r="G317" i="1"/>
  <c r="E317" i="1"/>
  <c r="D317" i="1"/>
  <c r="G316" i="1"/>
  <c r="E316" i="1"/>
  <c r="D316" i="1"/>
  <c r="G315" i="1"/>
  <c r="E315" i="1"/>
  <c r="D315" i="1"/>
  <c r="G314" i="1"/>
  <c r="D314" i="1"/>
  <c r="E314" i="1" s="1"/>
  <c r="G313" i="1"/>
  <c r="D313" i="1"/>
  <c r="E313" i="1" s="1"/>
  <c r="G312" i="1"/>
  <c r="D312" i="1"/>
  <c r="E312" i="1" s="1"/>
  <c r="G311" i="1"/>
  <c r="E311" i="1"/>
  <c r="D311" i="1"/>
  <c r="G310" i="1"/>
  <c r="D310" i="1"/>
  <c r="E310" i="1" s="1"/>
  <c r="G309" i="1"/>
  <c r="E309" i="1"/>
  <c r="D309" i="1"/>
  <c r="G308" i="1"/>
  <c r="E308" i="1"/>
  <c r="D308" i="1"/>
  <c r="G307" i="1"/>
  <c r="E307" i="1"/>
  <c r="D307" i="1"/>
  <c r="G306" i="1"/>
  <c r="D306" i="1"/>
  <c r="E306" i="1" s="1"/>
  <c r="G305" i="1"/>
  <c r="D305" i="1"/>
  <c r="E305" i="1" s="1"/>
  <c r="G304" i="1"/>
  <c r="D304" i="1"/>
  <c r="E304" i="1" s="1"/>
  <c r="G303" i="1"/>
  <c r="D303" i="1"/>
  <c r="E303" i="1" s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C302" i="1"/>
  <c r="C300" i="1"/>
  <c r="C298" i="1"/>
  <c r="C296" i="1"/>
  <c r="C294" i="1"/>
  <c r="C292" i="1"/>
  <c r="C290" i="1"/>
  <c r="C288" i="1"/>
  <c r="C286" i="1"/>
  <c r="C284" i="1"/>
  <c r="C282" i="1"/>
  <c r="C280" i="1"/>
  <c r="C278" i="1"/>
  <c r="C276" i="1"/>
  <c r="C274" i="1"/>
  <c r="C272" i="1"/>
  <c r="C270" i="1"/>
  <c r="C268" i="1"/>
  <c r="C266" i="1"/>
  <c r="C264" i="1"/>
  <c r="C262" i="1"/>
  <c r="C260" i="1"/>
  <c r="C258" i="1"/>
  <c r="C256" i="1"/>
  <c r="C254" i="1"/>
  <c r="C252" i="1"/>
  <c r="C250" i="1"/>
  <c r="C248" i="1"/>
  <c r="C246" i="1"/>
  <c r="C244" i="1"/>
  <c r="C242" i="1"/>
  <c r="C240" i="1"/>
  <c r="C238" i="1"/>
  <c r="C236" i="1"/>
  <c r="C234" i="1"/>
  <c r="C232" i="1"/>
  <c r="C230" i="1"/>
  <c r="C228" i="1"/>
  <c r="C226" i="1"/>
  <c r="C224" i="1"/>
  <c r="C222" i="1"/>
  <c r="C220" i="1"/>
  <c r="C218" i="1"/>
  <c r="C216" i="1"/>
  <c r="C214" i="1"/>
  <c r="C212" i="1"/>
  <c r="C210" i="1"/>
  <c r="C208" i="1"/>
  <c r="C206" i="1"/>
  <c r="C204" i="1"/>
  <c r="C202" i="1"/>
  <c r="C200" i="1"/>
  <c r="C198" i="1"/>
  <c r="C196" i="1"/>
  <c r="C194" i="1"/>
  <c r="C192" i="1"/>
  <c r="C190" i="1"/>
  <c r="C188" i="1"/>
  <c r="C186" i="1"/>
  <c r="C184" i="1"/>
  <c r="C182" i="1"/>
  <c r="C180" i="1"/>
  <c r="C178" i="1"/>
  <c r="C176" i="1"/>
  <c r="C174" i="1"/>
  <c r="C172" i="1"/>
  <c r="C170" i="1"/>
  <c r="C168" i="1"/>
  <c r="C166" i="1"/>
  <c r="C164" i="1"/>
  <c r="C162" i="1"/>
  <c r="C160" i="1"/>
  <c r="C158" i="1"/>
  <c r="C156" i="1"/>
  <c r="C154" i="1"/>
  <c r="C152" i="1"/>
  <c r="C150" i="1"/>
  <c r="C148" i="1"/>
  <c r="C146" i="1"/>
  <c r="C144" i="1"/>
  <c r="C142" i="1"/>
  <c r="C140" i="1"/>
  <c r="C138" i="1"/>
  <c r="C136" i="1"/>
  <c r="C134" i="1"/>
  <c r="C132" i="1"/>
  <c r="C130" i="1"/>
  <c r="C128" i="1"/>
  <c r="C126" i="1"/>
  <c r="C124" i="1"/>
  <c r="C122" i="1"/>
  <c r="C120" i="1"/>
  <c r="C118" i="1"/>
  <c r="C116" i="1"/>
  <c r="C114" i="1"/>
  <c r="C112" i="1"/>
  <c r="C110" i="1"/>
  <c r="C108" i="1"/>
  <c r="C106" i="1"/>
  <c r="C104" i="1"/>
  <c r="C102" i="1"/>
  <c r="C100" i="1"/>
  <c r="C117" i="1"/>
  <c r="C101" i="1"/>
  <c r="C291" i="1"/>
  <c r="C275" i="1"/>
  <c r="C259" i="1"/>
  <c r="C251" i="1"/>
  <c r="C243" i="1"/>
  <c r="C227" i="1"/>
  <c r="C195" i="1"/>
  <c r="C163" i="1"/>
  <c r="C147" i="1"/>
  <c r="C139" i="1"/>
  <c r="C205" i="1"/>
  <c r="C123" i="1"/>
  <c r="C92" i="1"/>
  <c r="C88" i="1"/>
  <c r="C80" i="1"/>
  <c r="C72" i="1"/>
  <c r="C62" i="1"/>
  <c r="C54" i="1"/>
  <c r="C46" i="1"/>
  <c r="C38" i="1"/>
  <c r="C28" i="1"/>
  <c r="C20" i="1"/>
  <c r="C14" i="1"/>
  <c r="C6" i="1"/>
  <c r="C127" i="1"/>
  <c r="C201" i="1"/>
  <c r="C177" i="1"/>
  <c r="C145" i="1"/>
  <c r="C129" i="1"/>
  <c r="C91" i="1"/>
  <c r="C75" i="1"/>
  <c r="C61" i="1"/>
  <c r="C49" i="1"/>
  <c r="C35" i="1"/>
  <c r="C21" i="1"/>
  <c r="C11" i="1"/>
  <c r="C299" i="1"/>
  <c r="C283" i="1"/>
  <c r="C267" i="1"/>
  <c r="C235" i="1"/>
  <c r="C219" i="1"/>
  <c r="C211" i="1"/>
  <c r="C203" i="1"/>
  <c r="C187" i="1"/>
  <c r="C179" i="1"/>
  <c r="C171" i="1"/>
  <c r="C155" i="1"/>
  <c r="C131" i="1"/>
  <c r="C119" i="1"/>
  <c r="C103" i="1"/>
  <c r="C165" i="1"/>
  <c r="C96" i="1"/>
  <c r="C84" i="1"/>
  <c r="C74" i="1"/>
  <c r="C66" i="1"/>
  <c r="C58" i="1"/>
  <c r="C48" i="1"/>
  <c r="C40" i="1"/>
  <c r="C32" i="1"/>
  <c r="C22" i="1"/>
  <c r="C12" i="1"/>
  <c r="C4" i="1"/>
  <c r="C159" i="1"/>
  <c r="C297" i="1"/>
  <c r="C273" i="1"/>
  <c r="C257" i="1"/>
  <c r="C217" i="1"/>
  <c r="C89" i="1"/>
  <c r="C79" i="1"/>
  <c r="C71" i="1"/>
  <c r="C57" i="1"/>
  <c r="C45" i="1"/>
  <c r="C33" i="1"/>
  <c r="C17" i="1"/>
  <c r="C5" i="1"/>
  <c r="C121" i="1"/>
  <c r="C105" i="1"/>
  <c r="C301" i="1"/>
  <c r="C293" i="1"/>
  <c r="C285" i="1"/>
  <c r="C277" i="1"/>
  <c r="C261" i="1"/>
  <c r="C245" i="1"/>
  <c r="C229" i="1"/>
  <c r="C189" i="1"/>
  <c r="C149" i="1"/>
  <c r="C141" i="1"/>
  <c r="C133" i="1"/>
  <c r="C107" i="1"/>
  <c r="C94" i="1"/>
  <c r="C90" i="1"/>
  <c r="C82" i="1"/>
  <c r="C76" i="1"/>
  <c r="C68" i="1"/>
  <c r="C64" i="1"/>
  <c r="C56" i="1"/>
  <c r="C50" i="1"/>
  <c r="C44" i="1"/>
  <c r="C36" i="1"/>
  <c r="C30" i="1"/>
  <c r="C24" i="1"/>
  <c r="C16" i="1"/>
  <c r="C8" i="1"/>
  <c r="C167" i="1"/>
  <c r="C265" i="1"/>
  <c r="C153" i="1"/>
  <c r="C99" i="1"/>
  <c r="C87" i="1"/>
  <c r="C77" i="1"/>
  <c r="C65" i="1"/>
  <c r="C53" i="1"/>
  <c r="C41" i="1"/>
  <c r="C29" i="1"/>
  <c r="C25" i="1"/>
  <c r="C15" i="1"/>
  <c r="C3" i="1"/>
  <c r="C269" i="1"/>
  <c r="C253" i="1"/>
  <c r="C237" i="1"/>
  <c r="C221" i="1"/>
  <c r="C213" i="1"/>
  <c r="C197" i="1"/>
  <c r="C181" i="1"/>
  <c r="C173" i="1"/>
  <c r="C157" i="1"/>
  <c r="C98" i="1"/>
  <c r="C86" i="1"/>
  <c r="C78" i="1"/>
  <c r="C70" i="1"/>
  <c r="C60" i="1"/>
  <c r="C52" i="1"/>
  <c r="C42" i="1"/>
  <c r="C34" i="1"/>
  <c r="C26" i="1"/>
  <c r="C18" i="1"/>
  <c r="C10" i="1"/>
  <c r="C135" i="1"/>
  <c r="C125" i="1"/>
  <c r="C109" i="1"/>
  <c r="C263" i="1"/>
  <c r="C223" i="1"/>
  <c r="C215" i="1"/>
  <c r="C207" i="1"/>
  <c r="C199" i="1"/>
  <c r="C191" i="1"/>
  <c r="C183" i="1"/>
  <c r="C241" i="1"/>
  <c r="C193" i="1"/>
  <c r="C161" i="1"/>
  <c r="C95" i="1"/>
  <c r="C83" i="1"/>
  <c r="C67" i="1"/>
  <c r="C55" i="1"/>
  <c r="C43" i="1"/>
  <c r="C31" i="1"/>
  <c r="C19" i="1"/>
  <c r="C7" i="1"/>
  <c r="C295" i="1"/>
  <c r="C287" i="1"/>
  <c r="C279" i="1"/>
  <c r="C271" i="1"/>
  <c r="C255" i="1"/>
  <c r="C247" i="1"/>
  <c r="C239" i="1"/>
  <c r="C231" i="1"/>
  <c r="C175" i="1"/>
  <c r="C151" i="1"/>
  <c r="C143" i="1"/>
  <c r="C111" i="1"/>
  <c r="C281" i="1"/>
  <c r="C249" i="1"/>
  <c r="C233" i="1"/>
  <c r="C185" i="1"/>
  <c r="C137" i="1"/>
  <c r="C97" i="1"/>
  <c r="C85" i="1"/>
  <c r="C73" i="1"/>
  <c r="C63" i="1"/>
  <c r="C51" i="1"/>
  <c r="C39" i="1"/>
  <c r="C23" i="1"/>
  <c r="C9" i="1"/>
  <c r="C113" i="1"/>
  <c r="C289" i="1"/>
  <c r="C225" i="1"/>
  <c r="C209" i="1"/>
  <c r="C169" i="1"/>
  <c r="C115" i="1"/>
  <c r="C93" i="1"/>
  <c r="C81" i="1"/>
  <c r="C69" i="1"/>
  <c r="C59" i="1"/>
  <c r="C47" i="1"/>
  <c r="C37" i="1"/>
  <c r="C27" i="1"/>
  <c r="C13" i="1"/>
  <c r="D13" i="1" l="1"/>
  <c r="E13" i="1" s="1"/>
  <c r="D27" i="1"/>
  <c r="E27" i="1" s="1"/>
  <c r="D37" i="1"/>
  <c r="E37" i="1" s="1"/>
  <c r="D47" i="1"/>
  <c r="E47" i="1" s="1"/>
  <c r="D59" i="1"/>
  <c r="E59" i="1" s="1"/>
  <c r="D69" i="1"/>
  <c r="E69" i="1" s="1"/>
  <c r="D81" i="1"/>
  <c r="E81" i="1" s="1"/>
  <c r="D93" i="1"/>
  <c r="E93" i="1" s="1"/>
  <c r="D115" i="1"/>
  <c r="E115" i="1" s="1"/>
  <c r="D169" i="1"/>
  <c r="E169" i="1" s="1"/>
  <c r="D209" i="1"/>
  <c r="E209" i="1" s="1"/>
  <c r="D225" i="1"/>
  <c r="E225" i="1" s="1"/>
  <c r="D289" i="1"/>
  <c r="E289" i="1" s="1"/>
  <c r="D113" i="1"/>
  <c r="E113" i="1" s="1"/>
  <c r="D9" i="1"/>
  <c r="E9" i="1" s="1"/>
  <c r="D23" i="1"/>
  <c r="E23" i="1" s="1"/>
  <c r="D39" i="1"/>
  <c r="E39" i="1" s="1"/>
  <c r="D51" i="1"/>
  <c r="E51" i="1" s="1"/>
  <c r="D63" i="1"/>
  <c r="E63" i="1" s="1"/>
  <c r="D73" i="1"/>
  <c r="E73" i="1" s="1"/>
  <c r="D85" i="1"/>
  <c r="E85" i="1" s="1"/>
  <c r="D97" i="1"/>
  <c r="E97" i="1" s="1"/>
  <c r="D137" i="1"/>
  <c r="E137" i="1" s="1"/>
  <c r="D185" i="1"/>
  <c r="E185" i="1" s="1"/>
  <c r="D233" i="1"/>
  <c r="E233" i="1" s="1"/>
  <c r="D249" i="1"/>
  <c r="E249" i="1" s="1"/>
  <c r="D281" i="1"/>
  <c r="E281" i="1" s="1"/>
  <c r="D111" i="1"/>
  <c r="E111" i="1" s="1"/>
  <c r="D143" i="1"/>
  <c r="E143" i="1" s="1"/>
  <c r="D151" i="1"/>
  <c r="E151" i="1" s="1"/>
  <c r="D175" i="1"/>
  <c r="E175" i="1" s="1"/>
  <c r="D231" i="1"/>
  <c r="E231" i="1" s="1"/>
  <c r="D239" i="1"/>
  <c r="E239" i="1" s="1"/>
  <c r="D247" i="1"/>
  <c r="E247" i="1" s="1"/>
  <c r="D255" i="1"/>
  <c r="E255" i="1" s="1"/>
  <c r="D271" i="1"/>
  <c r="E271" i="1" s="1"/>
  <c r="D279" i="1"/>
  <c r="E279" i="1" s="1"/>
  <c r="D287" i="1"/>
  <c r="E287" i="1" s="1"/>
  <c r="D295" i="1"/>
  <c r="E295" i="1" s="1"/>
  <c r="D7" i="1"/>
  <c r="E7" i="1" s="1"/>
  <c r="D19" i="1"/>
  <c r="E19" i="1" s="1"/>
  <c r="D31" i="1"/>
  <c r="E31" i="1" s="1"/>
  <c r="D43" i="1"/>
  <c r="E43" i="1" s="1"/>
  <c r="D55" i="1"/>
  <c r="E55" i="1" s="1"/>
  <c r="D67" i="1"/>
  <c r="E67" i="1" s="1"/>
  <c r="D83" i="1"/>
  <c r="E83" i="1" s="1"/>
  <c r="D95" i="1"/>
  <c r="E95" i="1" s="1"/>
  <c r="D161" i="1"/>
  <c r="E161" i="1" s="1"/>
  <c r="D193" i="1"/>
  <c r="E193" i="1" s="1"/>
  <c r="D241" i="1"/>
  <c r="E241" i="1" s="1"/>
  <c r="D183" i="1"/>
  <c r="E183" i="1" s="1"/>
  <c r="D191" i="1"/>
  <c r="E191" i="1" s="1"/>
  <c r="D199" i="1"/>
  <c r="E199" i="1" s="1"/>
  <c r="D207" i="1"/>
  <c r="E207" i="1" s="1"/>
  <c r="D215" i="1"/>
  <c r="E215" i="1" s="1"/>
  <c r="D223" i="1"/>
  <c r="E223" i="1" s="1"/>
  <c r="D263" i="1"/>
  <c r="E263" i="1" s="1"/>
  <c r="D109" i="1"/>
  <c r="E109" i="1" s="1"/>
  <c r="D125" i="1"/>
  <c r="E125" i="1" s="1"/>
  <c r="D135" i="1"/>
  <c r="E135" i="1" s="1"/>
  <c r="D10" i="1"/>
  <c r="E10" i="1" s="1"/>
  <c r="D18" i="1"/>
  <c r="E18" i="1" s="1"/>
  <c r="D26" i="1"/>
  <c r="E26" i="1" s="1"/>
  <c r="D34" i="1"/>
  <c r="E34" i="1" s="1"/>
  <c r="D42" i="1"/>
  <c r="E42" i="1" s="1"/>
  <c r="D52" i="1"/>
  <c r="E52" i="1" s="1"/>
  <c r="D60" i="1"/>
  <c r="E60" i="1" s="1"/>
  <c r="D70" i="1"/>
  <c r="E70" i="1" s="1"/>
  <c r="D78" i="1"/>
  <c r="E78" i="1" s="1"/>
  <c r="D86" i="1"/>
  <c r="E86" i="1" s="1"/>
  <c r="D98" i="1"/>
  <c r="E98" i="1" s="1"/>
  <c r="D157" i="1"/>
  <c r="E157" i="1" s="1"/>
  <c r="D173" i="1"/>
  <c r="E173" i="1" s="1"/>
  <c r="D181" i="1"/>
  <c r="E181" i="1" s="1"/>
  <c r="D197" i="1"/>
  <c r="E197" i="1" s="1"/>
  <c r="D213" i="1"/>
  <c r="E213" i="1" s="1"/>
  <c r="D221" i="1"/>
  <c r="E221" i="1" s="1"/>
  <c r="D237" i="1"/>
  <c r="E237" i="1" s="1"/>
  <c r="D253" i="1"/>
  <c r="E253" i="1" s="1"/>
  <c r="D269" i="1"/>
  <c r="E269" i="1" s="1"/>
  <c r="D3" i="1"/>
  <c r="D15" i="1"/>
  <c r="E15" i="1" s="1"/>
  <c r="D25" i="1"/>
  <c r="E25" i="1" s="1"/>
  <c r="D29" i="1"/>
  <c r="E29" i="1" s="1"/>
  <c r="D41" i="1"/>
  <c r="E41" i="1" s="1"/>
  <c r="D53" i="1"/>
  <c r="E53" i="1" s="1"/>
  <c r="D65" i="1"/>
  <c r="E65" i="1" s="1"/>
  <c r="D77" i="1"/>
  <c r="E77" i="1" s="1"/>
  <c r="D87" i="1"/>
  <c r="E87" i="1" s="1"/>
  <c r="D99" i="1"/>
  <c r="E99" i="1" s="1"/>
  <c r="D153" i="1"/>
  <c r="E153" i="1" s="1"/>
  <c r="D265" i="1"/>
  <c r="E265" i="1" s="1"/>
  <c r="D167" i="1"/>
  <c r="E167" i="1" s="1"/>
  <c r="D8" i="1"/>
  <c r="E8" i="1" s="1"/>
  <c r="D16" i="1"/>
  <c r="E16" i="1" s="1"/>
  <c r="D24" i="1"/>
  <c r="E24" i="1" s="1"/>
  <c r="D30" i="1"/>
  <c r="E30" i="1" s="1"/>
  <c r="D36" i="1"/>
  <c r="E36" i="1" s="1"/>
  <c r="D44" i="1"/>
  <c r="E44" i="1" s="1"/>
  <c r="D50" i="1"/>
  <c r="E50" i="1" s="1"/>
  <c r="D56" i="1"/>
  <c r="E56" i="1" s="1"/>
  <c r="D64" i="1"/>
  <c r="E64" i="1" s="1"/>
  <c r="D68" i="1"/>
  <c r="E68" i="1" s="1"/>
  <c r="D76" i="1"/>
  <c r="E76" i="1" s="1"/>
  <c r="D82" i="1"/>
  <c r="E82" i="1" s="1"/>
  <c r="D90" i="1"/>
  <c r="E90" i="1" s="1"/>
  <c r="D94" i="1"/>
  <c r="E94" i="1" s="1"/>
  <c r="D107" i="1"/>
  <c r="E107" i="1" s="1"/>
  <c r="D133" i="1"/>
  <c r="E133" i="1" s="1"/>
  <c r="D141" i="1"/>
  <c r="E141" i="1" s="1"/>
  <c r="D149" i="1"/>
  <c r="E149" i="1" s="1"/>
  <c r="D189" i="1"/>
  <c r="E189" i="1" s="1"/>
  <c r="D229" i="1"/>
  <c r="E229" i="1" s="1"/>
  <c r="D245" i="1"/>
  <c r="E245" i="1" s="1"/>
  <c r="D261" i="1"/>
  <c r="E261" i="1" s="1"/>
  <c r="D277" i="1"/>
  <c r="E277" i="1" s="1"/>
  <c r="D285" i="1"/>
  <c r="E285" i="1" s="1"/>
  <c r="D293" i="1"/>
  <c r="E293" i="1" s="1"/>
  <c r="D301" i="1"/>
  <c r="E301" i="1" s="1"/>
  <c r="D105" i="1"/>
  <c r="E105" i="1" s="1"/>
  <c r="D121" i="1"/>
  <c r="E121" i="1" s="1"/>
  <c r="D5" i="1"/>
  <c r="E5" i="1" s="1"/>
  <c r="D17" i="1"/>
  <c r="E17" i="1" s="1"/>
  <c r="D33" i="1"/>
  <c r="E33" i="1" s="1"/>
  <c r="D45" i="1"/>
  <c r="E45" i="1" s="1"/>
  <c r="D57" i="1"/>
  <c r="E57" i="1" s="1"/>
  <c r="D71" i="1"/>
  <c r="E71" i="1" s="1"/>
  <c r="D79" i="1"/>
  <c r="E79" i="1" s="1"/>
  <c r="D89" i="1"/>
  <c r="E89" i="1" s="1"/>
  <c r="D217" i="1"/>
  <c r="E217" i="1" s="1"/>
  <c r="D257" i="1"/>
  <c r="E257" i="1" s="1"/>
  <c r="D273" i="1"/>
  <c r="E273" i="1" s="1"/>
  <c r="D297" i="1"/>
  <c r="E297" i="1" s="1"/>
  <c r="D159" i="1"/>
  <c r="E159" i="1" s="1"/>
  <c r="D4" i="1"/>
  <c r="E4" i="1" s="1"/>
  <c r="D12" i="1"/>
  <c r="E12" i="1" s="1"/>
  <c r="D22" i="1"/>
  <c r="E22" i="1" s="1"/>
  <c r="D32" i="1"/>
  <c r="E32" i="1" s="1"/>
  <c r="D40" i="1"/>
  <c r="E40" i="1" s="1"/>
  <c r="D48" i="1"/>
  <c r="E48" i="1" s="1"/>
  <c r="D58" i="1"/>
  <c r="E58" i="1" s="1"/>
  <c r="D66" i="1"/>
  <c r="E66" i="1" s="1"/>
  <c r="D74" i="1"/>
  <c r="E74" i="1" s="1"/>
  <c r="D84" i="1"/>
  <c r="E84" i="1" s="1"/>
  <c r="D96" i="1"/>
  <c r="E96" i="1" s="1"/>
  <c r="D165" i="1"/>
  <c r="E165" i="1" s="1"/>
  <c r="D103" i="1"/>
  <c r="E103" i="1" s="1"/>
  <c r="D119" i="1"/>
  <c r="E119" i="1" s="1"/>
  <c r="D131" i="1"/>
  <c r="E131" i="1" s="1"/>
  <c r="D155" i="1"/>
  <c r="E155" i="1" s="1"/>
  <c r="D171" i="1"/>
  <c r="E171" i="1" s="1"/>
  <c r="D179" i="1"/>
  <c r="E179" i="1" s="1"/>
  <c r="D187" i="1"/>
  <c r="E187" i="1" s="1"/>
  <c r="D203" i="1"/>
  <c r="E203" i="1" s="1"/>
  <c r="D211" i="1"/>
  <c r="E211" i="1" s="1"/>
  <c r="D219" i="1"/>
  <c r="E219" i="1" s="1"/>
  <c r="D235" i="1"/>
  <c r="E235" i="1" s="1"/>
  <c r="D267" i="1"/>
  <c r="E267" i="1" s="1"/>
  <c r="D283" i="1"/>
  <c r="E283" i="1" s="1"/>
  <c r="D299" i="1"/>
  <c r="E299" i="1" s="1"/>
  <c r="D11" i="1"/>
  <c r="E11" i="1" s="1"/>
  <c r="D21" i="1"/>
  <c r="E21" i="1" s="1"/>
  <c r="D35" i="1"/>
  <c r="E35" i="1" s="1"/>
  <c r="D49" i="1"/>
  <c r="E49" i="1" s="1"/>
  <c r="D61" i="1"/>
  <c r="E61" i="1" s="1"/>
  <c r="D75" i="1"/>
  <c r="E75" i="1" s="1"/>
  <c r="D91" i="1"/>
  <c r="E91" i="1" s="1"/>
  <c r="D129" i="1"/>
  <c r="E129" i="1" s="1"/>
  <c r="D145" i="1"/>
  <c r="E145" i="1" s="1"/>
  <c r="D177" i="1"/>
  <c r="E177" i="1" s="1"/>
  <c r="D201" i="1"/>
  <c r="E201" i="1" s="1"/>
  <c r="D127" i="1"/>
  <c r="E127" i="1" s="1"/>
  <c r="D6" i="1"/>
  <c r="E6" i="1" s="1"/>
  <c r="D14" i="1"/>
  <c r="E14" i="1" s="1"/>
  <c r="D20" i="1"/>
  <c r="E20" i="1" s="1"/>
  <c r="D28" i="1"/>
  <c r="E28" i="1" s="1"/>
  <c r="D38" i="1"/>
  <c r="E38" i="1" s="1"/>
  <c r="D46" i="1"/>
  <c r="E46" i="1" s="1"/>
  <c r="D54" i="1"/>
  <c r="E54" i="1" s="1"/>
  <c r="D62" i="1"/>
  <c r="E62" i="1" s="1"/>
  <c r="D72" i="1"/>
  <c r="E72" i="1" s="1"/>
  <c r="D80" i="1"/>
  <c r="E80" i="1" s="1"/>
  <c r="D88" i="1"/>
  <c r="E88" i="1" s="1"/>
  <c r="D92" i="1"/>
  <c r="E92" i="1" s="1"/>
  <c r="D123" i="1"/>
  <c r="E123" i="1" s="1"/>
  <c r="D205" i="1"/>
  <c r="E205" i="1" s="1"/>
  <c r="D139" i="1"/>
  <c r="E139" i="1" s="1"/>
  <c r="D147" i="1"/>
  <c r="E147" i="1" s="1"/>
  <c r="D163" i="1"/>
  <c r="E163" i="1" s="1"/>
  <c r="D195" i="1"/>
  <c r="E195" i="1" s="1"/>
  <c r="D227" i="1"/>
  <c r="E227" i="1" s="1"/>
  <c r="D243" i="1"/>
  <c r="E243" i="1" s="1"/>
  <c r="D251" i="1"/>
  <c r="E251" i="1" s="1"/>
  <c r="D259" i="1"/>
  <c r="E259" i="1" s="1"/>
  <c r="D275" i="1"/>
  <c r="E275" i="1" s="1"/>
  <c r="D291" i="1"/>
  <c r="E291" i="1" s="1"/>
  <c r="D101" i="1"/>
  <c r="E101" i="1" s="1"/>
  <c r="D117" i="1"/>
  <c r="E117" i="1" s="1"/>
  <c r="D100" i="1"/>
  <c r="E100" i="1" s="1"/>
  <c r="D102" i="1"/>
  <c r="E102" i="1" s="1"/>
  <c r="D104" i="1"/>
  <c r="E104" i="1" s="1"/>
  <c r="D106" i="1"/>
  <c r="E106" i="1" s="1"/>
  <c r="D108" i="1"/>
  <c r="E108" i="1" s="1"/>
  <c r="D110" i="1"/>
  <c r="E110" i="1" s="1"/>
  <c r="D112" i="1"/>
  <c r="E112" i="1" s="1"/>
  <c r="D114" i="1"/>
  <c r="E114" i="1" s="1"/>
  <c r="D116" i="1"/>
  <c r="E116" i="1" s="1"/>
  <c r="D118" i="1"/>
  <c r="E118" i="1" s="1"/>
  <c r="D120" i="1"/>
  <c r="E120" i="1" s="1"/>
  <c r="D122" i="1"/>
  <c r="E122" i="1" s="1"/>
  <c r="D124" i="1"/>
  <c r="E124" i="1" s="1"/>
  <c r="D126" i="1"/>
  <c r="E126" i="1" s="1"/>
  <c r="D128" i="1"/>
  <c r="E128" i="1" s="1"/>
  <c r="D130" i="1"/>
  <c r="E130" i="1" s="1"/>
  <c r="D132" i="1"/>
  <c r="E132" i="1" s="1"/>
  <c r="D134" i="1"/>
  <c r="E134" i="1" s="1"/>
  <c r="D136" i="1"/>
  <c r="E136" i="1" s="1"/>
  <c r="D138" i="1"/>
  <c r="E138" i="1" s="1"/>
  <c r="D140" i="1"/>
  <c r="E140" i="1" s="1"/>
  <c r="D142" i="1"/>
  <c r="E142" i="1" s="1"/>
  <c r="D144" i="1"/>
  <c r="E144" i="1" s="1"/>
  <c r="D146" i="1"/>
  <c r="E146" i="1" s="1"/>
  <c r="D148" i="1"/>
  <c r="E148" i="1" s="1"/>
  <c r="D150" i="1"/>
  <c r="E150" i="1" s="1"/>
  <c r="D152" i="1"/>
  <c r="E152" i="1" s="1"/>
  <c r="D154" i="1"/>
  <c r="E154" i="1" s="1"/>
  <c r="D156" i="1"/>
  <c r="E156" i="1" s="1"/>
  <c r="D158" i="1"/>
  <c r="E158" i="1" s="1"/>
  <c r="D160" i="1"/>
  <c r="E160" i="1" s="1"/>
  <c r="D162" i="1"/>
  <c r="E162" i="1" s="1"/>
  <c r="D164" i="1"/>
  <c r="E164" i="1" s="1"/>
  <c r="D166" i="1"/>
  <c r="E166" i="1" s="1"/>
  <c r="D168" i="1"/>
  <c r="E168" i="1" s="1"/>
  <c r="D170" i="1"/>
  <c r="E170" i="1" s="1"/>
  <c r="D172" i="1"/>
  <c r="E172" i="1" s="1"/>
  <c r="D174" i="1"/>
  <c r="E174" i="1" s="1"/>
  <c r="D176" i="1"/>
  <c r="E176" i="1" s="1"/>
  <c r="D178" i="1"/>
  <c r="E178" i="1" s="1"/>
  <c r="D180" i="1"/>
  <c r="E180" i="1" s="1"/>
  <c r="D182" i="1"/>
  <c r="E182" i="1" s="1"/>
  <c r="D184" i="1"/>
  <c r="E184" i="1" s="1"/>
  <c r="D186" i="1"/>
  <c r="E186" i="1" s="1"/>
  <c r="D188" i="1"/>
  <c r="E188" i="1" s="1"/>
  <c r="D190" i="1"/>
  <c r="E190" i="1" s="1"/>
  <c r="D192" i="1"/>
  <c r="E192" i="1" s="1"/>
  <c r="D194" i="1"/>
  <c r="E194" i="1" s="1"/>
  <c r="D196" i="1"/>
  <c r="E196" i="1" s="1"/>
  <c r="D198" i="1"/>
  <c r="E198" i="1" s="1"/>
  <c r="D200" i="1"/>
  <c r="E200" i="1" s="1"/>
  <c r="D202" i="1"/>
  <c r="E202" i="1" s="1"/>
  <c r="D204" i="1"/>
  <c r="E204" i="1" s="1"/>
  <c r="D206" i="1"/>
  <c r="E206" i="1" s="1"/>
  <c r="D208" i="1"/>
  <c r="E208" i="1" s="1"/>
  <c r="D210" i="1"/>
  <c r="E210" i="1" s="1"/>
  <c r="D212" i="1"/>
  <c r="E212" i="1" s="1"/>
  <c r="D214" i="1"/>
  <c r="E214" i="1" s="1"/>
  <c r="D216" i="1"/>
  <c r="E216" i="1" s="1"/>
  <c r="D218" i="1"/>
  <c r="E218" i="1" s="1"/>
  <c r="D220" i="1"/>
  <c r="E220" i="1" s="1"/>
  <c r="D222" i="1"/>
  <c r="E222" i="1" s="1"/>
  <c r="D224" i="1"/>
  <c r="E224" i="1" s="1"/>
  <c r="D226" i="1"/>
  <c r="E226" i="1" s="1"/>
  <c r="D228" i="1"/>
  <c r="E228" i="1" s="1"/>
  <c r="D230" i="1"/>
  <c r="E230" i="1" s="1"/>
  <c r="D232" i="1"/>
  <c r="E232" i="1" s="1"/>
  <c r="D234" i="1"/>
  <c r="E234" i="1" s="1"/>
  <c r="D236" i="1"/>
  <c r="E236" i="1" s="1"/>
  <c r="D238" i="1"/>
  <c r="E238" i="1" s="1"/>
  <c r="D240" i="1"/>
  <c r="E240" i="1" s="1"/>
  <c r="D242" i="1"/>
  <c r="E242" i="1" s="1"/>
  <c r="D244" i="1"/>
  <c r="E244" i="1" s="1"/>
  <c r="D246" i="1"/>
  <c r="E246" i="1" s="1"/>
  <c r="D248" i="1"/>
  <c r="E248" i="1" s="1"/>
  <c r="D250" i="1"/>
  <c r="E250" i="1" s="1"/>
  <c r="D252" i="1"/>
  <c r="E252" i="1" s="1"/>
  <c r="D254" i="1"/>
  <c r="E254" i="1" s="1"/>
  <c r="D256" i="1"/>
  <c r="E256" i="1" s="1"/>
  <c r="D258" i="1"/>
  <c r="E258" i="1" s="1"/>
  <c r="D260" i="1"/>
  <c r="E260" i="1" s="1"/>
  <c r="D262" i="1"/>
  <c r="E262" i="1" s="1"/>
  <c r="D264" i="1"/>
  <c r="E264" i="1" s="1"/>
  <c r="D266" i="1"/>
  <c r="E266" i="1" s="1"/>
  <c r="D268" i="1"/>
  <c r="E268" i="1" s="1"/>
  <c r="D270" i="1"/>
  <c r="E270" i="1" s="1"/>
  <c r="D272" i="1"/>
  <c r="E272" i="1" s="1"/>
  <c r="D274" i="1"/>
  <c r="E274" i="1" s="1"/>
  <c r="D276" i="1"/>
  <c r="E276" i="1" s="1"/>
  <c r="D278" i="1"/>
  <c r="E278" i="1" s="1"/>
  <c r="D280" i="1"/>
  <c r="E280" i="1" s="1"/>
  <c r="D282" i="1"/>
  <c r="E282" i="1" s="1"/>
  <c r="D284" i="1"/>
  <c r="E284" i="1" s="1"/>
  <c r="D286" i="1"/>
  <c r="E286" i="1" s="1"/>
  <c r="D288" i="1"/>
  <c r="E288" i="1" s="1"/>
  <c r="D290" i="1"/>
  <c r="E290" i="1" s="1"/>
  <c r="D292" i="1"/>
  <c r="E292" i="1" s="1"/>
  <c r="D294" i="1"/>
  <c r="E294" i="1" s="1"/>
  <c r="D296" i="1"/>
  <c r="E296" i="1" s="1"/>
  <c r="D298" i="1"/>
  <c r="E298" i="1" s="1"/>
  <c r="D300" i="1"/>
  <c r="E300" i="1" s="1"/>
  <c r="D302" i="1"/>
  <c r="E302" i="1" s="1"/>
  <c r="I69" i="10"/>
  <c r="H69" i="10"/>
  <c r="H98" i="10"/>
  <c r="I98" i="10"/>
  <c r="F61" i="7"/>
  <c r="F21" i="7"/>
  <c r="F85" i="7"/>
  <c r="B507" i="6"/>
  <c r="B506" i="6"/>
  <c r="B509" i="6" s="1"/>
  <c r="F69" i="7"/>
  <c r="F120" i="7"/>
  <c r="F159" i="7"/>
  <c r="C213" i="4"/>
  <c r="B213" i="4"/>
  <c r="F53" i="7"/>
  <c r="B218" i="7" s="1"/>
  <c r="F117" i="7"/>
  <c r="B5" i="7"/>
  <c r="F136" i="7"/>
  <c r="F151" i="7"/>
  <c r="F176" i="7"/>
  <c r="F192" i="7"/>
  <c r="G7" i="8"/>
  <c r="B505" i="8" s="1"/>
  <c r="B506" i="8" s="1"/>
  <c r="E18" i="8"/>
  <c r="G18" i="8" s="1"/>
  <c r="G24" i="8"/>
  <c r="E33" i="8"/>
  <c r="G33" i="8" s="1"/>
  <c r="G39" i="8"/>
  <c r="E50" i="8"/>
  <c r="G50" i="8" s="1"/>
  <c r="G56" i="8"/>
  <c r="E65" i="8"/>
  <c r="G65" i="8" s="1"/>
  <c r="G71" i="8"/>
  <c r="E82" i="8"/>
  <c r="G82" i="8" s="1"/>
  <c r="G88" i="8"/>
  <c r="E97" i="8"/>
  <c r="G97" i="8" s="1"/>
  <c r="G103" i="8"/>
  <c r="G165" i="8"/>
  <c r="B212" i="4"/>
  <c r="G22" i="8"/>
  <c r="G54" i="8"/>
  <c r="G86" i="8"/>
  <c r="G108" i="8"/>
  <c r="F152" i="7"/>
  <c r="F167" i="7"/>
  <c r="F177" i="7"/>
  <c r="F183" i="7"/>
  <c r="F193" i="7"/>
  <c r="F206" i="7"/>
  <c r="E10" i="8"/>
  <c r="G10" i="8" s="1"/>
  <c r="G16" i="8"/>
  <c r="E25" i="8"/>
  <c r="G25" i="8" s="1"/>
  <c r="E42" i="8"/>
  <c r="G42" i="8" s="1"/>
  <c r="G48" i="8"/>
  <c r="E57" i="8"/>
  <c r="G57" i="8" s="1"/>
  <c r="E74" i="8"/>
  <c r="G74" i="8" s="1"/>
  <c r="G80" i="8"/>
  <c r="E89" i="8"/>
  <c r="G89" i="8" s="1"/>
  <c r="E106" i="8"/>
  <c r="G106" i="8" s="1"/>
  <c r="G133" i="8"/>
  <c r="E210" i="8"/>
  <c r="G210" i="8" s="1"/>
  <c r="E215" i="8"/>
  <c r="G215" i="8" s="1"/>
  <c r="G14" i="8"/>
  <c r="G46" i="8"/>
  <c r="G78" i="8"/>
  <c r="F168" i="7"/>
  <c r="F184" i="7"/>
  <c r="F207" i="7"/>
  <c r="G8" i="8"/>
  <c r="E17" i="8"/>
  <c r="G17" i="8" s="1"/>
  <c r="G23" i="8"/>
  <c r="E34" i="8"/>
  <c r="G34" i="8" s="1"/>
  <c r="G40" i="8"/>
  <c r="E49" i="8"/>
  <c r="G49" i="8" s="1"/>
  <c r="G55" i="8"/>
  <c r="E66" i="8"/>
  <c r="G66" i="8" s="1"/>
  <c r="G72" i="8"/>
  <c r="E81" i="8"/>
  <c r="G81" i="8" s="1"/>
  <c r="G87" i="8"/>
  <c r="E98" i="8"/>
  <c r="G98" i="8" s="1"/>
  <c r="G104" i="8"/>
  <c r="E178" i="8"/>
  <c r="G178" i="8" s="1"/>
  <c r="E183" i="8"/>
  <c r="G183" i="8" s="1"/>
  <c r="G129" i="8"/>
  <c r="G145" i="8"/>
  <c r="G161" i="8"/>
  <c r="G177" i="8"/>
  <c r="G193" i="8"/>
  <c r="G209" i="8"/>
  <c r="G263" i="8"/>
  <c r="G342" i="8"/>
  <c r="H18" i="10"/>
  <c r="I18" i="10"/>
  <c r="I117" i="10"/>
  <c r="H117" i="10"/>
  <c r="G248" i="8"/>
  <c r="E257" i="8"/>
  <c r="G257" i="8" s="1"/>
  <c r="G280" i="8"/>
  <c r="G302" i="8"/>
  <c r="G323" i="8"/>
  <c r="G255" i="8"/>
  <c r="G326" i="8"/>
  <c r="E249" i="8"/>
  <c r="G249" i="8" s="1"/>
  <c r="G272" i="8"/>
  <c r="E281" i="8"/>
  <c r="G281" i="8" s="1"/>
  <c r="G307" i="8"/>
  <c r="E368" i="8"/>
  <c r="G368" i="8" s="1"/>
  <c r="H34" i="10"/>
  <c r="I34" i="10"/>
  <c r="G264" i="8"/>
  <c r="E273" i="8"/>
  <c r="G273" i="8" s="1"/>
  <c r="G334" i="8"/>
  <c r="G355" i="8"/>
  <c r="E115" i="8"/>
  <c r="G115" i="8" s="1"/>
  <c r="G221" i="8"/>
  <c r="G229" i="8"/>
  <c r="G237" i="8"/>
  <c r="E250" i="8"/>
  <c r="G250" i="8" s="1"/>
  <c r="E282" i="8"/>
  <c r="G282" i="8" s="1"/>
  <c r="G315" i="8"/>
  <c r="G358" i="8"/>
  <c r="H12" i="10"/>
  <c r="I12" i="10"/>
  <c r="I37" i="10"/>
  <c r="H37" i="10"/>
  <c r="H66" i="10"/>
  <c r="I66" i="10"/>
  <c r="I85" i="10"/>
  <c r="H85" i="10"/>
  <c r="H114" i="10"/>
  <c r="I114" i="10"/>
  <c r="E293" i="8"/>
  <c r="G293" i="8" s="1"/>
  <c r="E295" i="8"/>
  <c r="G295" i="8" s="1"/>
  <c r="I53" i="10"/>
  <c r="H53" i="10"/>
  <c r="H82" i="10"/>
  <c r="I82" i="10"/>
  <c r="G303" i="8"/>
  <c r="G311" i="8"/>
  <c r="G319" i="8"/>
  <c r="G327" i="8"/>
  <c r="G335" i="8"/>
  <c r="I101" i="10"/>
  <c r="H101" i="10"/>
  <c r="G343" i="8"/>
  <c r="G351" i="8"/>
  <c r="E365" i="8"/>
  <c r="G365" i="8" s="1"/>
  <c r="I21" i="10"/>
  <c r="H21" i="10"/>
  <c r="H50" i="10"/>
  <c r="I50" i="10"/>
  <c r="I15" i="10"/>
  <c r="H15" i="10"/>
  <c r="I31" i="10"/>
  <c r="H31" i="10"/>
  <c r="I47" i="10"/>
  <c r="H47" i="10"/>
  <c r="I63" i="10"/>
  <c r="H63" i="10"/>
  <c r="I79" i="10"/>
  <c r="H79" i="10"/>
  <c r="I95" i="10"/>
  <c r="H95" i="10"/>
  <c r="I111" i="10"/>
  <c r="H111" i="10"/>
  <c r="I121" i="10"/>
  <c r="H121" i="10"/>
  <c r="I125" i="10"/>
  <c r="H125" i="10"/>
  <c r="I129" i="10"/>
  <c r="H129" i="10"/>
  <c r="I133" i="10"/>
  <c r="H133" i="10"/>
  <c r="I137" i="10"/>
  <c r="H137" i="10"/>
  <c r="I141" i="10"/>
  <c r="H141" i="10"/>
  <c r="I145" i="10"/>
  <c r="H145" i="10"/>
  <c r="I149" i="10"/>
  <c r="H149" i="10"/>
  <c r="I153" i="10"/>
  <c r="H153" i="10"/>
  <c r="I157" i="10"/>
  <c r="H157" i="10"/>
  <c r="I161" i="10"/>
  <c r="H161" i="10"/>
  <c r="I165" i="10"/>
  <c r="H165" i="10"/>
  <c r="I169" i="10"/>
  <c r="H169" i="10"/>
  <c r="I173" i="10"/>
  <c r="H173" i="10"/>
  <c r="I177" i="10"/>
  <c r="H177" i="10"/>
  <c r="I25" i="10"/>
  <c r="H25" i="10"/>
  <c r="I41" i="10"/>
  <c r="H41" i="10"/>
  <c r="I57" i="10"/>
  <c r="H57" i="10"/>
  <c r="I73" i="10"/>
  <c r="H73" i="10"/>
  <c r="I89" i="10"/>
  <c r="H89" i="10"/>
  <c r="I105" i="10"/>
  <c r="H105" i="10"/>
  <c r="I19" i="10"/>
  <c r="H19" i="10"/>
  <c r="I28" i="10"/>
  <c r="I35" i="10"/>
  <c r="H35" i="10"/>
  <c r="I44" i="10"/>
  <c r="I51" i="10"/>
  <c r="H51" i="10"/>
  <c r="I60" i="10"/>
  <c r="I67" i="10"/>
  <c r="H67" i="10"/>
  <c r="I76" i="10"/>
  <c r="I83" i="10"/>
  <c r="H83" i="10"/>
  <c r="I92" i="10"/>
  <c r="I99" i="10"/>
  <c r="H99" i="10"/>
  <c r="I108" i="10"/>
  <c r="I115" i="10"/>
  <c r="H115" i="10"/>
  <c r="I122" i="10"/>
  <c r="H122" i="10"/>
  <c r="I126" i="10"/>
  <c r="H126" i="10"/>
  <c r="I130" i="10"/>
  <c r="H130" i="10"/>
  <c r="I134" i="10"/>
  <c r="H134" i="10"/>
  <c r="I138" i="10"/>
  <c r="H138" i="10"/>
  <c r="I142" i="10"/>
  <c r="H142" i="10"/>
  <c r="I146" i="10"/>
  <c r="H146" i="10"/>
  <c r="I150" i="10"/>
  <c r="H150" i="10"/>
  <c r="I154" i="10"/>
  <c r="H154" i="10"/>
  <c r="I158" i="10"/>
  <c r="H158" i="10"/>
  <c r="I162" i="10"/>
  <c r="H162" i="10"/>
  <c r="I166" i="10"/>
  <c r="H166" i="10"/>
  <c r="I170" i="10"/>
  <c r="H170" i="10"/>
  <c r="I174" i="10"/>
  <c r="H174" i="10"/>
  <c r="I178" i="10"/>
  <c r="H178" i="10"/>
  <c r="H6" i="10"/>
  <c r="B183" i="10" s="1"/>
  <c r="H8" i="10"/>
  <c r="I10" i="10"/>
  <c r="I22" i="10"/>
  <c r="I29" i="10"/>
  <c r="H29" i="10"/>
  <c r="I38" i="10"/>
  <c r="I45" i="10"/>
  <c r="H45" i="10"/>
  <c r="I54" i="10"/>
  <c r="I61" i="10"/>
  <c r="H61" i="10"/>
  <c r="I70" i="10"/>
  <c r="I77" i="10"/>
  <c r="H77" i="10"/>
  <c r="I86" i="10"/>
  <c r="I93" i="10"/>
  <c r="H93" i="10"/>
  <c r="I102" i="10"/>
  <c r="I109" i="10"/>
  <c r="H109" i="10"/>
  <c r="I118" i="10"/>
  <c r="I23" i="10"/>
  <c r="H23" i="10"/>
  <c r="I39" i="10"/>
  <c r="H39" i="10"/>
  <c r="I55" i="10"/>
  <c r="H55" i="10"/>
  <c r="I71" i="10"/>
  <c r="H71" i="10"/>
  <c r="I87" i="10"/>
  <c r="H87" i="10"/>
  <c r="I103" i="10"/>
  <c r="H103" i="10"/>
  <c r="I119" i="10"/>
  <c r="H119" i="10"/>
  <c r="I123" i="10"/>
  <c r="H123" i="10"/>
  <c r="I127" i="10"/>
  <c r="H127" i="10"/>
  <c r="I131" i="10"/>
  <c r="H131" i="10"/>
  <c r="I135" i="10"/>
  <c r="H135" i="10"/>
  <c r="I139" i="10"/>
  <c r="H139" i="10"/>
  <c r="I143" i="10"/>
  <c r="H143" i="10"/>
  <c r="I147" i="10"/>
  <c r="H147" i="10"/>
  <c r="I151" i="10"/>
  <c r="H151" i="10"/>
  <c r="I155" i="10"/>
  <c r="H155" i="10"/>
  <c r="I159" i="10"/>
  <c r="H159" i="10"/>
  <c r="I163" i="10"/>
  <c r="H163" i="10"/>
  <c r="I167" i="10"/>
  <c r="H167" i="10"/>
  <c r="I171" i="10"/>
  <c r="H171" i="10"/>
  <c r="I175" i="10"/>
  <c r="H175" i="10"/>
  <c r="I179" i="10"/>
  <c r="H179" i="10"/>
  <c r="B186" i="10"/>
  <c r="I17" i="10"/>
  <c r="H17" i="10"/>
  <c r="I26" i="10"/>
  <c r="I33" i="10"/>
  <c r="H33" i="10"/>
  <c r="I42" i="10"/>
  <c r="I49" i="10"/>
  <c r="H49" i="10"/>
  <c r="I58" i="10"/>
  <c r="I65" i="10"/>
  <c r="H65" i="10"/>
  <c r="I74" i="10"/>
  <c r="I81" i="10"/>
  <c r="H81" i="10"/>
  <c r="I90" i="10"/>
  <c r="I97" i="10"/>
  <c r="H97" i="10"/>
  <c r="I106" i="10"/>
  <c r="I113" i="10"/>
  <c r="H113" i="10"/>
  <c r="I11" i="10"/>
  <c r="I20" i="10"/>
  <c r="I27" i="10"/>
  <c r="H27" i="10"/>
  <c r="I36" i="10"/>
  <c r="I43" i="10"/>
  <c r="H43" i="10"/>
  <c r="I52" i="10"/>
  <c r="I59" i="10"/>
  <c r="H59" i="10"/>
  <c r="I68" i="10"/>
  <c r="I75" i="10"/>
  <c r="H75" i="10"/>
  <c r="I84" i="10"/>
  <c r="I91" i="10"/>
  <c r="H91" i="10"/>
  <c r="I100" i="10"/>
  <c r="I107" i="10"/>
  <c r="H107" i="10"/>
  <c r="I116" i="10"/>
  <c r="I120" i="10"/>
  <c r="H120" i="10"/>
  <c r="I124" i="10"/>
  <c r="H124" i="10"/>
  <c r="I128" i="10"/>
  <c r="H128" i="10"/>
  <c r="I132" i="10"/>
  <c r="H132" i="10"/>
  <c r="I136" i="10"/>
  <c r="H136" i="10"/>
  <c r="I140" i="10"/>
  <c r="H140" i="10"/>
  <c r="I144" i="10"/>
  <c r="H144" i="10"/>
  <c r="I148" i="10"/>
  <c r="H148" i="10"/>
  <c r="I152" i="10"/>
  <c r="H152" i="10"/>
  <c r="I156" i="10"/>
  <c r="H156" i="10"/>
  <c r="I160" i="10"/>
  <c r="H160" i="10"/>
  <c r="I164" i="10"/>
  <c r="H164" i="10"/>
  <c r="I168" i="10"/>
  <c r="H168" i="10"/>
  <c r="I172" i="10"/>
  <c r="H172" i="10"/>
  <c r="I176" i="10"/>
  <c r="H176" i="10"/>
  <c r="B182" i="10" l="1"/>
  <c r="B185" i="10" s="1"/>
  <c r="B7" i="7"/>
  <c r="B9" i="7" s="1"/>
  <c r="B10" i="7" s="1"/>
  <c r="B6" i="7"/>
  <c r="B1004" i="1"/>
  <c r="B1007" i="1"/>
  <c r="B1006" i="1"/>
  <c r="B1005" i="1"/>
  <c r="E3" i="1"/>
  <c r="B1008" i="1" s="1"/>
  <c r="B3" i="9"/>
  <c r="E3" i="9"/>
  <c r="H3" i="9"/>
  <c r="L7" i="9"/>
  <c r="M7" i="9"/>
  <c r="N7" i="9"/>
  <c r="O7" i="9"/>
  <c r="P7" i="9"/>
  <c r="Q7" i="9"/>
  <c r="R7" i="9"/>
  <c r="S7" i="9"/>
  <c r="T7" i="9"/>
  <c r="U7" i="9"/>
  <c r="V7" i="9"/>
  <c r="W7" i="9"/>
  <c r="X7" i="9"/>
  <c r="Y7" i="9"/>
  <c r="Z7" i="9"/>
  <c r="AA7" i="9"/>
  <c r="AB7" i="9"/>
  <c r="AC7" i="9"/>
  <c r="AD7" i="9"/>
  <c r="AE7" i="9"/>
  <c r="AF7" i="9"/>
  <c r="AG7" i="9"/>
  <c r="AH7" i="9"/>
  <c r="AI7" i="9"/>
  <c r="AJ7" i="9"/>
  <c r="AK7" i="9"/>
  <c r="AL7" i="9"/>
  <c r="AM7" i="9"/>
  <c r="AN7" i="9"/>
  <c r="AO7" i="9"/>
  <c r="AP7" i="9"/>
  <c r="AQ7" i="9"/>
  <c r="AR7" i="9"/>
  <c r="AS7" i="9"/>
  <c r="AT7" i="9"/>
  <c r="AU7" i="9"/>
  <c r="AV7" i="9"/>
  <c r="AW7" i="9"/>
  <c r="AX7" i="9"/>
  <c r="AY7" i="9"/>
  <c r="L8" i="9"/>
  <c r="M8" i="9"/>
  <c r="N8" i="9"/>
  <c r="O8" i="9"/>
  <c r="P8" i="9"/>
  <c r="Q8" i="9"/>
  <c r="R8" i="9"/>
  <c r="S8" i="9"/>
  <c r="T8" i="9"/>
  <c r="U8" i="9"/>
  <c r="V8" i="9"/>
  <c r="W8" i="9"/>
  <c r="X8" i="9"/>
  <c r="Y8" i="9"/>
  <c r="Z8" i="9"/>
  <c r="AA8" i="9"/>
  <c r="AB8" i="9"/>
  <c r="AC8" i="9"/>
  <c r="AD8" i="9"/>
  <c r="AE8" i="9"/>
  <c r="AF8" i="9"/>
  <c r="AG8" i="9"/>
  <c r="AH8" i="9"/>
  <c r="AI8" i="9"/>
  <c r="AJ8" i="9"/>
  <c r="AK8" i="9"/>
  <c r="AL8" i="9"/>
  <c r="AM8" i="9"/>
  <c r="AN8" i="9"/>
  <c r="AO8" i="9"/>
  <c r="AP8" i="9"/>
  <c r="AQ8" i="9"/>
  <c r="AR8" i="9"/>
  <c r="AS8" i="9"/>
  <c r="AT8" i="9"/>
  <c r="AU8" i="9"/>
  <c r="AV8" i="9"/>
  <c r="AW8" i="9"/>
  <c r="AX8" i="9"/>
  <c r="AY8" i="9"/>
  <c r="B9" i="9"/>
  <c r="C9" i="9"/>
  <c r="D9" i="9"/>
  <c r="E9" i="9"/>
  <c r="F9" i="9"/>
  <c r="G9" i="9"/>
  <c r="H9" i="9"/>
  <c r="I9" i="9"/>
  <c r="J9" i="9"/>
  <c r="K9" i="9"/>
  <c r="L9" i="9"/>
  <c r="M9" i="9"/>
  <c r="N9" i="9"/>
  <c r="O9" i="9"/>
  <c r="P9" i="9"/>
  <c r="Q9" i="9"/>
  <c r="R9" i="9"/>
  <c r="S9" i="9"/>
  <c r="T9" i="9"/>
  <c r="U9" i="9"/>
  <c r="V9" i="9"/>
  <c r="W9" i="9"/>
  <c r="X9" i="9"/>
  <c r="Y9" i="9"/>
  <c r="Z9" i="9"/>
  <c r="AA9" i="9"/>
  <c r="AB9" i="9"/>
  <c r="AC9" i="9"/>
  <c r="AD9" i="9"/>
  <c r="AE9" i="9"/>
  <c r="AF9" i="9"/>
  <c r="AG9" i="9"/>
  <c r="AH9" i="9"/>
  <c r="AI9" i="9"/>
  <c r="AJ9" i="9"/>
  <c r="AK9" i="9"/>
  <c r="AL9" i="9"/>
  <c r="AM9" i="9"/>
  <c r="AN9" i="9"/>
  <c r="AO9" i="9"/>
  <c r="AP9" i="9"/>
  <c r="AQ9" i="9"/>
  <c r="AR9" i="9"/>
  <c r="AS9" i="9"/>
  <c r="AT9" i="9"/>
  <c r="AU9" i="9"/>
  <c r="AV9" i="9"/>
  <c r="AW9" i="9"/>
  <c r="AX9" i="9"/>
  <c r="AY9" i="9"/>
  <c r="B66" i="9"/>
  <c r="C66" i="9"/>
  <c r="D66" i="9"/>
  <c r="E66" i="9"/>
  <c r="F66" i="9"/>
  <c r="G66" i="9"/>
  <c r="H66" i="9"/>
  <c r="I66" i="9"/>
  <c r="J66" i="9"/>
  <c r="K66" i="9"/>
  <c r="B127" i="9"/>
  <c r="B128" i="9"/>
  <c r="B129" i="9"/>
  <c r="B130" i="9"/>
</calcChain>
</file>

<file path=xl/sharedStrings.xml><?xml version="1.0" encoding="utf-8"?>
<sst xmlns="http://schemas.openxmlformats.org/spreadsheetml/2006/main" count="1673" uniqueCount="512">
  <si>
    <t>d(n) = n - phi(n) - tau(n)  |  n = 1..1000  |  Every d(n) is =A-B-C</t>
  </si>
  <si>
    <t>n</t>
  </si>
  <si>
    <t>phi(n)</t>
  </si>
  <si>
    <t>tau(n)</t>
  </si>
  <si>
    <t>d(n)</t>
  </si>
  <si>
    <t>d/n</t>
  </si>
  <si>
    <t>omega(n)</t>
  </si>
  <si>
    <t>n mod 30</t>
  </si>
  <si>
    <t>Type</t>
  </si>
  <si>
    <t>Predicted</t>
  </si>
  <si>
    <t>unit</t>
  </si>
  <si>
    <t>prime</t>
  </si>
  <si>
    <t>composite</t>
  </si>
  <si>
    <t>Zeros (d=0):</t>
  </si>
  <si>
    <t>Must be exactly 3</t>
  </si>
  <si>
    <t>d=1 count:</t>
  </si>
  <si>
    <t>Must be 0 (gap theorem)</t>
  </si>
  <si>
    <t>Min d(n):</t>
  </si>
  <si>
    <t>Must be -1</t>
  </si>
  <si>
    <t>Max d(n):</t>
  </si>
  <si>
    <t>Avg d/n:</t>
  </si>
  <si>
    <t>Should approach 0.3921</t>
  </si>
  <si>
    <t>Primes:</t>
  </si>
  <si>
    <t>THEOREM: d(n) = 0  iff  n in {6, 8, 9} — Exhaustive verification to n=100,000</t>
  </si>
  <si>
    <t>All n with d(n)=0:</t>
  </si>
  <si>
    <t>[6, 8, 9]</t>
  </si>
  <si>
    <t>Proof by exhaustive case analysis:</t>
  </si>
  <si>
    <t>Factorization</t>
  </si>
  <si>
    <t>Case</t>
  </si>
  <si>
    <t>Why d=0</t>
  </si>
  <si>
    <t>2 x 3</t>
  </si>
  <si>
    <t>pq semiprime</t>
  </si>
  <si>
    <t>p+q-5 = 2+3-5 = 0</t>
  </si>
  <si>
    <t>2^3</t>
  </si>
  <si>
    <t>prime power p^k</t>
  </si>
  <si>
    <t>p^(k-1)-k-1 = 2^2-3-1 = 0</t>
  </si>
  <si>
    <t>3^2</t>
  </si>
  <si>
    <t>p^(k-1)-k-1 = 3^1-2-1 = 0</t>
  </si>
  <si>
    <t>Why no other zeros exist:</t>
  </si>
  <si>
    <t>Equation</t>
  </si>
  <si>
    <t>Conclusion</t>
  </si>
  <si>
    <t>n = prime</t>
  </si>
  <si>
    <t>d(p) = p-(p-1)-2 = -1 ≠ 0</t>
  </si>
  <si>
    <t>All primes give d=-1</t>
  </si>
  <si>
    <t>n = p^k, k≥2</t>
  </si>
  <si>
    <t>d = p^(k-1)-k-1 = 0 requires p^(k-1) = k+1</t>
  </si>
  <si>
    <t>Only solutions: (p,k)=(3,2)→9, (2,3)→8</t>
  </si>
  <si>
    <t>n = p^k, k≥4</t>
  </si>
  <si>
    <t>p^(k-1) ≥ 2^3 = 8 &gt; k+1 for k≥4</t>
  </si>
  <si>
    <t>No solutions for k≥4</t>
  </si>
  <si>
    <t>n = pq, p&lt;q primes</t>
  </si>
  <si>
    <t>d = p+q-5 = 0 requires p+q = 5</t>
  </si>
  <si>
    <t>Only 2+3=5 → n=6</t>
  </si>
  <si>
    <t>n = 2^a·3^b</t>
  </si>
  <si>
    <t>2^(a+1)·3^(b-1) = (a+1)(b+1)</t>
  </si>
  <si>
    <t>Only (1,1)→n=6. Exponential vs polynomial growth.</t>
  </si>
  <si>
    <t>n with prime p≥5</t>
  </si>
  <si>
    <t>n-phi(n) ≥ n/p ≥ n/5, and tau grows slowly</t>
  </si>
  <si>
    <t>Forces d(n) &gt; 0 for all n≥10</t>
  </si>
  <si>
    <t>Computational verification: scanned n=1..100,000. Found 3 zeros: [6, 8, 9].</t>
  </si>
  <si>
    <t>CONSECUTIVE COINCIDENCES: d(n) = d(n+1) — Only 7 pairs in [2, 100000]</t>
  </si>
  <si>
    <t>Question: For which n does d(n) = d(n+1)? Is the list finite? Why Fermat numbers?</t>
  </si>
  <si>
    <t>n+1</t>
  </si>
  <si>
    <t>d(n+1)</t>
  </si>
  <si>
    <t>Match?</t>
  </si>
  <si>
    <t>n+1 form</t>
  </si>
  <si>
    <t>n form</t>
  </si>
  <si>
    <t>Note</t>
  </si>
  <si>
    <t>3</t>
  </si>
  <si>
    <t>2</t>
  </si>
  <si>
    <t>Small cases</t>
  </si>
  <si>
    <t>2^2</t>
  </si>
  <si>
    <t>F_0 = 3</t>
  </si>
  <si>
    <t>2^(2^m)-1 = product of Fermat primes</t>
  </si>
  <si>
    <t>5</t>
  </si>
  <si>
    <t>2x2</t>
  </si>
  <si>
    <t>3x3</t>
  </si>
  <si>
    <t>2x2x2</t>
  </si>
  <si>
    <t>2^4 = F_1+1</t>
  </si>
  <si>
    <t>F_0·F_1 = 3·5</t>
  </si>
  <si>
    <t>2^8 = F_2+1</t>
  </si>
  <si>
    <t>F_0·F_1·F_2 = 3·5·17</t>
  </si>
  <si>
    <t>2^16 = F_3+1</t>
  </si>
  <si>
    <t>F_0·F_1·F_2·F_3 = 3·5·17·257</t>
  </si>
  <si>
    <t>OBSERVATIONS</t>
  </si>
  <si>
    <t>Total pairs found in [2, 100000]: 7</t>
  </si>
  <si>
    <t>Pattern: (2^(2^m)-1, 2^(2^m)) for m=0,1,2,3 — consecutive Fermat products and powers of 2</t>
  </si>
  <si>
    <t>The Fermat pattern produces d(2^(2^m)-1) = d(2^(2^m)) because:</t>
  </si>
  <si>
    <t xml:space="preserve">  2^(2^m)-1 = F_0·F_1·...·F_(m-1) where F_i are Fermat primes</t>
  </si>
  <si>
    <t xml:space="preserve">  d(squarefree) = prod(p_i) - prod(p_i - 1) - 2^k</t>
  </si>
  <si>
    <t xml:space="preserve">  d(2^n) = 2^(n-1) - n - 1</t>
  </si>
  <si>
    <t xml:space="preserve">  These are equal iff the Fermat factorization identity holds</t>
  </si>
  <si>
    <t>CONJECTURE: The list is complete — no more pairs exist beyond (65535, 65536).</t>
  </si>
  <si>
    <t>Status: UNPROVEN. Would follow if F_4 = 2^32+1 = 4294967297 is NOT prime (it isn't: 641 × 6700417).</t>
  </si>
  <si>
    <t>The pattern breaks at m=4 because F_4 is composite, so 2^32-1 ≠ F_0·F_1·F_2·F_3·F_4.</t>
  </si>
  <si>
    <t>FIBER CONCENTRATION: Do large fibers cluster at k ≡ 25 (mod 30)?</t>
  </si>
  <si>
    <t>Prediction from Hardy-Littlewood: Goldbach representations enhanced when k+5 ≡ 0 (mod 30), i.e. k ≡ 25 (mod 30)</t>
  </si>
  <si>
    <t>k</t>
  </si>
  <si>
    <t>|F_k|</t>
  </si>
  <si>
    <t>k mod 30</t>
  </si>
  <si>
    <t>k+5</t>
  </si>
  <si>
    <t>(k+5) mod 30</t>
  </si>
  <si>
    <t>Large?</t>
  </si>
  <si>
    <t>ANALYSIS</t>
  </si>
  <si>
    <t>Among top 50 fibers:</t>
  </si>
  <si>
    <t>k ≡ 25 (mod 30):</t>
  </si>
  <si>
    <t>Expected if uniform: 3.3%</t>
  </si>
  <si>
    <t>(k+5) ≡ 0 (mod 30):</t>
  </si>
  <si>
    <t>Interpretation:</t>
  </si>
  <si>
    <t>If k+5 ≡ 0 (mod 30), then k+5 is divisible by 2,3,5. Hardy-Littlewood predicts</t>
  </si>
  <si>
    <t>Goldbach representations are enhanced by factor prod((p-1)/(p-2)) = (1/1)·(2/1)·(4/3) = 8/3 ≈ 2.67</t>
  </si>
  <si>
    <t>More Goldbach pairs → larger fiber |F_k| → concentration at k ≡ 25 (mod 30)</t>
  </si>
  <si>
    <t>RAY STRUCTURE: d(n) falls on predictable curves indexed by number type</t>
  </si>
  <si>
    <t>d_prime</t>
  </si>
  <si>
    <t>d_semiprime</t>
  </si>
  <si>
    <t>d_p2</t>
  </si>
  <si>
    <t>d_other</t>
  </si>
  <si>
    <t>THEORETICAL RAYS</t>
  </si>
  <si>
    <t>Primes: d = -1 (constant)</t>
  </si>
  <si>
    <t>n = 2p: d = n/2 - 3 (slope 1/2)</t>
  </si>
  <si>
    <t>n = p²: d = sqrt(n) - 3 (sublinear)</t>
  </si>
  <si>
    <t>n = 4p: d = n/2 - 4 (slope 1/2)</t>
  </si>
  <si>
    <t>n = 3p: d = 2n/3 - 5 (slope 2/3)</t>
  </si>
  <si>
    <t>PHASE TRANSITION: r(n) = (n-phi(n))/tau(n) has minimum exactly 1/2 at primes</t>
  </si>
  <si>
    <t>n-phi(n)</t>
  </si>
  <si>
    <t>r(n)=(n-phi)/tau</t>
  </si>
  <si>
    <t>Is prime?</t>
  </si>
  <si>
    <t>RESULT</t>
  </si>
  <si>
    <t>Min r(n):</t>
  </si>
  <si>
    <t>Count r=0.5:</t>
  </si>
  <si>
    <t>Count primes:</t>
  </si>
  <si>
    <t>Verified?</t>
  </si>
  <si>
    <t>GCD-PROJECTION: cos^2(theta*) = 1/phi — Euclidean Algorithm meets Hilbert Space</t>
  </si>
  <si>
    <t>BRIDGE IDENTITY</t>
  </si>
  <si>
    <t>phi (golden ratio)</t>
  </si>
  <si>
    <t>theta*</t>
  </si>
  <si>
    <t>theta* (degrees)</t>
  </si>
  <si>
    <t>cos^2(theta*)</t>
  </si>
  <si>
    <t>1/phi</t>
  </si>
  <si>
    <t>|difference|</t>
  </si>
  <si>
    <t>VERIFIED?</t>
  </si>
  <si>
    <t>MODULAR REDUCTION HOMOMORPHISM</t>
  </si>
  <si>
    <t>Theorem: gcd(ab, n) = gcd(gcd(a,n)*gcd(b,n), n) for all positive a,b,n</t>
  </si>
  <si>
    <t>a</t>
  </si>
  <si>
    <t>b</t>
  </si>
  <si>
    <t>LHS=GCD(ab,n)</t>
  </si>
  <si>
    <t>RHS=GCD(GCD(a,n)*GCD(b,n),n)</t>
  </si>
  <si>
    <t>Tests: 200</t>
  </si>
  <si>
    <t>PARITY THEOREM: d(n) ≡ n (mod 2) iff n is NOT a perfect square</t>
  </si>
  <si>
    <t>Proof: phi(n) is even for n≥3, so d(n) ≡ n-tau(n) mod 2. tau(n) is odd iff n is a perfect square. QED.</t>
  </si>
  <si>
    <t>d mod 2</t>
  </si>
  <si>
    <t>n mod 2</t>
  </si>
  <si>
    <t>Same parity?</t>
  </si>
  <si>
    <t>Perfect sq?</t>
  </si>
  <si>
    <t>Theorem holds?</t>
  </si>
  <si>
    <t>Failures:</t>
  </si>
  <si>
    <t>Must be 0</t>
  </si>
  <si>
    <t>Result:</t>
  </si>
  <si>
    <t>10 input → 30 hidden → 10 output | Sigmoid | Circular refs = live dynamics | Enable: File &gt; Options &gt; Formulas &gt; Iterative Calculation</t>
  </si>
  <si>
    <t>Tick:</t>
  </si>
  <si>
    <t>Active neurons:</t>
  </si>
  <si>
    <t>Avg activation:</t>
  </si>
  <si>
    <t>INPUT →</t>
  </si>
  <si>
    <t>ACTIVATION</t>
  </si>
  <si>
    <t>GAIN</t>
  </si>
  <si>
    <t>ACT AVG</t>
  </si>
  <si>
    <t>POLARITY</t>
  </si>
  <si>
    <t>ROLE</t>
  </si>
  <si>
    <t>I0</t>
  </si>
  <si>
    <t>I1</t>
  </si>
  <si>
    <t>I2</t>
  </si>
  <si>
    <t>I3</t>
  </si>
  <si>
    <t>I4</t>
  </si>
  <si>
    <t>I5</t>
  </si>
  <si>
    <t>I6</t>
  </si>
  <si>
    <t>I7</t>
  </si>
  <si>
    <t>I8</t>
  </si>
  <si>
    <t>I9</t>
  </si>
  <si>
    <t>H0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</si>
  <si>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</si>
  <si>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</si>
  <si>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</si>
  <si>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</si>
  <si>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</si>
  <si>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</si>
  <si>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</si>
  <si>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</si>
  <si>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</si>
  <si>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</si>
  <si>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</si>
  <si>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</si>
  <si>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</si>
  <si>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</si>
  <si>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</si>
  <si>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</si>
  <si>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</si>
  <si>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</si>
  <si>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</si>
  <si>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</si>
  <si>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</si>
  <si>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</si>
  <si>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</si>
  <si>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</si>
  <si>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H25</t>
  </si>
  <si>
    <t>H26</t>
  </si>
  <si>
    <t>H27</t>
  </si>
  <si>
    <t>H28</t>
  </si>
  <si>
    <t>H29</t>
  </si>
  <si>
    <t>O0</t>
  </si>
  <si>
    <t>O1</t>
  </si>
  <si>
    <t>O2</t>
  </si>
  <si>
    <t>O3</t>
  </si>
  <si>
    <t>O4</t>
  </si>
  <si>
    <t>O5</t>
  </si>
  <si>
    <t>O6</t>
  </si>
  <si>
    <t>O7</t>
  </si>
  <si>
    <t>O8</t>
  </si>
  <si>
    <t>O9</t>
  </si>
  <si>
    <t>WEIGHT MATRIX W[i→j]</t>
  </si>
  <si>
    <t>OUTPUT</t>
  </si>
  <si>
    <t>TEST PATTERNS (copy into yellow INPUT cells, then press F9 repeatedly)</t>
  </si>
  <si>
    <t>Alternating A</t>
  </si>
  <si>
    <t>Alternating B</t>
  </si>
  <si>
    <t>Left half</t>
  </si>
  <si>
    <t>Right half</t>
  </si>
  <si>
    <t>Edges</t>
  </si>
  <si>
    <t>Center</t>
  </si>
  <si>
    <t>All on</t>
  </si>
  <si>
    <t>All off</t>
  </si>
  <si>
    <t>Binary 42</t>
  </si>
  <si>
    <t>Binary 170</t>
  </si>
  <si>
    <t>HOW TO USE THIS LIVE NETWORK:</t>
  </si>
  <si>
    <t>1. ENABLE ITERATIVE CALCULATION:</t>
  </si>
  <si>
    <t xml:space="preserve">   File → Options → Formulas → check "Enable iterative calculation"</t>
  </si>
  <si>
    <t xml:space="preserve">   Set Maximum Iterations = 1, Maximum Change = 0.001</t>
  </si>
  <si>
    <t xml:space="preserve">   This makes circular references iterate ONCE per F9 press = one network tick.</t>
  </si>
  <si>
    <t>2. SET INPUT: Copy a test pattern into the yellow INPUT cells (row 5).</t>
  </si>
  <si>
    <t>3. PRESS F9: Each press propagates signals one step through the network.</t>
  </si>
  <si>
    <t xml:space="preserve">   Watch the ACTIVATION row and OUTPUT row change.</t>
  </si>
  <si>
    <t xml:space="preserve">   Watch the bar chart update in real time.</t>
  </si>
  <si>
    <t xml:space="preserve">   The tick counter increments each press.</t>
  </si>
  <si>
    <t>4. OBSERVE: Different input patterns produce different output signatures.</t>
  </si>
  <si>
    <t xml:space="preserve">   The network settles into attractors — press F9 20+ times to reach equilibrium.</t>
  </si>
  <si>
    <t xml:space="preserve">   Homeostatic gain adapts over time: overactive neurons decrease gain, quiet ones increase.</t>
  </si>
  <si>
    <t>5. THE NETWORK IS ALIVE: Every formula references other formulas.</t>
  </si>
  <si>
    <t xml:space="preserve">   Activation depends on weights and other activations (circular).</t>
  </si>
  <si>
    <t xml:space="preserve">   Gain depends on activity average (circular). Activity average depends on activation (circular).</t>
  </si>
  <si>
    <t xml:space="preserve">   The tick counter counts itself (circular). No VBA. Pure Excel dynamics.</t>
  </si>
  <si>
    <t>NETWORK STATISTICS (live)</t>
  </si>
  <si>
    <t>Total neurons:</t>
  </si>
  <si>
    <t>Excitatory:</t>
  </si>
  <si>
    <t>Inhibitory:</t>
  </si>
  <si>
    <t>E/I ratio:</t>
  </si>
  <si>
    <t>Connections:</t>
  </si>
  <si>
    <t>Avg gain:</t>
  </si>
  <si>
    <t>Avg activity:</t>
  </si>
  <si>
    <t>Max activation:</t>
  </si>
  <si>
    <t>Min activation:</t>
  </si>
  <si>
    <t>SPARC ROTATION CURVES: 175 Galaxies — Core vs Cusp Statistical Comparison</t>
  </si>
  <si>
    <t>Data: Lelli, McGaugh &amp; Schombert 2016, AJ 152:157 | NFW (cusp) vs Pseudo-isothermal (core) | Metrics: chi2, AIC, BIC</t>
  </si>
  <si>
    <t>Galaxy</t>
  </si>
  <si>
    <t>NFW chi2</t>
  </si>
  <si>
    <t>Core chi2</t>
  </si>
  <si>
    <t>Delta chi2</t>
  </si>
  <si>
    <t>NFW AIC</t>
  </si>
  <si>
    <t>Core AIC</t>
  </si>
  <si>
    <t>Delta AIC</t>
  </si>
  <si>
    <t>Winner</t>
  </si>
  <si>
    <t>Core better?</t>
  </si>
  <si>
    <t>CamB</t>
  </si>
  <si>
    <t>D512-2</t>
  </si>
  <si>
    <t>D564-8</t>
  </si>
  <si>
    <t>D631-7</t>
  </si>
  <si>
    <t>DDO064</t>
  </si>
  <si>
    <t>DDO154</t>
  </si>
  <si>
    <t>DDO161</t>
  </si>
  <si>
    <t>DDO168</t>
  </si>
  <si>
    <t>DDO170</t>
  </si>
  <si>
    <t>ESO079-G014</t>
  </si>
  <si>
    <t>ESO116-G012</t>
  </si>
  <si>
    <t>ESO444-G084</t>
  </si>
  <si>
    <t>ESO563-G021</t>
  </si>
  <si>
    <t>F561-1</t>
  </si>
  <si>
    <t>F563-1</t>
  </si>
  <si>
    <t>F563-V1</t>
  </si>
  <si>
    <t>F563-V2</t>
  </si>
  <si>
    <t>F565-V2</t>
  </si>
  <si>
    <t>F567-2</t>
  </si>
  <si>
    <t>F568-1</t>
  </si>
  <si>
    <t>F568-3</t>
  </si>
  <si>
    <t>F568-V1</t>
  </si>
  <si>
    <t>F571-8</t>
  </si>
  <si>
    <t>F571-V1</t>
  </si>
  <si>
    <t>F574-1</t>
  </si>
  <si>
    <t>F574-2</t>
  </si>
  <si>
    <t>F579-V1</t>
  </si>
  <si>
    <t>F583-1</t>
  </si>
  <si>
    <t>F583-4</t>
  </si>
  <si>
    <t>IC2574</t>
  </si>
  <si>
    <t>IC4202</t>
  </si>
  <si>
    <t>KK98-251</t>
  </si>
  <si>
    <t>NGC0024</t>
  </si>
  <si>
    <t>NGC0055</t>
  </si>
  <si>
    <t>NGC0100</t>
  </si>
  <si>
    <t>NGC0247</t>
  </si>
  <si>
    <t>NGC0289</t>
  </si>
  <si>
    <t>NGC0300</t>
  </si>
  <si>
    <t>NGC0801</t>
  </si>
  <si>
    <t>NGC0891</t>
  </si>
  <si>
    <t>NGC1003</t>
  </si>
  <si>
    <t>NGC1090</t>
  </si>
  <si>
    <t>NGC1705</t>
  </si>
  <si>
    <t>NGC2366</t>
  </si>
  <si>
    <t>NGC2403</t>
  </si>
  <si>
    <t>NGC2683</t>
  </si>
  <si>
    <t>NGC2841</t>
  </si>
  <si>
    <t>NGC2903</t>
  </si>
  <si>
    <t>NGC2915</t>
  </si>
  <si>
    <t>NGC2955</t>
  </si>
  <si>
    <t>NGC2976</t>
  </si>
  <si>
    <t>NGC2998</t>
  </si>
  <si>
    <t>NGC3109</t>
  </si>
  <si>
    <t>NGC3198</t>
  </si>
  <si>
    <t>NGC3521</t>
  </si>
  <si>
    <t>NGC3726</t>
  </si>
  <si>
    <t>NGC3741</t>
  </si>
  <si>
    <t>NGC3769</t>
  </si>
  <si>
    <t>NGC3877</t>
  </si>
  <si>
    <t>NGC3893</t>
  </si>
  <si>
    <t>NGC3917</t>
  </si>
  <si>
    <t>NGC3949</t>
  </si>
  <si>
    <t>NGC3953</t>
  </si>
  <si>
    <t>NGC3972</t>
  </si>
  <si>
    <t>NGC3992</t>
  </si>
  <si>
    <t>NGC4010</t>
  </si>
  <si>
    <t>NGC4013</t>
  </si>
  <si>
    <t>NGC4051</t>
  </si>
  <si>
    <t>NGC4068</t>
  </si>
  <si>
    <t>NGC4085</t>
  </si>
  <si>
    <t>NGC4088</t>
  </si>
  <si>
    <t>NGC4100</t>
  </si>
  <si>
    <t>NGC4138</t>
  </si>
  <si>
    <t>NGC4157</t>
  </si>
  <si>
    <t>NGC4183</t>
  </si>
  <si>
    <t>NGC4214</t>
  </si>
  <si>
    <t>NGC4217</t>
  </si>
  <si>
    <t>NGC4389</t>
  </si>
  <si>
    <t>NGC4559</t>
  </si>
  <si>
    <t>NGC5005</t>
  </si>
  <si>
    <t>NGC5033</t>
  </si>
  <si>
    <t>NGC5055</t>
  </si>
  <si>
    <t>NGC5371</t>
  </si>
  <si>
    <t>NGC5585</t>
  </si>
  <si>
    <t>NGC5907</t>
  </si>
  <si>
    <t>NGC5985</t>
  </si>
  <si>
    <t>NGC6015</t>
  </si>
  <si>
    <t>NGC6195</t>
  </si>
  <si>
    <t>NGC6503</t>
  </si>
  <si>
    <t>NGC6674</t>
  </si>
  <si>
    <t>NGC6789</t>
  </si>
  <si>
    <t>NGC6946</t>
  </si>
  <si>
    <t>NGC7331</t>
  </si>
  <si>
    <t>NGC7793</t>
  </si>
  <si>
    <t>NGC7814</t>
  </si>
  <si>
    <t>PGC51017</t>
  </si>
  <si>
    <t>UGC00128</t>
  </si>
  <si>
    <t>UGC00191</t>
  </si>
  <si>
    <t>UGC00634</t>
  </si>
  <si>
    <t>UGC00731</t>
  </si>
  <si>
    <t>UGC00891</t>
  </si>
  <si>
    <t>UGC01230</t>
  </si>
  <si>
    <t>UGC01281</t>
  </si>
  <si>
    <t>UGC02023</t>
  </si>
  <si>
    <t>UGC02259</t>
  </si>
  <si>
    <t>UGC02455</t>
  </si>
  <si>
    <t>UGC02487</t>
  </si>
  <si>
    <t>UGC02885</t>
  </si>
  <si>
    <t>UGC02916</t>
  </si>
  <si>
    <t>UGC02953</t>
  </si>
  <si>
    <t>UGC03205</t>
  </si>
  <si>
    <t>UGC03546</t>
  </si>
  <si>
    <t>UGC03580</t>
  </si>
  <si>
    <t>UGC04278</t>
  </si>
  <si>
    <t>UGC04305</t>
  </si>
  <si>
    <t>UGC04325</t>
  </si>
  <si>
    <t>UGC04483</t>
  </si>
  <si>
    <t>UGC04499</t>
  </si>
  <si>
    <t>UGC05005</t>
  </si>
  <si>
    <t>UGC05253</t>
  </si>
  <si>
    <t>UGC05414</t>
  </si>
  <si>
    <t>UGC05716</t>
  </si>
  <si>
    <t>UGC05721</t>
  </si>
  <si>
    <t>UGC05750</t>
  </si>
  <si>
    <t>UGC05764</t>
  </si>
  <si>
    <t>UGC05829</t>
  </si>
  <si>
    <t>UGC05918</t>
  </si>
  <si>
    <t>UGC05986</t>
  </si>
  <si>
    <t>UGC05999</t>
  </si>
  <si>
    <t>UGC06399</t>
  </si>
  <si>
    <t>UGC06446</t>
  </si>
  <si>
    <t>UGC06614</t>
  </si>
  <si>
    <t>UGC06628</t>
  </si>
  <si>
    <t>UGC06667</t>
  </si>
  <si>
    <t>UGC06786</t>
  </si>
  <si>
    <t>UGC06787</t>
  </si>
  <si>
    <t>UGC06818</t>
  </si>
  <si>
    <t>UGC06917</t>
  </si>
  <si>
    <t>UGC06923</t>
  </si>
  <si>
    <t>UGC06930</t>
  </si>
  <si>
    <t>UGC06973</t>
  </si>
  <si>
    <t>UGC06983</t>
  </si>
  <si>
    <t>UGC07089</t>
  </si>
  <si>
    <t>UGC07125</t>
  </si>
  <si>
    <t>UGC07151</t>
  </si>
  <si>
    <t>UGC07232</t>
  </si>
  <si>
    <t>UGC07261</t>
  </si>
  <si>
    <t>UGC07323</t>
  </si>
  <si>
    <t>UGC07399</t>
  </si>
  <si>
    <t>UGC07524</t>
  </si>
  <si>
    <t>UGC07559</t>
  </si>
  <si>
    <t>UGC07577</t>
  </si>
  <si>
    <t>UGC07603</t>
  </si>
  <si>
    <t>UGC07608</t>
  </si>
  <si>
    <t>UGC07690</t>
  </si>
  <si>
    <t>UGC07866</t>
  </si>
  <si>
    <t>UGC08286</t>
  </si>
  <si>
    <t>UGC08490</t>
  </si>
  <si>
    <t>UGC08550</t>
  </si>
  <si>
    <t>UGC08699</t>
  </si>
  <si>
    <t>UGC08837</t>
  </si>
  <si>
    <t>UGC09037</t>
  </si>
  <si>
    <t>UGC09133</t>
  </si>
  <si>
    <t>UGC09992</t>
  </si>
  <si>
    <t>UGC10310</t>
  </si>
  <si>
    <t>UGC11455</t>
  </si>
  <si>
    <t>UGC11557</t>
  </si>
  <si>
    <t>UGC11820</t>
  </si>
  <si>
    <t>UGC11914</t>
  </si>
  <si>
    <t>UGC12506</t>
  </si>
  <si>
    <t>UGC12632</t>
  </si>
  <si>
    <t>UGC12732</t>
  </si>
  <si>
    <t>UGCA281</t>
  </si>
  <si>
    <t>UGCA442</t>
  </si>
  <si>
    <t>UGCA444</t>
  </si>
  <si>
    <t>RESULTS</t>
  </si>
  <si>
    <t>Core wins:</t>
  </si>
  <si>
    <t>Cusp wins:</t>
  </si>
  <si>
    <t>Total:</t>
  </si>
  <si>
    <t>Core %:</t>
  </si>
  <si>
    <t>Median delta chi2:</t>
  </si>
  <si>
    <t>Positive delta chi2 = core profile fits better than cusp (NFW).</t>
  </si>
  <si>
    <t>81% of galaxies prefer cored profiles over particle DM cusps.</t>
  </si>
  <si>
    <t>This is a STATISTICAL FACT about 175 galaxies, independent of any theoretical framework.</t>
  </si>
  <si>
    <t>ALGEBRAIC STRUCTURE FACTS — Verifiable from standard definitions</t>
  </si>
  <si>
    <t>Each fact derivable from Peano axioms, set theory axioms, or standard algebraic definitions. No external references.</t>
  </si>
  <si>
    <t>1. THE ZERO-IDENTITY PARTITION</t>
  </si>
  <si>
    <t>Template: for all a, op(a, 0) = X. What is X?</t>
  </si>
  <si>
    <t>Operation</t>
  </si>
  <si>
    <t>Domain</t>
  </si>
  <si>
    <t>op(a,0) = ?</t>
  </si>
  <si>
    <t>Class</t>
  </si>
  <si>
    <t>Derivation</t>
  </si>
  <si>
    <t>+</t>
  </si>
  <si>
    <t>Arithmetic</t>
  </si>
  <si>
    <t>Identity</t>
  </si>
  <si>
    <t>Peano base case: +(a,0) = a</t>
  </si>
  <si>
    <t>union</t>
  </si>
  <si>
    <t>Set Theory</t>
  </si>
  <si>
    <t>x in (A union empty) iff x in A or x in empty iff x in A</t>
  </si>
  <si>
    <t>&lt;&lt;</t>
  </si>
  <si>
    <t>Bitwise</t>
  </si>
  <si>
    <t>&lt;&lt;(a,0) = a * 2^0 = a * 1 = a</t>
  </si>
  <si>
    <t>gcd</t>
  </si>
  <si>
    <t>Number Theory</t>
  </si>
  <si>
    <t>Euclidean: gcd(a,0) terminates at a</t>
  </si>
  <si>
    <t>*</t>
  </si>
  <si>
    <t>0</t>
  </si>
  <si>
    <t>Annihilation</t>
  </si>
  <si>
    <t>Peano base case: *(a,0) = 0</t>
  </si>
  <si>
    <t>intersect</t>
  </si>
  <si>
    <t>empty</t>
  </si>
  <si>
    <t>x in (A inter empty) iff x in A and x in empty iff false</t>
  </si>
  <si>
    <t>This partition corresponds to additive/multiplicative duality in semirings.</t>
  </si>
  <si>
    <t>2. IDENTITY SPECTRUM — 9 operations across 5 domains</t>
  </si>
  <si>
    <t>Identity element</t>
  </si>
  <si>
    <t>Structure</t>
  </si>
  <si>
    <t>Comm. monoid</t>
  </si>
  <si>
    <t>1</t>
  </si>
  <si>
    <t>Sets</t>
  </si>
  <si>
    <t>empty set</t>
  </si>
  <si>
    <t>Semilattice</t>
  </si>
  <si>
    <t>a (idempotent)</t>
  </si>
  <si>
    <t>XOR</t>
  </si>
  <si>
    <t>Boolean</t>
  </si>
  <si>
    <t>0 (false)</t>
  </si>
  <si>
    <t>Abelian group</t>
  </si>
  <si>
    <t>Monoid</t>
  </si>
  <si>
    <t>lcm</t>
  </si>
  <si>
    <t>compose</t>
  </si>
  <si>
    <t>Functions</t>
  </si>
  <si>
    <t>id</t>
  </si>
  <si>
    <t>3. IRREDUCIBILITY OF RELATIONS IN SELF-GROUNDING SYSTEMS</t>
  </si>
  <si>
    <t>Claim: In a system using triples [S, R, O] where meta-operators are defined as relations,</t>
  </si>
  <si>
    <t>removing the relation constructor makes all definitions impossible.</t>
  </si>
  <si>
    <t>Proof:</t>
  </si>
  <si>
    <t xml:space="preserve">  Definition operator "def" is itself a relation: def := relation(identity-concept)</t>
  </si>
  <si>
    <t xml:space="preserve">  Law operator "law" is itself a relation: law := relation(law-concept)</t>
  </si>
  <si>
    <t xml:space="preserve">  Without the relation constructor, neither "def" nor "law" can be built.</t>
  </si>
  <si>
    <t xml:space="preserve">  Without "def", nothing can be defined. Without "law", no laws hold.</t>
  </si>
  <si>
    <t xml:space="preserve">  Other primitives (numbers, truth, equality, quantification) can all be removed</t>
  </si>
  <si>
    <t xml:space="preserve">  and the system degrades but survives — because relations still connect what remains.</t>
  </si>
  <si>
    <t xml:space="preserve">  Only relations are truly irreducible. QED.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</si>
</sst>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"/>
    <numFmt numFmtId="165" formatCode="0.0%"/>
    <numFmt numFmtId="166" formatCode="0.000000"/>
    <numFmt numFmtId="167" formatCode="0.000000000000000"/>
    <numFmt numFmtId="168" formatCode="0.000"/>
  </numFmts>
  <fonts count="28" x14ac:knownFonts="1">
    <font>
      <sz val="11"/>
      <color theme="1"/>
      <name val="Calibri"/>
      <family val="2"/>
      <scheme val="minor"/>
    </font>
    <font>
      <b/>
      <sz val="16"/>
      <color rgb="FF1B2A4A"/>
      <name val="Cambria"/>
    </font>
    <font>
      <b/>
      <sz val="10"/>
      <color rgb="FFFFFFFF"/>
      <name val="Cambria"/>
    </font>
    <font>
      <sz val="10"/>
      <color rgb="FF2D3748"/>
      <name val="Cambria"/>
    </font>
    <font>
      <sz val="10"/>
      <color rgb="FF1A365D"/>
      <name val="Consolas"/>
    </font>
    <font>
      <b/>
      <sz val="10"/>
      <color rgb="FF1A365D"/>
      <name val="Consolas"/>
    </font>
    <font>
      <b/>
      <sz val="13"/>
      <color rgb="FF2D3748"/>
      <name val="Cambria"/>
    </font>
    <font>
      <i/>
      <sz val="9"/>
      <color rgb="FF718096"/>
      <name val="Cambria"/>
    </font>
    <font>
      <b/>
      <sz val="10"/>
      <color rgb="FF276749"/>
      <name val="Cambria"/>
    </font>
    <font>
      <b/>
      <sz val="12"/>
      <color rgb="FF276749"/>
      <name val="Cambria"/>
    </font>
    <font>
      <i/>
      <sz val="11"/>
      <color rgb="FF4A5568"/>
      <name val="Cambria"/>
    </font>
    <font>
      <b/>
      <sz val="10"/>
      <color rgb="FF9B2C2C"/>
      <name val="Cambria"/>
    </font>
    <font>
      <i/>
      <sz val="10"/>
      <color rgb="FF718096"/>
      <name val="Cambria"/>
    </font>
    <font>
      <i/>
      <sz val="10"/>
      <color rgb="FF4A5568"/>
      <name val="Cambria"/>
    </font>
    <font>
      <i/>
      <sz val="9"/>
      <name val="Cambria"/>
    </font>
    <font>
      <i/>
      <sz val="11"/>
      <name val="Cambria"/>
    </font>
    <font>
      <i/>
      <sz val="9"/>
      <color rgb="FF9B2C2C"/>
      <name val="Cambria"/>
    </font>
    <font>
      <b/>
      <sz val="12"/>
      <color rgb="FF276749"/>
      <name val="Consolas"/>
    </font>
    <font>
      <b/>
      <sz val="14"/>
      <color rgb="FF1B2A4A"/>
      <name val="Cambria"/>
    </font>
    <font>
      <i/>
      <sz val="9"/>
      <color rgb="FF4A5568"/>
      <name val="Cambria"/>
    </font>
    <font>
      <b/>
      <sz val="11"/>
      <color rgb="FF2D3748"/>
      <name val="Cambria"/>
    </font>
    <font>
      <b/>
      <sz val="14"/>
      <color rgb="FF9B2C2C"/>
      <name val="Consolas"/>
    </font>
    <font>
      <sz val="8"/>
      <color rgb="FF2D3748"/>
      <name val="Cambria"/>
    </font>
    <font>
      <sz val="8"/>
      <color rgb="FF1A365D"/>
      <name val="Consolas"/>
    </font>
    <font>
      <b/>
      <sz val="10"/>
      <color rgb="FF9B2C2C"/>
      <name val="Consolas"/>
    </font>
    <font>
      <b/>
      <sz val="8"/>
      <color rgb="FF1A365D"/>
      <name val="Consolas"/>
    </font>
    <font>
      <b/>
      <sz val="8"/>
      <color rgb="FFFFFFFF"/>
      <name val="Cambria"/>
    </font>
    <font>
      <sz val="7"/>
      <color rgb="FF2D3748"/>
      <name val="Consolas"/>
    </font>
  </fonts>
  <fills count="8">
    <fill>
      <patternFill patternType="none"/>
    </fill>
    <fill>
      <patternFill patternType="gray125"/>
    </fill>
    <fill>
      <patternFill patternType="solid">
        <fgColor rgb="FF1B2A4A"/>
        <bgColor rgb="FF1B2A4A"/>
      </patternFill>
    </fill>
    <fill>
      <patternFill patternType="solid">
        <fgColor rgb="FFC6F6D5"/>
        <bgColor rgb="FFC6F6D5"/>
      </patternFill>
    </fill>
    <fill>
      <patternFill patternType="solid">
        <fgColor rgb="FFEBF8FF"/>
        <bgColor rgb="FFEBF8FF"/>
      </patternFill>
    </fill>
    <fill>
      <patternFill patternType="solid">
        <fgColor rgb="FFFED7D7"/>
        <bgColor rgb="FFFED7D7"/>
      </patternFill>
    </fill>
    <fill>
      <patternFill patternType="solid">
        <fgColor rgb="FFFEFCBF"/>
        <bgColor rgb="FFFEFCBF"/>
      </patternFill>
    </fill>
    <fill>
      <patternFill patternType="solid">
        <fgColor rgb="FFE2E8F0"/>
        <bgColor rgb="FFE2E8F0"/>
      </patternFill>
    </fill>
  </fills>
  <borders count="3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0" fontId="6" fillId="0" borderId="0" xfId="0" applyFont="1"/>
    <xf numFmtId="0" fontId="4" fillId="0" borderId="0" xfId="0" applyFont="1"/>
    <xf numFmtId="0" fontId="7" fillId="0" borderId="0" xfId="0" applyFont="1"/>
    <xf numFmtId="0" fontId="8" fillId="0" borderId="0" xfId="0" applyFont="1"/>
    <xf numFmtId="0" fontId="3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9" fillId="0" borderId="0" xfId="0" applyFont="1"/>
    <xf numFmtId="0" fontId="10" fillId="0" borderId="0" xfId="0" applyFont="1"/>
    <xf numFmtId="0" fontId="3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8" fillId="0" borderId="1" xfId="0" applyFont="1" applyBorder="1" applyAlignment="1">
      <alignment horizontal="center" vertical="center"/>
    </xf>
    <xf numFmtId="165" fontId="4" fillId="0" borderId="0" xfId="0" applyNumberFormat="1" applyFont="1"/>
    <xf numFmtId="0" fontId="14" fillId="0" borderId="0" xfId="0" applyFont="1"/>
    <xf numFmtId="166" fontId="4" fillId="0" borderId="1" xfId="0" applyNumberFormat="1" applyFont="1" applyBorder="1" applyAlignment="1">
      <alignment horizontal="center" vertical="center"/>
    </xf>
    <xf numFmtId="167" fontId="4" fillId="0" borderId="0" xfId="0" applyNumberFormat="1" applyFont="1"/>
    <xf numFmtId="0" fontId="15" fillId="0" borderId="0" xfId="0" applyFont="1"/>
    <xf numFmtId="0" fontId="16" fillId="0" borderId="0" xfId="0" applyFont="1"/>
    <xf numFmtId="2" fontId="4" fillId="0" borderId="1" xfId="0" applyNumberFormat="1" applyFont="1" applyBorder="1" applyAlignment="1">
      <alignment horizontal="center" vertical="center"/>
    </xf>
    <xf numFmtId="165" fontId="8" fillId="0" borderId="0" xfId="0" applyNumberFormat="1" applyFont="1"/>
    <xf numFmtId="2" fontId="4" fillId="0" borderId="0" xfId="0" applyNumberFormat="1" applyFont="1"/>
    <xf numFmtId="0" fontId="3" fillId="0" borderId="1" xfId="0" applyFont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20" fillId="0" borderId="0" xfId="0" applyFont="1"/>
    <xf numFmtId="0" fontId="21" fillId="0" borderId="0" xfId="0" applyFont="1"/>
    <xf numFmtId="0" fontId="22" fillId="0" borderId="0" xfId="0" applyFont="1"/>
    <xf numFmtId="0" fontId="23" fillId="0" borderId="0" xfId="0" applyFont="1"/>
    <xf numFmtId="0" fontId="24" fillId="6" borderId="2" xfId="0" applyFont="1" applyFill="1" applyBorder="1" applyAlignment="1">
      <alignment horizontal="center" vertical="center"/>
    </xf>
    <xf numFmtId="0" fontId="0" fillId="7" borderId="0" xfId="0" applyFill="1"/>
    <xf numFmtId="2" fontId="23" fillId="6" borderId="2" xfId="0" applyNumberFormat="1" applyFont="1" applyFill="1" applyBorder="1" applyAlignment="1">
      <alignment horizontal="center" vertical="center"/>
    </xf>
    <xf numFmtId="2" fontId="25" fillId="4" borderId="2" xfId="0" applyNumberFormat="1" applyFont="1" applyFill="1" applyBorder="1" applyAlignment="1">
      <alignment horizontal="center" vertical="center"/>
    </xf>
    <xf numFmtId="2" fontId="22" fillId="0" borderId="2" xfId="0" applyNumberFormat="1" applyFont="1" applyBorder="1" applyAlignment="1">
      <alignment horizontal="center" vertical="center"/>
    </xf>
    <xf numFmtId="2" fontId="23" fillId="0" borderId="2" xfId="0" applyNumberFormat="1" applyFont="1" applyBorder="1" applyAlignment="1">
      <alignment horizontal="center" vertical="center"/>
    </xf>
    <xf numFmtId="168" fontId="23" fillId="0" borderId="2" xfId="0" applyNumberFormat="1" applyFont="1" applyBorder="1" applyAlignment="1">
      <alignment horizontal="center" vertical="center"/>
    </xf>
    <xf numFmtId="0" fontId="22" fillId="3" borderId="2" xfId="0" applyFont="1" applyFill="1" applyBorder="1" applyAlignment="1">
      <alignment horizontal="center" vertical="center"/>
    </xf>
    <xf numFmtId="0" fontId="22" fillId="5" borderId="2" xfId="0" applyFont="1" applyFill="1" applyBorder="1" applyAlignment="1">
      <alignment horizontal="center" vertical="center"/>
    </xf>
    <xf numFmtId="0" fontId="26" fillId="2" borderId="2" xfId="0" applyFont="1" applyFill="1" applyBorder="1" applyAlignment="1">
      <alignment horizontal="center" vertical="center"/>
    </xf>
    <xf numFmtId="2" fontId="27" fillId="0" borderId="2" xfId="0" applyNumberFormat="1" applyFont="1" applyBorder="1" applyAlignment="1">
      <alignment horizontal="center" vertical="center"/>
    </xf>
    <xf numFmtId="2" fontId="27" fillId="3" borderId="2" xfId="0" applyNumberFormat="1" applyFont="1" applyFill="1" applyBorder="1" applyAlignment="1">
      <alignment horizontal="center" vertical="center"/>
    </xf>
    <xf numFmtId="2" fontId="27" fillId="5" borderId="2" xfId="0" applyNumberFormat="1" applyFont="1" applyFill="1" applyBorder="1" applyAlignment="1">
      <alignment horizontal="center" vertical="center"/>
    </xf>
    <xf numFmtId="168" fontId="17" fillId="4" borderId="0" xfId="0" applyNumberFormat="1" applyFont="1" applyFill="1" applyAlignment="1">
      <alignment horizontal="center" vertical="center"/>
    </xf>
    <xf numFmtId="0" fontId="26" fillId="2" borderId="0" xfId="0" applyFont="1" applyFill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/>
    <xf numFmtId="0" fontId="19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</cellXfs>
  <cellStyles count="1">
    <cellStyle name="Normal" xfId="0" builtinId="0"/>
  </cellStyles>
  <dxfs count="11">
    <dxf>
      <fill>
        <patternFill patternType="solid">
          <fgColor rgb="FFFED7D7"/>
          <bgColor rgb="FFFED7D7"/>
        </patternFill>
      </fill>
    </dxf>
    <dxf>
      <fill>
        <patternFill patternType="solid">
          <fgColor rgb="FFC6F6D5"/>
          <bgColor rgb="FFC6F6D5"/>
        </patternFill>
      </fill>
    </dxf>
    <dxf>
      <fill>
        <patternFill patternType="solid">
          <fgColor rgb="FFFED7D7"/>
          <bgColor rgb="FFFED7D7"/>
        </patternFill>
      </fill>
    </dxf>
    <dxf>
      <fill>
        <patternFill patternType="solid">
          <fgColor rgb="FFC6F6D5"/>
          <bgColor rgb="FFC6F6D5"/>
        </patternFill>
      </fill>
    </dxf>
    <dxf>
      <fill>
        <patternFill patternType="solid">
          <fgColor rgb="FFFED7D7"/>
          <bgColor rgb="FFFED7D7"/>
        </patternFill>
      </fill>
    </dxf>
    <dxf>
      <fill>
        <patternFill patternType="solid">
          <fgColor rgb="FFC6F6D5"/>
          <bgColor rgb="FFC6F6D5"/>
        </patternFill>
      </fill>
    </dxf>
    <dxf>
      <fill>
        <patternFill patternType="solid">
          <fgColor rgb="FFFEFCBF"/>
          <bgColor rgb="FFFEFCBF"/>
        </patternFill>
      </fill>
    </dxf>
    <dxf>
      <fill>
        <patternFill patternType="solid">
          <fgColor rgb="FFC6F6D5"/>
          <bgColor rgb="FFC6F6D5"/>
        </patternFill>
      </fill>
    </dxf>
    <dxf>
      <fill>
        <patternFill patternType="solid">
          <fgColor rgb="FFFEFCBF"/>
          <bgColor rgb="FFFEFCBF"/>
        </patternFill>
      </fill>
    </dxf>
    <dxf>
      <fill>
        <patternFill patternType="solid">
          <fgColor rgb="FFFED7D7"/>
          <bgColor rgb="FFFED7D7"/>
        </patternFill>
      </fill>
    </dxf>
    <dxf>
      <fill>
        <patternFill patternType="solid">
          <fgColor rgb="FFC6F6D5"/>
          <bgColor rgb="FFC6F6D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d(n) vs n — Rays by Number Type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Primes (d=-1)</c:v>
          </c:tx>
          <c:spPr>
            <a:ln>
              <a:noFill/>
              <a:prstDash val="solid"/>
            </a:ln>
          </c:spPr>
          <c:marker>
            <c:symbol val="circle"/>
            <c:size val="3"/>
            <c:spPr>
              <a:ln>
                <a:prstDash val="solid"/>
              </a:ln>
            </c:spPr>
          </c:marker>
          <c:xVal>
            <c:numRef>
              <c:f>'Ray Structure'!$A$3:$A$1002</c:f>
              <c:numCache>
                <c:formatCode>General</c:formatCode>
                <c:ptCount val="10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</c:numCache>
            </c:numRef>
          </c:xVal>
          <c:yVal>
            <c:numRef>
              <c:f>'Ray Structure'!$B$3:$B$1002</c:f>
              <c:numCache>
                <c:formatCode>General</c:formatCode>
                <c:ptCount val="1000"/>
                <c:pt idx="1">
                  <c:v>-1</c:v>
                </c:pt>
                <c:pt idx="2">
                  <c:v>-1</c:v>
                </c:pt>
                <c:pt idx="4">
                  <c:v>-1</c:v>
                </c:pt>
                <c:pt idx="6">
                  <c:v>-1</c:v>
                </c:pt>
                <c:pt idx="10">
                  <c:v>-1</c:v>
                </c:pt>
                <c:pt idx="12">
                  <c:v>-1</c:v>
                </c:pt>
                <c:pt idx="16">
                  <c:v>-1</c:v>
                </c:pt>
                <c:pt idx="18">
                  <c:v>-1</c:v>
                </c:pt>
                <c:pt idx="22">
                  <c:v>-1</c:v>
                </c:pt>
                <c:pt idx="28">
                  <c:v>-1</c:v>
                </c:pt>
                <c:pt idx="30">
                  <c:v>-1</c:v>
                </c:pt>
                <c:pt idx="36">
                  <c:v>-1</c:v>
                </c:pt>
                <c:pt idx="40">
                  <c:v>-1</c:v>
                </c:pt>
                <c:pt idx="42">
                  <c:v>-1</c:v>
                </c:pt>
                <c:pt idx="46">
                  <c:v>-1</c:v>
                </c:pt>
                <c:pt idx="52">
                  <c:v>-1</c:v>
                </c:pt>
                <c:pt idx="58">
                  <c:v>-1</c:v>
                </c:pt>
                <c:pt idx="60">
                  <c:v>-1</c:v>
                </c:pt>
                <c:pt idx="66">
                  <c:v>-1</c:v>
                </c:pt>
                <c:pt idx="70">
                  <c:v>-1</c:v>
                </c:pt>
                <c:pt idx="72">
                  <c:v>-1</c:v>
                </c:pt>
                <c:pt idx="78">
                  <c:v>-1</c:v>
                </c:pt>
                <c:pt idx="82">
                  <c:v>-1</c:v>
                </c:pt>
                <c:pt idx="88">
                  <c:v>-1</c:v>
                </c:pt>
                <c:pt idx="96">
                  <c:v>-1</c:v>
                </c:pt>
                <c:pt idx="100">
                  <c:v>-1</c:v>
                </c:pt>
                <c:pt idx="102">
                  <c:v>-1</c:v>
                </c:pt>
                <c:pt idx="106">
                  <c:v>-1</c:v>
                </c:pt>
                <c:pt idx="108">
                  <c:v>-1</c:v>
                </c:pt>
                <c:pt idx="112">
                  <c:v>-1</c:v>
                </c:pt>
                <c:pt idx="126">
                  <c:v>-1</c:v>
                </c:pt>
                <c:pt idx="130">
                  <c:v>-1</c:v>
                </c:pt>
                <c:pt idx="136">
                  <c:v>-1</c:v>
                </c:pt>
                <c:pt idx="138">
                  <c:v>-1</c:v>
                </c:pt>
                <c:pt idx="148">
                  <c:v>-1</c:v>
                </c:pt>
                <c:pt idx="150">
                  <c:v>-1</c:v>
                </c:pt>
                <c:pt idx="156">
                  <c:v>-1</c:v>
                </c:pt>
                <c:pt idx="162">
                  <c:v>-1</c:v>
                </c:pt>
                <c:pt idx="166">
                  <c:v>-1</c:v>
                </c:pt>
                <c:pt idx="172">
                  <c:v>-1</c:v>
                </c:pt>
                <c:pt idx="178">
                  <c:v>-1</c:v>
                </c:pt>
                <c:pt idx="180">
                  <c:v>-1</c:v>
                </c:pt>
                <c:pt idx="190">
                  <c:v>-1</c:v>
                </c:pt>
                <c:pt idx="192">
                  <c:v>-1</c:v>
                </c:pt>
                <c:pt idx="196">
                  <c:v>-1</c:v>
                </c:pt>
                <c:pt idx="198">
                  <c:v>-1</c:v>
                </c:pt>
                <c:pt idx="210">
                  <c:v>-1</c:v>
                </c:pt>
                <c:pt idx="222">
                  <c:v>-1</c:v>
                </c:pt>
                <c:pt idx="226">
                  <c:v>-1</c:v>
                </c:pt>
                <c:pt idx="228">
                  <c:v>-1</c:v>
                </c:pt>
                <c:pt idx="232">
                  <c:v>-1</c:v>
                </c:pt>
                <c:pt idx="238">
                  <c:v>-1</c:v>
                </c:pt>
                <c:pt idx="240">
                  <c:v>-1</c:v>
                </c:pt>
                <c:pt idx="250">
                  <c:v>-1</c:v>
                </c:pt>
                <c:pt idx="256">
                  <c:v>-1</c:v>
                </c:pt>
                <c:pt idx="262">
                  <c:v>-1</c:v>
                </c:pt>
                <c:pt idx="268">
                  <c:v>-1</c:v>
                </c:pt>
                <c:pt idx="270">
                  <c:v>-1</c:v>
                </c:pt>
                <c:pt idx="276">
                  <c:v>-1</c:v>
                </c:pt>
                <c:pt idx="280">
                  <c:v>-1</c:v>
                </c:pt>
                <c:pt idx="282">
                  <c:v>-1</c:v>
                </c:pt>
                <c:pt idx="292">
                  <c:v>-1</c:v>
                </c:pt>
                <c:pt idx="306">
                  <c:v>-1</c:v>
                </c:pt>
                <c:pt idx="310">
                  <c:v>-1</c:v>
                </c:pt>
                <c:pt idx="312">
                  <c:v>-1</c:v>
                </c:pt>
                <c:pt idx="316">
                  <c:v>-1</c:v>
                </c:pt>
                <c:pt idx="330">
                  <c:v>-1</c:v>
                </c:pt>
                <c:pt idx="336">
                  <c:v>-1</c:v>
                </c:pt>
                <c:pt idx="346">
                  <c:v>-1</c:v>
                </c:pt>
                <c:pt idx="348">
                  <c:v>-1</c:v>
                </c:pt>
                <c:pt idx="352">
                  <c:v>-1</c:v>
                </c:pt>
                <c:pt idx="358">
                  <c:v>-1</c:v>
                </c:pt>
                <c:pt idx="366">
                  <c:v>-1</c:v>
                </c:pt>
                <c:pt idx="372">
                  <c:v>-1</c:v>
                </c:pt>
                <c:pt idx="378">
                  <c:v>-1</c:v>
                </c:pt>
                <c:pt idx="382">
                  <c:v>-1</c:v>
                </c:pt>
                <c:pt idx="388">
                  <c:v>-1</c:v>
                </c:pt>
                <c:pt idx="396">
                  <c:v>-1</c:v>
                </c:pt>
                <c:pt idx="400">
                  <c:v>-1</c:v>
                </c:pt>
                <c:pt idx="408">
                  <c:v>-1</c:v>
                </c:pt>
                <c:pt idx="418">
                  <c:v>-1</c:v>
                </c:pt>
                <c:pt idx="420">
                  <c:v>-1</c:v>
                </c:pt>
                <c:pt idx="430">
                  <c:v>-1</c:v>
                </c:pt>
                <c:pt idx="432">
                  <c:v>-1</c:v>
                </c:pt>
                <c:pt idx="438">
                  <c:v>-1</c:v>
                </c:pt>
                <c:pt idx="442">
                  <c:v>-1</c:v>
                </c:pt>
                <c:pt idx="448">
                  <c:v>-1</c:v>
                </c:pt>
                <c:pt idx="456">
                  <c:v>-1</c:v>
                </c:pt>
                <c:pt idx="460">
                  <c:v>-1</c:v>
                </c:pt>
                <c:pt idx="462">
                  <c:v>-1</c:v>
                </c:pt>
                <c:pt idx="466">
                  <c:v>-1</c:v>
                </c:pt>
                <c:pt idx="478">
                  <c:v>-1</c:v>
                </c:pt>
                <c:pt idx="486">
                  <c:v>-1</c:v>
                </c:pt>
                <c:pt idx="490">
                  <c:v>-1</c:v>
                </c:pt>
                <c:pt idx="498">
                  <c:v>-1</c:v>
                </c:pt>
                <c:pt idx="502">
                  <c:v>-1</c:v>
                </c:pt>
                <c:pt idx="508">
                  <c:v>-1</c:v>
                </c:pt>
                <c:pt idx="520">
                  <c:v>-1</c:v>
                </c:pt>
                <c:pt idx="522">
                  <c:v>-1</c:v>
                </c:pt>
                <c:pt idx="540">
                  <c:v>-1</c:v>
                </c:pt>
                <c:pt idx="546">
                  <c:v>-1</c:v>
                </c:pt>
                <c:pt idx="556">
                  <c:v>-1</c:v>
                </c:pt>
                <c:pt idx="562">
                  <c:v>-1</c:v>
                </c:pt>
                <c:pt idx="568">
                  <c:v>-1</c:v>
                </c:pt>
                <c:pt idx="570">
                  <c:v>-1</c:v>
                </c:pt>
                <c:pt idx="576">
                  <c:v>-1</c:v>
                </c:pt>
                <c:pt idx="586">
                  <c:v>-1</c:v>
                </c:pt>
                <c:pt idx="592">
                  <c:v>-1</c:v>
                </c:pt>
                <c:pt idx="598">
                  <c:v>-1</c:v>
                </c:pt>
                <c:pt idx="600">
                  <c:v>-1</c:v>
                </c:pt>
                <c:pt idx="606">
                  <c:v>-1</c:v>
                </c:pt>
                <c:pt idx="612">
                  <c:v>-1</c:v>
                </c:pt>
                <c:pt idx="616">
                  <c:v>-1</c:v>
                </c:pt>
                <c:pt idx="618">
                  <c:v>-1</c:v>
                </c:pt>
                <c:pt idx="630">
                  <c:v>-1</c:v>
                </c:pt>
                <c:pt idx="640">
                  <c:v>-1</c:v>
                </c:pt>
                <c:pt idx="642">
                  <c:v>-1</c:v>
                </c:pt>
                <c:pt idx="646">
                  <c:v>-1</c:v>
                </c:pt>
                <c:pt idx="652">
                  <c:v>-1</c:v>
                </c:pt>
                <c:pt idx="658">
                  <c:v>-1</c:v>
                </c:pt>
                <c:pt idx="660">
                  <c:v>-1</c:v>
                </c:pt>
                <c:pt idx="672">
                  <c:v>-1</c:v>
                </c:pt>
                <c:pt idx="676">
                  <c:v>-1</c:v>
                </c:pt>
                <c:pt idx="682">
                  <c:v>-1</c:v>
                </c:pt>
                <c:pt idx="690">
                  <c:v>-1</c:v>
                </c:pt>
                <c:pt idx="700">
                  <c:v>-1</c:v>
                </c:pt>
                <c:pt idx="708">
                  <c:v>-1</c:v>
                </c:pt>
                <c:pt idx="718">
                  <c:v>-1</c:v>
                </c:pt>
                <c:pt idx="726">
                  <c:v>-1</c:v>
                </c:pt>
                <c:pt idx="732">
                  <c:v>-1</c:v>
                </c:pt>
                <c:pt idx="738">
                  <c:v>-1</c:v>
                </c:pt>
                <c:pt idx="742">
                  <c:v>-1</c:v>
                </c:pt>
                <c:pt idx="750">
                  <c:v>-1</c:v>
                </c:pt>
                <c:pt idx="756">
                  <c:v>-1</c:v>
                </c:pt>
                <c:pt idx="760">
                  <c:v>-1</c:v>
                </c:pt>
                <c:pt idx="768">
                  <c:v>-1</c:v>
                </c:pt>
                <c:pt idx="772">
                  <c:v>-1</c:v>
                </c:pt>
                <c:pt idx="786">
                  <c:v>-1</c:v>
                </c:pt>
                <c:pt idx="796">
                  <c:v>-1</c:v>
                </c:pt>
                <c:pt idx="808">
                  <c:v>-1</c:v>
                </c:pt>
                <c:pt idx="810">
                  <c:v>-1</c:v>
                </c:pt>
                <c:pt idx="820">
                  <c:v>-1</c:v>
                </c:pt>
                <c:pt idx="822">
                  <c:v>-1</c:v>
                </c:pt>
                <c:pt idx="826">
                  <c:v>-1</c:v>
                </c:pt>
                <c:pt idx="828">
                  <c:v>-1</c:v>
                </c:pt>
                <c:pt idx="838">
                  <c:v>-1</c:v>
                </c:pt>
                <c:pt idx="852">
                  <c:v>-1</c:v>
                </c:pt>
                <c:pt idx="856">
                  <c:v>-1</c:v>
                </c:pt>
                <c:pt idx="858">
                  <c:v>-1</c:v>
                </c:pt>
                <c:pt idx="862">
                  <c:v>-1</c:v>
                </c:pt>
                <c:pt idx="876">
                  <c:v>-1</c:v>
                </c:pt>
                <c:pt idx="880">
                  <c:v>-1</c:v>
                </c:pt>
                <c:pt idx="882">
                  <c:v>-1</c:v>
                </c:pt>
                <c:pt idx="886">
                  <c:v>-1</c:v>
                </c:pt>
                <c:pt idx="906">
                  <c:v>-1</c:v>
                </c:pt>
                <c:pt idx="910">
                  <c:v>-1</c:v>
                </c:pt>
                <c:pt idx="918">
                  <c:v>-1</c:v>
                </c:pt>
                <c:pt idx="928">
                  <c:v>-1</c:v>
                </c:pt>
                <c:pt idx="936">
                  <c:v>-1</c:v>
                </c:pt>
                <c:pt idx="940">
                  <c:v>-1</c:v>
                </c:pt>
                <c:pt idx="946">
                  <c:v>-1</c:v>
                </c:pt>
                <c:pt idx="952">
                  <c:v>-1</c:v>
                </c:pt>
                <c:pt idx="966">
                  <c:v>-1</c:v>
                </c:pt>
                <c:pt idx="970">
                  <c:v>-1</c:v>
                </c:pt>
                <c:pt idx="976">
                  <c:v>-1</c:v>
                </c:pt>
                <c:pt idx="982">
                  <c:v>-1</c:v>
                </c:pt>
                <c:pt idx="990">
                  <c:v>-1</c:v>
                </c:pt>
                <c:pt idx="996">
                  <c:v>-1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787-45E5-BDC2-ACDD936AE502}"/>
            </c:ext>
          </c:extLst>
        </c:ser>
        <c:ser>
          <c:idx val="1"/>
          <c:order val="1"/>
          <c:tx>
            <c:v>Semiprimes (d=p+q-5)</c:v>
          </c:tx>
          <c:spPr>
            <a:ln>
              <a:noFill/>
              <a:prstDash val="solid"/>
            </a:ln>
          </c:spPr>
          <c:marker>
            <c:symbol val="circle"/>
            <c:size val="3"/>
            <c:spPr>
              <a:ln>
                <a:prstDash val="solid"/>
              </a:ln>
            </c:spPr>
          </c:marker>
          <c:xVal>
            <c:numRef>
              <c:f>'Ray Structure'!$A$3:$A$1002</c:f>
              <c:numCache>
                <c:formatCode>General</c:formatCode>
                <c:ptCount val="10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</c:numCache>
            </c:numRef>
          </c:xVal>
          <c:yVal>
            <c:numRef>
              <c:f>'Ray Structure'!$C$3:$C$1002</c:f>
              <c:numCache>
                <c:formatCode>General</c:formatCode>
                <c:ptCount val="1000"/>
                <c:pt idx="5">
                  <c:v>0</c:v>
                </c:pt>
                <c:pt idx="9">
                  <c:v>2</c:v>
                </c:pt>
                <c:pt idx="13">
                  <c:v>4</c:v>
                </c:pt>
                <c:pt idx="14">
                  <c:v>3</c:v>
                </c:pt>
                <c:pt idx="20">
                  <c:v>5</c:v>
                </c:pt>
                <c:pt idx="21">
                  <c:v>8</c:v>
                </c:pt>
                <c:pt idx="25">
                  <c:v>10</c:v>
                </c:pt>
                <c:pt idx="32">
                  <c:v>9</c:v>
                </c:pt>
                <c:pt idx="33">
                  <c:v>14</c:v>
                </c:pt>
                <c:pt idx="34">
                  <c:v>7</c:v>
                </c:pt>
                <c:pt idx="37">
                  <c:v>16</c:v>
                </c:pt>
                <c:pt idx="38">
                  <c:v>11</c:v>
                </c:pt>
                <c:pt idx="45">
                  <c:v>20</c:v>
                </c:pt>
                <c:pt idx="50">
                  <c:v>15</c:v>
                </c:pt>
                <c:pt idx="54">
                  <c:v>11</c:v>
                </c:pt>
                <c:pt idx="56">
                  <c:v>17</c:v>
                </c:pt>
                <c:pt idx="57">
                  <c:v>26</c:v>
                </c:pt>
                <c:pt idx="61">
                  <c:v>28</c:v>
                </c:pt>
                <c:pt idx="64">
                  <c:v>13</c:v>
                </c:pt>
                <c:pt idx="68">
                  <c:v>21</c:v>
                </c:pt>
                <c:pt idx="73">
                  <c:v>34</c:v>
                </c:pt>
                <c:pt idx="76">
                  <c:v>13</c:v>
                </c:pt>
                <c:pt idx="81">
                  <c:v>38</c:v>
                </c:pt>
                <c:pt idx="84">
                  <c:v>17</c:v>
                </c:pt>
                <c:pt idx="85">
                  <c:v>40</c:v>
                </c:pt>
                <c:pt idx="86">
                  <c:v>27</c:v>
                </c:pt>
                <c:pt idx="90">
                  <c:v>15</c:v>
                </c:pt>
                <c:pt idx="92">
                  <c:v>29</c:v>
                </c:pt>
                <c:pt idx="93">
                  <c:v>44</c:v>
                </c:pt>
                <c:pt idx="94">
                  <c:v>19</c:v>
                </c:pt>
                <c:pt idx="105">
                  <c:v>50</c:v>
                </c:pt>
                <c:pt idx="110">
                  <c:v>35</c:v>
                </c:pt>
                <c:pt idx="114">
                  <c:v>23</c:v>
                </c:pt>
                <c:pt idx="117">
                  <c:v>56</c:v>
                </c:pt>
                <c:pt idx="118">
                  <c:v>19</c:v>
                </c:pt>
                <c:pt idx="121">
                  <c:v>58</c:v>
                </c:pt>
                <c:pt idx="122">
                  <c:v>39</c:v>
                </c:pt>
                <c:pt idx="128">
                  <c:v>41</c:v>
                </c:pt>
                <c:pt idx="132">
                  <c:v>21</c:v>
                </c:pt>
                <c:pt idx="133">
                  <c:v>64</c:v>
                </c:pt>
                <c:pt idx="140">
                  <c:v>45</c:v>
                </c:pt>
                <c:pt idx="141">
                  <c:v>68</c:v>
                </c:pt>
                <c:pt idx="142">
                  <c:v>19</c:v>
                </c:pt>
                <c:pt idx="144">
                  <c:v>29</c:v>
                </c:pt>
                <c:pt idx="145">
                  <c:v>70</c:v>
                </c:pt>
                <c:pt idx="154">
                  <c:v>31</c:v>
                </c:pt>
                <c:pt idx="157">
                  <c:v>76</c:v>
                </c:pt>
                <c:pt idx="158">
                  <c:v>51</c:v>
                </c:pt>
                <c:pt idx="160">
                  <c:v>25</c:v>
                </c:pt>
                <c:pt idx="165">
                  <c:v>80</c:v>
                </c:pt>
                <c:pt idx="176">
                  <c:v>57</c:v>
                </c:pt>
                <c:pt idx="177">
                  <c:v>86</c:v>
                </c:pt>
                <c:pt idx="182">
                  <c:v>59</c:v>
                </c:pt>
                <c:pt idx="184">
                  <c:v>37</c:v>
                </c:pt>
                <c:pt idx="186">
                  <c:v>23</c:v>
                </c:pt>
                <c:pt idx="193">
                  <c:v>94</c:v>
                </c:pt>
                <c:pt idx="200">
                  <c:v>65</c:v>
                </c:pt>
                <c:pt idx="201">
                  <c:v>98</c:v>
                </c:pt>
                <c:pt idx="202">
                  <c:v>31</c:v>
                </c:pt>
                <c:pt idx="204">
                  <c:v>41</c:v>
                </c:pt>
                <c:pt idx="205">
                  <c:v>100</c:v>
                </c:pt>
                <c:pt idx="208">
                  <c:v>25</c:v>
                </c:pt>
                <c:pt idx="212">
                  <c:v>69</c:v>
                </c:pt>
                <c:pt idx="213">
                  <c:v>104</c:v>
                </c:pt>
                <c:pt idx="214">
                  <c:v>43</c:v>
                </c:pt>
                <c:pt idx="216">
                  <c:v>33</c:v>
                </c:pt>
                <c:pt idx="217">
                  <c:v>106</c:v>
                </c:pt>
                <c:pt idx="218">
                  <c:v>71</c:v>
                </c:pt>
                <c:pt idx="220">
                  <c:v>25</c:v>
                </c:pt>
                <c:pt idx="225">
                  <c:v>110</c:v>
                </c:pt>
                <c:pt idx="234">
                  <c:v>47</c:v>
                </c:pt>
                <c:pt idx="236">
                  <c:v>77</c:v>
                </c:pt>
                <c:pt idx="246">
                  <c:v>27</c:v>
                </c:pt>
                <c:pt idx="248">
                  <c:v>81</c:v>
                </c:pt>
                <c:pt idx="252">
                  <c:v>29</c:v>
                </c:pt>
                <c:pt idx="253">
                  <c:v>124</c:v>
                </c:pt>
                <c:pt idx="258">
                  <c:v>39</c:v>
                </c:pt>
                <c:pt idx="261">
                  <c:v>128</c:v>
                </c:pt>
                <c:pt idx="264">
                  <c:v>53</c:v>
                </c:pt>
                <c:pt idx="266">
                  <c:v>87</c:v>
                </c:pt>
                <c:pt idx="273">
                  <c:v>134</c:v>
                </c:pt>
                <c:pt idx="277">
                  <c:v>136</c:v>
                </c:pt>
                <c:pt idx="286">
                  <c:v>43</c:v>
                </c:pt>
                <c:pt idx="290">
                  <c:v>95</c:v>
                </c:pt>
                <c:pt idx="294">
                  <c:v>59</c:v>
                </c:pt>
                <c:pt idx="297">
                  <c:v>146</c:v>
                </c:pt>
                <c:pt idx="298">
                  <c:v>31</c:v>
                </c:pt>
                <c:pt idx="300">
                  <c:v>45</c:v>
                </c:pt>
                <c:pt idx="301">
                  <c:v>148</c:v>
                </c:pt>
                <c:pt idx="302">
                  <c:v>99</c:v>
                </c:pt>
                <c:pt idx="304">
                  <c:v>61</c:v>
                </c:pt>
                <c:pt idx="308">
                  <c:v>101</c:v>
                </c:pt>
                <c:pt idx="313">
                  <c:v>154</c:v>
                </c:pt>
                <c:pt idx="318">
                  <c:v>35</c:v>
                </c:pt>
                <c:pt idx="320">
                  <c:v>105</c:v>
                </c:pt>
                <c:pt idx="322">
                  <c:v>31</c:v>
                </c:pt>
                <c:pt idx="325">
                  <c:v>160</c:v>
                </c:pt>
                <c:pt idx="326">
                  <c:v>107</c:v>
                </c:pt>
                <c:pt idx="328">
                  <c:v>49</c:v>
                </c:pt>
                <c:pt idx="333">
                  <c:v>164</c:v>
                </c:pt>
                <c:pt idx="334">
                  <c:v>67</c:v>
                </c:pt>
                <c:pt idx="338">
                  <c:v>111</c:v>
                </c:pt>
                <c:pt idx="340">
                  <c:v>37</c:v>
                </c:pt>
                <c:pt idx="345">
                  <c:v>170</c:v>
                </c:pt>
                <c:pt idx="354">
                  <c:v>71</c:v>
                </c:pt>
                <c:pt idx="357">
                  <c:v>176</c:v>
                </c:pt>
                <c:pt idx="361">
                  <c:v>178</c:v>
                </c:pt>
                <c:pt idx="364">
                  <c:v>73</c:v>
                </c:pt>
                <c:pt idx="370">
                  <c:v>55</c:v>
                </c:pt>
                <c:pt idx="376">
                  <c:v>37</c:v>
                </c:pt>
                <c:pt idx="380">
                  <c:v>125</c:v>
                </c:pt>
                <c:pt idx="381">
                  <c:v>188</c:v>
                </c:pt>
                <c:pt idx="385">
                  <c:v>190</c:v>
                </c:pt>
                <c:pt idx="390">
                  <c:v>35</c:v>
                </c:pt>
                <c:pt idx="392">
                  <c:v>129</c:v>
                </c:pt>
                <c:pt idx="393">
                  <c:v>194</c:v>
                </c:pt>
                <c:pt idx="394">
                  <c:v>79</c:v>
                </c:pt>
                <c:pt idx="397">
                  <c:v>196</c:v>
                </c:pt>
                <c:pt idx="402">
                  <c:v>39</c:v>
                </c:pt>
                <c:pt idx="406">
                  <c:v>43</c:v>
                </c:pt>
                <c:pt idx="410">
                  <c:v>135</c:v>
                </c:pt>
                <c:pt idx="412">
                  <c:v>61</c:v>
                </c:pt>
                <c:pt idx="414">
                  <c:v>83</c:v>
                </c:pt>
                <c:pt idx="416">
                  <c:v>137</c:v>
                </c:pt>
                <c:pt idx="421">
                  <c:v>208</c:v>
                </c:pt>
                <c:pt idx="426">
                  <c:v>63</c:v>
                </c:pt>
                <c:pt idx="436">
                  <c:v>37</c:v>
                </c:pt>
                <c:pt idx="444">
                  <c:v>89</c:v>
                </c:pt>
                <c:pt idx="445">
                  <c:v>220</c:v>
                </c:pt>
                <c:pt idx="446">
                  <c:v>147</c:v>
                </c:pt>
                <c:pt idx="450">
                  <c:v>47</c:v>
                </c:pt>
                <c:pt idx="452">
                  <c:v>149</c:v>
                </c:pt>
                <c:pt idx="453">
                  <c:v>224</c:v>
                </c:pt>
                <c:pt idx="457">
                  <c:v>226</c:v>
                </c:pt>
                <c:pt idx="465">
                  <c:v>230</c:v>
                </c:pt>
                <c:pt idx="468">
                  <c:v>69</c:v>
                </c:pt>
                <c:pt idx="470">
                  <c:v>155</c:v>
                </c:pt>
                <c:pt idx="472">
                  <c:v>49</c:v>
                </c:pt>
                <c:pt idx="477">
                  <c:v>236</c:v>
                </c:pt>
                <c:pt idx="480">
                  <c:v>45</c:v>
                </c:pt>
                <c:pt idx="481">
                  <c:v>238</c:v>
                </c:pt>
                <c:pt idx="484">
                  <c:v>97</c:v>
                </c:pt>
                <c:pt idx="488">
                  <c:v>161</c:v>
                </c:pt>
                <c:pt idx="492">
                  <c:v>41</c:v>
                </c:pt>
                <c:pt idx="496">
                  <c:v>73</c:v>
                </c:pt>
                <c:pt idx="500">
                  <c:v>165</c:v>
                </c:pt>
                <c:pt idx="501">
                  <c:v>248</c:v>
                </c:pt>
                <c:pt idx="504">
                  <c:v>101</c:v>
                </c:pt>
                <c:pt idx="510">
                  <c:v>75</c:v>
                </c:pt>
                <c:pt idx="513">
                  <c:v>254</c:v>
                </c:pt>
                <c:pt idx="514">
                  <c:v>103</c:v>
                </c:pt>
                <c:pt idx="516">
                  <c:v>53</c:v>
                </c:pt>
                <c:pt idx="518">
                  <c:v>171</c:v>
                </c:pt>
                <c:pt idx="525">
                  <c:v>260</c:v>
                </c:pt>
                <c:pt idx="526">
                  <c:v>43</c:v>
                </c:pt>
                <c:pt idx="532">
                  <c:v>49</c:v>
                </c:pt>
                <c:pt idx="534">
                  <c:v>107</c:v>
                </c:pt>
                <c:pt idx="536">
                  <c:v>177</c:v>
                </c:pt>
                <c:pt idx="537">
                  <c:v>266</c:v>
                </c:pt>
                <c:pt idx="541">
                  <c:v>268</c:v>
                </c:pt>
                <c:pt idx="542">
                  <c:v>179</c:v>
                </c:pt>
                <c:pt idx="544">
                  <c:v>109</c:v>
                </c:pt>
                <c:pt idx="550">
                  <c:v>43</c:v>
                </c:pt>
                <c:pt idx="552">
                  <c:v>81</c:v>
                </c:pt>
                <c:pt idx="553">
                  <c:v>274</c:v>
                </c:pt>
                <c:pt idx="558">
                  <c:v>51</c:v>
                </c:pt>
                <c:pt idx="561">
                  <c:v>278</c:v>
                </c:pt>
                <c:pt idx="564">
                  <c:v>113</c:v>
                </c:pt>
                <c:pt idx="565">
                  <c:v>280</c:v>
                </c:pt>
                <c:pt idx="572">
                  <c:v>189</c:v>
                </c:pt>
                <c:pt idx="578">
                  <c:v>191</c:v>
                </c:pt>
                <c:pt idx="580">
                  <c:v>85</c:v>
                </c:pt>
                <c:pt idx="582">
                  <c:v>59</c:v>
                </c:pt>
                <c:pt idx="585">
                  <c:v>290</c:v>
                </c:pt>
                <c:pt idx="588">
                  <c:v>45</c:v>
                </c:pt>
                <c:pt idx="590">
                  <c:v>195</c:v>
                </c:pt>
                <c:pt idx="596">
                  <c:v>197</c:v>
                </c:pt>
                <c:pt idx="610">
                  <c:v>55</c:v>
                </c:pt>
                <c:pt idx="613">
                  <c:v>304</c:v>
                </c:pt>
                <c:pt idx="621">
                  <c:v>308</c:v>
                </c:pt>
                <c:pt idx="622">
                  <c:v>91</c:v>
                </c:pt>
                <c:pt idx="625">
                  <c:v>310</c:v>
                </c:pt>
                <c:pt idx="628">
                  <c:v>49</c:v>
                </c:pt>
                <c:pt idx="632">
                  <c:v>209</c:v>
                </c:pt>
                <c:pt idx="633">
                  <c:v>314</c:v>
                </c:pt>
                <c:pt idx="634">
                  <c:v>127</c:v>
                </c:pt>
                <c:pt idx="648">
                  <c:v>65</c:v>
                </c:pt>
                <c:pt idx="654">
                  <c:v>131</c:v>
                </c:pt>
                <c:pt idx="661">
                  <c:v>328</c:v>
                </c:pt>
                <c:pt idx="666">
                  <c:v>47</c:v>
                </c:pt>
                <c:pt idx="668">
                  <c:v>221</c:v>
                </c:pt>
                <c:pt idx="670">
                  <c:v>67</c:v>
                </c:pt>
                <c:pt idx="673">
                  <c:v>334</c:v>
                </c:pt>
                <c:pt idx="678">
                  <c:v>99</c:v>
                </c:pt>
                <c:pt idx="680">
                  <c:v>225</c:v>
                </c:pt>
                <c:pt idx="684">
                  <c:v>137</c:v>
                </c:pt>
                <c:pt idx="686">
                  <c:v>227</c:v>
                </c:pt>
                <c:pt idx="688">
                  <c:v>61</c:v>
                </c:pt>
                <c:pt idx="693">
                  <c:v>344</c:v>
                </c:pt>
                <c:pt idx="694">
                  <c:v>139</c:v>
                </c:pt>
                <c:pt idx="696">
                  <c:v>53</c:v>
                </c:pt>
                <c:pt idx="697">
                  <c:v>346</c:v>
                </c:pt>
                <c:pt idx="698">
                  <c:v>231</c:v>
                </c:pt>
                <c:pt idx="702">
                  <c:v>51</c:v>
                </c:pt>
                <c:pt idx="705">
                  <c:v>350</c:v>
                </c:pt>
                <c:pt idx="706">
                  <c:v>103</c:v>
                </c:pt>
                <c:pt idx="712">
                  <c:v>49</c:v>
                </c:pt>
                <c:pt idx="716">
                  <c:v>237</c:v>
                </c:pt>
                <c:pt idx="717">
                  <c:v>356</c:v>
                </c:pt>
                <c:pt idx="720">
                  <c:v>105</c:v>
                </c:pt>
                <c:pt idx="722">
                  <c:v>239</c:v>
                </c:pt>
                <c:pt idx="730">
                  <c:v>55</c:v>
                </c:pt>
                <c:pt idx="733">
                  <c:v>364</c:v>
                </c:pt>
                <c:pt idx="736">
                  <c:v>73</c:v>
                </c:pt>
                <c:pt idx="744">
                  <c:v>149</c:v>
                </c:pt>
                <c:pt idx="745">
                  <c:v>370</c:v>
                </c:pt>
                <c:pt idx="748">
                  <c:v>109</c:v>
                </c:pt>
                <c:pt idx="752">
                  <c:v>249</c:v>
                </c:pt>
                <c:pt idx="754">
                  <c:v>151</c:v>
                </c:pt>
                <c:pt idx="757">
                  <c:v>376</c:v>
                </c:pt>
                <c:pt idx="762">
                  <c:v>111</c:v>
                </c:pt>
                <c:pt idx="765">
                  <c:v>380</c:v>
                </c:pt>
                <c:pt idx="766">
                  <c:v>67</c:v>
                </c:pt>
                <c:pt idx="770">
                  <c:v>255</c:v>
                </c:pt>
                <c:pt idx="777">
                  <c:v>386</c:v>
                </c:pt>
                <c:pt idx="778">
                  <c:v>55</c:v>
                </c:pt>
                <c:pt idx="780">
                  <c:v>77</c:v>
                </c:pt>
                <c:pt idx="784">
                  <c:v>157</c:v>
                </c:pt>
                <c:pt idx="788">
                  <c:v>261</c:v>
                </c:pt>
                <c:pt idx="790">
                  <c:v>115</c:v>
                </c:pt>
                <c:pt idx="792">
                  <c:v>69</c:v>
                </c:pt>
                <c:pt idx="793">
                  <c:v>394</c:v>
                </c:pt>
                <c:pt idx="798">
                  <c:v>59</c:v>
                </c:pt>
                <c:pt idx="801">
                  <c:v>398</c:v>
                </c:pt>
                <c:pt idx="802">
                  <c:v>79</c:v>
                </c:pt>
                <c:pt idx="806">
                  <c:v>267</c:v>
                </c:pt>
                <c:pt idx="812">
                  <c:v>269</c:v>
                </c:pt>
                <c:pt idx="814">
                  <c:v>163</c:v>
                </c:pt>
                <c:pt idx="816">
                  <c:v>57</c:v>
                </c:pt>
                <c:pt idx="817">
                  <c:v>406</c:v>
                </c:pt>
                <c:pt idx="830">
                  <c:v>275</c:v>
                </c:pt>
                <c:pt idx="834">
                  <c:v>167</c:v>
                </c:pt>
                <c:pt idx="837">
                  <c:v>416</c:v>
                </c:pt>
                <c:pt idx="841">
                  <c:v>418</c:v>
                </c:pt>
                <c:pt idx="842">
                  <c:v>279</c:v>
                </c:pt>
                <c:pt idx="848">
                  <c:v>281</c:v>
                </c:pt>
                <c:pt idx="850">
                  <c:v>55</c:v>
                </c:pt>
                <c:pt idx="861">
                  <c:v>428</c:v>
                </c:pt>
                <c:pt idx="864">
                  <c:v>173</c:v>
                </c:pt>
                <c:pt idx="865">
                  <c:v>430</c:v>
                </c:pt>
                <c:pt idx="868">
                  <c:v>85</c:v>
                </c:pt>
                <c:pt idx="870">
                  <c:v>75</c:v>
                </c:pt>
                <c:pt idx="877">
                  <c:v>436</c:v>
                </c:pt>
                <c:pt idx="878">
                  <c:v>291</c:v>
                </c:pt>
                <c:pt idx="885">
                  <c:v>440</c:v>
                </c:pt>
                <c:pt idx="888">
                  <c:v>129</c:v>
                </c:pt>
                <c:pt idx="892">
                  <c:v>61</c:v>
                </c:pt>
                <c:pt idx="894">
                  <c:v>179</c:v>
                </c:pt>
                <c:pt idx="897">
                  <c:v>446</c:v>
                </c:pt>
                <c:pt idx="898">
                  <c:v>55</c:v>
                </c:pt>
                <c:pt idx="900">
                  <c:v>65</c:v>
                </c:pt>
                <c:pt idx="904">
                  <c:v>181</c:v>
                </c:pt>
                <c:pt idx="912">
                  <c:v>89</c:v>
                </c:pt>
                <c:pt idx="913">
                  <c:v>454</c:v>
                </c:pt>
                <c:pt idx="916">
                  <c:v>133</c:v>
                </c:pt>
                <c:pt idx="920">
                  <c:v>305</c:v>
                </c:pt>
                <c:pt idx="921">
                  <c:v>458</c:v>
                </c:pt>
                <c:pt idx="922">
                  <c:v>79</c:v>
                </c:pt>
                <c:pt idx="925">
                  <c:v>460</c:v>
                </c:pt>
                <c:pt idx="932">
                  <c:v>309</c:v>
                </c:pt>
                <c:pt idx="933">
                  <c:v>464</c:v>
                </c:pt>
                <c:pt idx="938">
                  <c:v>311</c:v>
                </c:pt>
                <c:pt idx="942">
                  <c:v>59</c:v>
                </c:pt>
                <c:pt idx="948">
                  <c:v>81</c:v>
                </c:pt>
                <c:pt idx="950">
                  <c:v>315</c:v>
                </c:pt>
                <c:pt idx="954">
                  <c:v>191</c:v>
                </c:pt>
                <c:pt idx="957">
                  <c:v>476</c:v>
                </c:pt>
                <c:pt idx="958">
                  <c:v>139</c:v>
                </c:pt>
                <c:pt idx="964">
                  <c:v>193</c:v>
                </c:pt>
                <c:pt idx="972">
                  <c:v>141</c:v>
                </c:pt>
                <c:pt idx="973">
                  <c:v>484</c:v>
                </c:pt>
                <c:pt idx="978">
                  <c:v>95</c:v>
                </c:pt>
                <c:pt idx="981">
                  <c:v>488</c:v>
                </c:pt>
                <c:pt idx="984">
                  <c:v>197</c:v>
                </c:pt>
                <c:pt idx="988">
                  <c:v>61</c:v>
                </c:pt>
                <c:pt idx="992">
                  <c:v>329</c:v>
                </c:pt>
                <c:pt idx="994">
                  <c:v>199</c:v>
                </c:pt>
                <c:pt idx="997">
                  <c:v>496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787-45E5-BDC2-ACDD936AE502}"/>
            </c:ext>
          </c:extLst>
        </c:ser>
        <c:ser>
          <c:idx val="2"/>
          <c:order val="2"/>
          <c:tx>
            <c:v>p² (d=p-3)</c:v>
          </c:tx>
          <c:spPr>
            <a:ln>
              <a:noFill/>
              <a:prstDash val="solid"/>
            </a:ln>
          </c:spPr>
          <c:marker>
            <c:symbol val="circle"/>
            <c:size val="3"/>
            <c:spPr>
              <a:ln>
                <a:prstDash val="solid"/>
              </a:ln>
            </c:spPr>
          </c:marker>
          <c:xVal>
            <c:numRef>
              <c:f>'Ray Structure'!$A$3:$A$1002</c:f>
              <c:numCache>
                <c:formatCode>General</c:formatCode>
                <c:ptCount val="10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</c:numCache>
            </c:numRef>
          </c:xVal>
          <c:yVal>
            <c:numRef>
              <c:f>'Ray Structure'!$D$3:$D$1002</c:f>
              <c:numCache>
                <c:formatCode>General</c:formatCode>
                <c:ptCount val="1000"/>
                <c:pt idx="3">
                  <c:v>-1</c:v>
                </c:pt>
                <c:pt idx="8">
                  <c:v>0</c:v>
                </c:pt>
                <c:pt idx="24">
                  <c:v>2</c:v>
                </c:pt>
                <c:pt idx="48">
                  <c:v>4</c:v>
                </c:pt>
                <c:pt idx="120">
                  <c:v>8</c:v>
                </c:pt>
                <c:pt idx="168">
                  <c:v>10</c:v>
                </c:pt>
                <c:pt idx="288">
                  <c:v>14</c:v>
                </c:pt>
                <c:pt idx="360">
                  <c:v>16</c:v>
                </c:pt>
                <c:pt idx="528">
                  <c:v>20</c:v>
                </c:pt>
                <c:pt idx="840">
                  <c:v>26</c:v>
                </c:pt>
                <c:pt idx="960">
                  <c:v>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787-45E5-BDC2-ACDD936AE502}"/>
            </c:ext>
          </c:extLst>
        </c:ser>
        <c:ser>
          <c:idx val="3"/>
          <c:order val="3"/>
          <c:tx>
            <c:v>Other composites</c:v>
          </c:tx>
          <c:spPr>
            <a:ln>
              <a:noFill/>
              <a:prstDash val="solid"/>
            </a:ln>
          </c:spPr>
          <c:marker>
            <c:symbol val="circle"/>
            <c:size val="3"/>
            <c:spPr>
              <a:ln>
                <a:prstDash val="solid"/>
              </a:ln>
            </c:spPr>
          </c:marker>
          <c:xVal>
            <c:numRef>
              <c:f>'Ray Structure'!$A$3:$A$1002</c:f>
              <c:numCache>
                <c:formatCode>General</c:formatCode>
                <c:ptCount val="10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</c:numCache>
            </c:numRef>
          </c:xVal>
          <c:yVal>
            <c:numRef>
              <c:f>'Ray Structure'!$E$3:$E$1002</c:f>
              <c:numCache>
                <c:formatCode>General</c:formatCode>
                <c:ptCount val="1000"/>
                <c:pt idx="7">
                  <c:v>0</c:v>
                </c:pt>
                <c:pt idx="11">
                  <c:v>2</c:v>
                </c:pt>
                <c:pt idx="15">
                  <c:v>3</c:v>
                </c:pt>
                <c:pt idx="17">
                  <c:v>6</c:v>
                </c:pt>
                <c:pt idx="19">
                  <c:v>6</c:v>
                </c:pt>
                <c:pt idx="23">
                  <c:v>8</c:v>
                </c:pt>
                <c:pt idx="26">
                  <c:v>5</c:v>
                </c:pt>
                <c:pt idx="27">
                  <c:v>10</c:v>
                </c:pt>
                <c:pt idx="29">
                  <c:v>14</c:v>
                </c:pt>
                <c:pt idx="31">
                  <c:v>10</c:v>
                </c:pt>
                <c:pt idx="35">
                  <c:v>15</c:v>
                </c:pt>
                <c:pt idx="39">
                  <c:v>16</c:v>
                </c:pt>
                <c:pt idx="41">
                  <c:v>22</c:v>
                </c:pt>
                <c:pt idx="43">
                  <c:v>18</c:v>
                </c:pt>
                <c:pt idx="44">
                  <c:v>15</c:v>
                </c:pt>
                <c:pt idx="47">
                  <c:v>22</c:v>
                </c:pt>
                <c:pt idx="49">
                  <c:v>24</c:v>
                </c:pt>
                <c:pt idx="51">
                  <c:v>22</c:v>
                </c:pt>
                <c:pt idx="53">
                  <c:v>28</c:v>
                </c:pt>
                <c:pt idx="55">
                  <c:v>24</c:v>
                </c:pt>
                <c:pt idx="59">
                  <c:v>32</c:v>
                </c:pt>
                <c:pt idx="62">
                  <c:v>21</c:v>
                </c:pt>
                <c:pt idx="63">
                  <c:v>25</c:v>
                </c:pt>
                <c:pt idx="65">
                  <c:v>38</c:v>
                </c:pt>
                <c:pt idx="67">
                  <c:v>30</c:v>
                </c:pt>
                <c:pt idx="69">
                  <c:v>38</c:v>
                </c:pt>
                <c:pt idx="71">
                  <c:v>36</c:v>
                </c:pt>
                <c:pt idx="74">
                  <c:v>29</c:v>
                </c:pt>
                <c:pt idx="75">
                  <c:v>34</c:v>
                </c:pt>
                <c:pt idx="77">
                  <c:v>46</c:v>
                </c:pt>
                <c:pt idx="79">
                  <c:v>38</c:v>
                </c:pt>
                <c:pt idx="80">
                  <c:v>22</c:v>
                </c:pt>
                <c:pt idx="83">
                  <c:v>48</c:v>
                </c:pt>
                <c:pt idx="87">
                  <c:v>40</c:v>
                </c:pt>
                <c:pt idx="89">
                  <c:v>54</c:v>
                </c:pt>
                <c:pt idx="91">
                  <c:v>42</c:v>
                </c:pt>
                <c:pt idx="95">
                  <c:v>52</c:v>
                </c:pt>
                <c:pt idx="97">
                  <c:v>50</c:v>
                </c:pt>
                <c:pt idx="98">
                  <c:v>33</c:v>
                </c:pt>
                <c:pt idx="99">
                  <c:v>51</c:v>
                </c:pt>
                <c:pt idx="101">
                  <c:v>62</c:v>
                </c:pt>
                <c:pt idx="103">
                  <c:v>48</c:v>
                </c:pt>
                <c:pt idx="104">
                  <c:v>49</c:v>
                </c:pt>
                <c:pt idx="107">
                  <c:v>60</c:v>
                </c:pt>
                <c:pt idx="109">
                  <c:v>62</c:v>
                </c:pt>
                <c:pt idx="111">
                  <c:v>54</c:v>
                </c:pt>
                <c:pt idx="113">
                  <c:v>70</c:v>
                </c:pt>
                <c:pt idx="115">
                  <c:v>54</c:v>
                </c:pt>
                <c:pt idx="116">
                  <c:v>39</c:v>
                </c:pt>
                <c:pt idx="119">
                  <c:v>72</c:v>
                </c:pt>
                <c:pt idx="123">
                  <c:v>58</c:v>
                </c:pt>
                <c:pt idx="124">
                  <c:v>21</c:v>
                </c:pt>
                <c:pt idx="125">
                  <c:v>78</c:v>
                </c:pt>
                <c:pt idx="127">
                  <c:v>56</c:v>
                </c:pt>
                <c:pt idx="129">
                  <c:v>74</c:v>
                </c:pt>
                <c:pt idx="131">
                  <c:v>80</c:v>
                </c:pt>
                <c:pt idx="134">
                  <c:v>55</c:v>
                </c:pt>
                <c:pt idx="135">
                  <c:v>64</c:v>
                </c:pt>
                <c:pt idx="137">
                  <c:v>86</c:v>
                </c:pt>
                <c:pt idx="139">
                  <c:v>80</c:v>
                </c:pt>
                <c:pt idx="143">
                  <c:v>81</c:v>
                </c:pt>
                <c:pt idx="146">
                  <c:v>57</c:v>
                </c:pt>
                <c:pt idx="147">
                  <c:v>70</c:v>
                </c:pt>
                <c:pt idx="149">
                  <c:v>98</c:v>
                </c:pt>
                <c:pt idx="151">
                  <c:v>72</c:v>
                </c:pt>
                <c:pt idx="152">
                  <c:v>51</c:v>
                </c:pt>
                <c:pt idx="153">
                  <c:v>86</c:v>
                </c:pt>
                <c:pt idx="155">
                  <c:v>96</c:v>
                </c:pt>
                <c:pt idx="159">
                  <c:v>84</c:v>
                </c:pt>
                <c:pt idx="161">
                  <c:v>98</c:v>
                </c:pt>
                <c:pt idx="163">
                  <c:v>78</c:v>
                </c:pt>
                <c:pt idx="164">
                  <c:v>77</c:v>
                </c:pt>
                <c:pt idx="167">
                  <c:v>104</c:v>
                </c:pt>
                <c:pt idx="169">
                  <c:v>98</c:v>
                </c:pt>
                <c:pt idx="170">
                  <c:v>57</c:v>
                </c:pt>
                <c:pt idx="171">
                  <c:v>82</c:v>
                </c:pt>
                <c:pt idx="173">
                  <c:v>110</c:v>
                </c:pt>
                <c:pt idx="174">
                  <c:v>49</c:v>
                </c:pt>
                <c:pt idx="175">
                  <c:v>86</c:v>
                </c:pt>
                <c:pt idx="179">
                  <c:v>114</c:v>
                </c:pt>
                <c:pt idx="181">
                  <c:v>102</c:v>
                </c:pt>
                <c:pt idx="183">
                  <c:v>88</c:v>
                </c:pt>
                <c:pt idx="185">
                  <c:v>118</c:v>
                </c:pt>
                <c:pt idx="187">
                  <c:v>90</c:v>
                </c:pt>
                <c:pt idx="188">
                  <c:v>73</c:v>
                </c:pt>
                <c:pt idx="189">
                  <c:v>110</c:v>
                </c:pt>
                <c:pt idx="191">
                  <c:v>114</c:v>
                </c:pt>
                <c:pt idx="194">
                  <c:v>91</c:v>
                </c:pt>
                <c:pt idx="195">
                  <c:v>103</c:v>
                </c:pt>
                <c:pt idx="197">
                  <c:v>126</c:v>
                </c:pt>
                <c:pt idx="199">
                  <c:v>108</c:v>
                </c:pt>
                <c:pt idx="203">
                  <c:v>128</c:v>
                </c:pt>
                <c:pt idx="206">
                  <c:v>69</c:v>
                </c:pt>
                <c:pt idx="207">
                  <c:v>102</c:v>
                </c:pt>
                <c:pt idx="209">
                  <c:v>146</c:v>
                </c:pt>
                <c:pt idx="211">
                  <c:v>102</c:v>
                </c:pt>
                <c:pt idx="215">
                  <c:v>128</c:v>
                </c:pt>
                <c:pt idx="219">
                  <c:v>128</c:v>
                </c:pt>
                <c:pt idx="221">
                  <c:v>142</c:v>
                </c:pt>
                <c:pt idx="223">
                  <c:v>116</c:v>
                </c:pt>
                <c:pt idx="224">
                  <c:v>96</c:v>
                </c:pt>
                <c:pt idx="227">
                  <c:v>144</c:v>
                </c:pt>
                <c:pt idx="229">
                  <c:v>134</c:v>
                </c:pt>
                <c:pt idx="230">
                  <c:v>103</c:v>
                </c:pt>
                <c:pt idx="231">
                  <c:v>112</c:v>
                </c:pt>
                <c:pt idx="233">
                  <c:v>150</c:v>
                </c:pt>
                <c:pt idx="235">
                  <c:v>114</c:v>
                </c:pt>
                <c:pt idx="237">
                  <c:v>134</c:v>
                </c:pt>
                <c:pt idx="239">
                  <c:v>156</c:v>
                </c:pt>
                <c:pt idx="241">
                  <c:v>126</c:v>
                </c:pt>
                <c:pt idx="242">
                  <c:v>75</c:v>
                </c:pt>
                <c:pt idx="243">
                  <c:v>118</c:v>
                </c:pt>
                <c:pt idx="244">
                  <c:v>71</c:v>
                </c:pt>
                <c:pt idx="245">
                  <c:v>158</c:v>
                </c:pt>
                <c:pt idx="247">
                  <c:v>120</c:v>
                </c:pt>
                <c:pt idx="249">
                  <c:v>142</c:v>
                </c:pt>
                <c:pt idx="251">
                  <c:v>162</c:v>
                </c:pt>
                <c:pt idx="254">
                  <c:v>119</c:v>
                </c:pt>
                <c:pt idx="255">
                  <c:v>119</c:v>
                </c:pt>
                <c:pt idx="257">
                  <c:v>166</c:v>
                </c:pt>
                <c:pt idx="259">
                  <c:v>152</c:v>
                </c:pt>
                <c:pt idx="260">
                  <c:v>87</c:v>
                </c:pt>
                <c:pt idx="263">
                  <c:v>168</c:v>
                </c:pt>
                <c:pt idx="265">
                  <c:v>150</c:v>
                </c:pt>
                <c:pt idx="267">
                  <c:v>130</c:v>
                </c:pt>
                <c:pt idx="269">
                  <c:v>182</c:v>
                </c:pt>
                <c:pt idx="271">
                  <c:v>134</c:v>
                </c:pt>
                <c:pt idx="272">
                  <c:v>121</c:v>
                </c:pt>
                <c:pt idx="274">
                  <c:v>69</c:v>
                </c:pt>
                <c:pt idx="275">
                  <c:v>176</c:v>
                </c:pt>
                <c:pt idx="278">
                  <c:v>93</c:v>
                </c:pt>
                <c:pt idx="279">
                  <c:v>168</c:v>
                </c:pt>
                <c:pt idx="281">
                  <c:v>182</c:v>
                </c:pt>
                <c:pt idx="283">
                  <c:v>138</c:v>
                </c:pt>
                <c:pt idx="284">
                  <c:v>133</c:v>
                </c:pt>
                <c:pt idx="285">
                  <c:v>158</c:v>
                </c:pt>
                <c:pt idx="287">
                  <c:v>174</c:v>
                </c:pt>
                <c:pt idx="289">
                  <c:v>170</c:v>
                </c:pt>
                <c:pt idx="291">
                  <c:v>142</c:v>
                </c:pt>
                <c:pt idx="293">
                  <c:v>198</c:v>
                </c:pt>
                <c:pt idx="295">
                  <c:v>144</c:v>
                </c:pt>
                <c:pt idx="296">
                  <c:v>109</c:v>
                </c:pt>
                <c:pt idx="299">
                  <c:v>202</c:v>
                </c:pt>
                <c:pt idx="303">
                  <c:v>150</c:v>
                </c:pt>
                <c:pt idx="305">
                  <c:v>198</c:v>
                </c:pt>
                <c:pt idx="307">
                  <c:v>176</c:v>
                </c:pt>
                <c:pt idx="309">
                  <c:v>182</c:v>
                </c:pt>
                <c:pt idx="311">
                  <c:v>200</c:v>
                </c:pt>
                <c:pt idx="314">
                  <c:v>159</c:v>
                </c:pt>
                <c:pt idx="315">
                  <c:v>154</c:v>
                </c:pt>
                <c:pt idx="317">
                  <c:v>206</c:v>
                </c:pt>
                <c:pt idx="319">
                  <c:v>178</c:v>
                </c:pt>
                <c:pt idx="321">
                  <c:v>182</c:v>
                </c:pt>
                <c:pt idx="323">
                  <c:v>201</c:v>
                </c:pt>
                <c:pt idx="324">
                  <c:v>79</c:v>
                </c:pt>
                <c:pt idx="327">
                  <c:v>160</c:v>
                </c:pt>
                <c:pt idx="329">
                  <c:v>234</c:v>
                </c:pt>
                <c:pt idx="331">
                  <c:v>162</c:v>
                </c:pt>
                <c:pt idx="332">
                  <c:v>111</c:v>
                </c:pt>
                <c:pt idx="335">
                  <c:v>220</c:v>
                </c:pt>
                <c:pt idx="337">
                  <c:v>176</c:v>
                </c:pt>
                <c:pt idx="339">
                  <c:v>200</c:v>
                </c:pt>
                <c:pt idx="341">
                  <c:v>222</c:v>
                </c:pt>
                <c:pt idx="342">
                  <c:v>45</c:v>
                </c:pt>
                <c:pt idx="343">
                  <c:v>168</c:v>
                </c:pt>
                <c:pt idx="344">
                  <c:v>161</c:v>
                </c:pt>
                <c:pt idx="347">
                  <c:v>224</c:v>
                </c:pt>
                <c:pt idx="349">
                  <c:v>218</c:v>
                </c:pt>
                <c:pt idx="350">
                  <c:v>127</c:v>
                </c:pt>
                <c:pt idx="351">
                  <c:v>180</c:v>
                </c:pt>
                <c:pt idx="353">
                  <c:v>230</c:v>
                </c:pt>
                <c:pt idx="355">
                  <c:v>174</c:v>
                </c:pt>
                <c:pt idx="356">
                  <c:v>157</c:v>
                </c:pt>
                <c:pt idx="359">
                  <c:v>240</c:v>
                </c:pt>
                <c:pt idx="362">
                  <c:v>137</c:v>
                </c:pt>
                <c:pt idx="363">
                  <c:v>208</c:v>
                </c:pt>
                <c:pt idx="365">
                  <c:v>238</c:v>
                </c:pt>
                <c:pt idx="367">
                  <c:v>182</c:v>
                </c:pt>
                <c:pt idx="368">
                  <c:v>123</c:v>
                </c:pt>
                <c:pt idx="369">
                  <c:v>218</c:v>
                </c:pt>
                <c:pt idx="371">
                  <c:v>240</c:v>
                </c:pt>
                <c:pt idx="373">
                  <c:v>206</c:v>
                </c:pt>
                <c:pt idx="374">
                  <c:v>167</c:v>
                </c:pt>
                <c:pt idx="375">
                  <c:v>184</c:v>
                </c:pt>
                <c:pt idx="377">
                  <c:v>254</c:v>
                </c:pt>
                <c:pt idx="379">
                  <c:v>224</c:v>
                </c:pt>
                <c:pt idx="383">
                  <c:v>240</c:v>
                </c:pt>
                <c:pt idx="384">
                  <c:v>137</c:v>
                </c:pt>
                <c:pt idx="386">
                  <c:v>129</c:v>
                </c:pt>
                <c:pt idx="387">
                  <c:v>190</c:v>
                </c:pt>
                <c:pt idx="389">
                  <c:v>278</c:v>
                </c:pt>
                <c:pt idx="391">
                  <c:v>212</c:v>
                </c:pt>
                <c:pt idx="395">
                  <c:v>258</c:v>
                </c:pt>
                <c:pt idx="398">
                  <c:v>175</c:v>
                </c:pt>
                <c:pt idx="399">
                  <c:v>225</c:v>
                </c:pt>
                <c:pt idx="401">
                  <c:v>262</c:v>
                </c:pt>
                <c:pt idx="403">
                  <c:v>198</c:v>
                </c:pt>
                <c:pt idx="404">
                  <c:v>179</c:v>
                </c:pt>
                <c:pt idx="405">
                  <c:v>230</c:v>
                </c:pt>
                <c:pt idx="407">
                  <c:v>264</c:v>
                </c:pt>
                <c:pt idx="409">
                  <c:v>242</c:v>
                </c:pt>
                <c:pt idx="411">
                  <c:v>202</c:v>
                </c:pt>
                <c:pt idx="413">
                  <c:v>270</c:v>
                </c:pt>
                <c:pt idx="415">
                  <c:v>212</c:v>
                </c:pt>
                <c:pt idx="417">
                  <c:v>230</c:v>
                </c:pt>
                <c:pt idx="419">
                  <c:v>300</c:v>
                </c:pt>
                <c:pt idx="422">
                  <c:v>141</c:v>
                </c:pt>
                <c:pt idx="423">
                  <c:v>208</c:v>
                </c:pt>
                <c:pt idx="424">
                  <c:v>99</c:v>
                </c:pt>
                <c:pt idx="425">
                  <c:v>278</c:v>
                </c:pt>
                <c:pt idx="427">
                  <c:v>210</c:v>
                </c:pt>
                <c:pt idx="428">
                  <c:v>181</c:v>
                </c:pt>
                <c:pt idx="429">
                  <c:v>254</c:v>
                </c:pt>
                <c:pt idx="431">
                  <c:v>268</c:v>
                </c:pt>
                <c:pt idx="433">
                  <c:v>246</c:v>
                </c:pt>
                <c:pt idx="434">
                  <c:v>203</c:v>
                </c:pt>
                <c:pt idx="435">
                  <c:v>214</c:v>
                </c:pt>
                <c:pt idx="437">
                  <c:v>286</c:v>
                </c:pt>
                <c:pt idx="439">
                  <c:v>264</c:v>
                </c:pt>
                <c:pt idx="440">
                  <c:v>180</c:v>
                </c:pt>
                <c:pt idx="441">
                  <c:v>242</c:v>
                </c:pt>
                <c:pt idx="443">
                  <c:v>288</c:v>
                </c:pt>
                <c:pt idx="447">
                  <c:v>242</c:v>
                </c:pt>
                <c:pt idx="449">
                  <c:v>312</c:v>
                </c:pt>
                <c:pt idx="451">
                  <c:v>222</c:v>
                </c:pt>
                <c:pt idx="454">
                  <c:v>159</c:v>
                </c:pt>
                <c:pt idx="455">
                  <c:v>296</c:v>
                </c:pt>
                <c:pt idx="458">
                  <c:v>163</c:v>
                </c:pt>
                <c:pt idx="459">
                  <c:v>272</c:v>
                </c:pt>
                <c:pt idx="461">
                  <c:v>326</c:v>
                </c:pt>
                <c:pt idx="463">
                  <c:v>230</c:v>
                </c:pt>
                <c:pt idx="464">
                  <c:v>217</c:v>
                </c:pt>
                <c:pt idx="467">
                  <c:v>306</c:v>
                </c:pt>
                <c:pt idx="469">
                  <c:v>278</c:v>
                </c:pt>
                <c:pt idx="471">
                  <c:v>232</c:v>
                </c:pt>
                <c:pt idx="473">
                  <c:v>310</c:v>
                </c:pt>
                <c:pt idx="474">
                  <c:v>109</c:v>
                </c:pt>
                <c:pt idx="475">
                  <c:v>272</c:v>
                </c:pt>
                <c:pt idx="476">
                  <c:v>159</c:v>
                </c:pt>
                <c:pt idx="479">
                  <c:v>328</c:v>
                </c:pt>
                <c:pt idx="482">
                  <c:v>211</c:v>
                </c:pt>
                <c:pt idx="483">
                  <c:v>255</c:v>
                </c:pt>
                <c:pt idx="485">
                  <c:v>312</c:v>
                </c:pt>
                <c:pt idx="487">
                  <c:v>240</c:v>
                </c:pt>
                <c:pt idx="489">
                  <c:v>310</c:v>
                </c:pt>
                <c:pt idx="491">
                  <c:v>320</c:v>
                </c:pt>
                <c:pt idx="493">
                  <c:v>270</c:v>
                </c:pt>
                <c:pt idx="494">
                  <c:v>243</c:v>
                </c:pt>
                <c:pt idx="495">
                  <c:v>246</c:v>
                </c:pt>
                <c:pt idx="497">
                  <c:v>326</c:v>
                </c:pt>
                <c:pt idx="499">
                  <c:v>288</c:v>
                </c:pt>
                <c:pt idx="503">
                  <c:v>336</c:v>
                </c:pt>
                <c:pt idx="505">
                  <c:v>278</c:v>
                </c:pt>
                <c:pt idx="506">
                  <c:v>189</c:v>
                </c:pt>
                <c:pt idx="507">
                  <c:v>250</c:v>
                </c:pt>
                <c:pt idx="509">
                  <c:v>366</c:v>
                </c:pt>
                <c:pt idx="511">
                  <c:v>246</c:v>
                </c:pt>
                <c:pt idx="512">
                  <c:v>181</c:v>
                </c:pt>
                <c:pt idx="515">
                  <c:v>336</c:v>
                </c:pt>
                <c:pt idx="517">
                  <c:v>294</c:v>
                </c:pt>
                <c:pt idx="519">
                  <c:v>312</c:v>
                </c:pt>
                <c:pt idx="521">
                  <c:v>342</c:v>
                </c:pt>
                <c:pt idx="523">
                  <c:v>258</c:v>
                </c:pt>
                <c:pt idx="524">
                  <c:v>273</c:v>
                </c:pt>
                <c:pt idx="527">
                  <c:v>348</c:v>
                </c:pt>
                <c:pt idx="529">
                  <c:v>314</c:v>
                </c:pt>
                <c:pt idx="530">
                  <c:v>177</c:v>
                </c:pt>
                <c:pt idx="531">
                  <c:v>304</c:v>
                </c:pt>
                <c:pt idx="533">
                  <c:v>350</c:v>
                </c:pt>
                <c:pt idx="535">
                  <c:v>264</c:v>
                </c:pt>
                <c:pt idx="538">
                  <c:v>113</c:v>
                </c:pt>
                <c:pt idx="539">
                  <c:v>372</c:v>
                </c:pt>
                <c:pt idx="543">
                  <c:v>276</c:v>
                </c:pt>
                <c:pt idx="545">
                  <c:v>386</c:v>
                </c:pt>
                <c:pt idx="547">
                  <c:v>270</c:v>
                </c:pt>
                <c:pt idx="548">
                  <c:v>183</c:v>
                </c:pt>
                <c:pt idx="549">
                  <c:v>338</c:v>
                </c:pt>
                <c:pt idx="551">
                  <c:v>360</c:v>
                </c:pt>
                <c:pt idx="554">
                  <c:v>259</c:v>
                </c:pt>
                <c:pt idx="555">
                  <c:v>274</c:v>
                </c:pt>
                <c:pt idx="557">
                  <c:v>366</c:v>
                </c:pt>
                <c:pt idx="559">
                  <c:v>348</c:v>
                </c:pt>
                <c:pt idx="560">
                  <c:v>233</c:v>
                </c:pt>
                <c:pt idx="563">
                  <c:v>368</c:v>
                </c:pt>
                <c:pt idx="566">
                  <c:v>233</c:v>
                </c:pt>
                <c:pt idx="567">
                  <c:v>280</c:v>
                </c:pt>
                <c:pt idx="569">
                  <c:v>410</c:v>
                </c:pt>
                <c:pt idx="571">
                  <c:v>320</c:v>
                </c:pt>
                <c:pt idx="573">
                  <c:v>326</c:v>
                </c:pt>
                <c:pt idx="574">
                  <c:v>129</c:v>
                </c:pt>
                <c:pt idx="575">
                  <c:v>363</c:v>
                </c:pt>
                <c:pt idx="577">
                  <c:v>300</c:v>
                </c:pt>
                <c:pt idx="579">
                  <c:v>344</c:v>
                </c:pt>
                <c:pt idx="581">
                  <c:v>382</c:v>
                </c:pt>
                <c:pt idx="583">
                  <c:v>288</c:v>
                </c:pt>
                <c:pt idx="584">
                  <c:v>285</c:v>
                </c:pt>
                <c:pt idx="587">
                  <c:v>402</c:v>
                </c:pt>
                <c:pt idx="589">
                  <c:v>350</c:v>
                </c:pt>
                <c:pt idx="591">
                  <c:v>294</c:v>
                </c:pt>
                <c:pt idx="593">
                  <c:v>398</c:v>
                </c:pt>
                <c:pt idx="594">
                  <c:v>203</c:v>
                </c:pt>
                <c:pt idx="595">
                  <c:v>294</c:v>
                </c:pt>
                <c:pt idx="597">
                  <c:v>326</c:v>
                </c:pt>
                <c:pt idx="599">
                  <c:v>416</c:v>
                </c:pt>
                <c:pt idx="601">
                  <c:v>342</c:v>
                </c:pt>
                <c:pt idx="602">
                  <c:v>201</c:v>
                </c:pt>
                <c:pt idx="603">
                  <c:v>298</c:v>
                </c:pt>
                <c:pt idx="604">
                  <c:v>159</c:v>
                </c:pt>
                <c:pt idx="605">
                  <c:v>398</c:v>
                </c:pt>
                <c:pt idx="607">
                  <c:v>308</c:v>
                </c:pt>
                <c:pt idx="608">
                  <c:v>265</c:v>
                </c:pt>
                <c:pt idx="609">
                  <c:v>362</c:v>
                </c:pt>
                <c:pt idx="611">
                  <c:v>402</c:v>
                </c:pt>
                <c:pt idx="614">
                  <c:v>287</c:v>
                </c:pt>
                <c:pt idx="615">
                  <c:v>360</c:v>
                </c:pt>
                <c:pt idx="617">
                  <c:v>406</c:v>
                </c:pt>
                <c:pt idx="619">
                  <c:v>368</c:v>
                </c:pt>
                <c:pt idx="620">
                  <c:v>217</c:v>
                </c:pt>
                <c:pt idx="623">
                  <c:v>412</c:v>
                </c:pt>
                <c:pt idx="624">
                  <c:v>120</c:v>
                </c:pt>
                <c:pt idx="626">
                  <c:v>259</c:v>
                </c:pt>
                <c:pt idx="627">
                  <c:v>310</c:v>
                </c:pt>
                <c:pt idx="629">
                  <c:v>462</c:v>
                </c:pt>
                <c:pt idx="631">
                  <c:v>312</c:v>
                </c:pt>
                <c:pt idx="635">
                  <c:v>416</c:v>
                </c:pt>
                <c:pt idx="636">
                  <c:v>127</c:v>
                </c:pt>
                <c:pt idx="637">
                  <c:v>350</c:v>
                </c:pt>
                <c:pt idx="638">
                  <c:v>213</c:v>
                </c:pt>
                <c:pt idx="639">
                  <c:v>368</c:v>
                </c:pt>
                <c:pt idx="641">
                  <c:v>422</c:v>
                </c:pt>
                <c:pt idx="643">
                  <c:v>368</c:v>
                </c:pt>
                <c:pt idx="644">
                  <c:v>301</c:v>
                </c:pt>
                <c:pt idx="645">
                  <c:v>350</c:v>
                </c:pt>
                <c:pt idx="647">
                  <c:v>412</c:v>
                </c:pt>
                <c:pt idx="649">
                  <c:v>398</c:v>
                </c:pt>
                <c:pt idx="650">
                  <c:v>283</c:v>
                </c:pt>
                <c:pt idx="651">
                  <c:v>322</c:v>
                </c:pt>
                <c:pt idx="653">
                  <c:v>430</c:v>
                </c:pt>
                <c:pt idx="655">
                  <c:v>326</c:v>
                </c:pt>
                <c:pt idx="656">
                  <c:v>219</c:v>
                </c:pt>
                <c:pt idx="657">
                  <c:v>374</c:v>
                </c:pt>
                <c:pt idx="659">
                  <c:v>476</c:v>
                </c:pt>
                <c:pt idx="662">
                  <c:v>271</c:v>
                </c:pt>
                <c:pt idx="663">
                  <c:v>328</c:v>
                </c:pt>
                <c:pt idx="664">
                  <c:v>225</c:v>
                </c:pt>
                <c:pt idx="665">
                  <c:v>438</c:v>
                </c:pt>
                <c:pt idx="667">
                  <c:v>330</c:v>
                </c:pt>
                <c:pt idx="669">
                  <c:v>398</c:v>
                </c:pt>
                <c:pt idx="671">
                  <c:v>456</c:v>
                </c:pt>
                <c:pt idx="674">
                  <c:v>303</c:v>
                </c:pt>
                <c:pt idx="675">
                  <c:v>355</c:v>
                </c:pt>
                <c:pt idx="677">
                  <c:v>446</c:v>
                </c:pt>
                <c:pt idx="679">
                  <c:v>408</c:v>
                </c:pt>
                <c:pt idx="681">
                  <c:v>374</c:v>
                </c:pt>
                <c:pt idx="683">
                  <c:v>450</c:v>
                </c:pt>
                <c:pt idx="685">
                  <c:v>384</c:v>
                </c:pt>
                <c:pt idx="687">
                  <c:v>342</c:v>
                </c:pt>
                <c:pt idx="689">
                  <c:v>498</c:v>
                </c:pt>
                <c:pt idx="691">
                  <c:v>342</c:v>
                </c:pt>
                <c:pt idx="692">
                  <c:v>321</c:v>
                </c:pt>
                <c:pt idx="695">
                  <c:v>456</c:v>
                </c:pt>
                <c:pt idx="699">
                  <c:v>442</c:v>
                </c:pt>
                <c:pt idx="701">
                  <c:v>470</c:v>
                </c:pt>
                <c:pt idx="703">
                  <c:v>370</c:v>
                </c:pt>
                <c:pt idx="704">
                  <c:v>329</c:v>
                </c:pt>
                <c:pt idx="707">
                  <c:v>464</c:v>
                </c:pt>
                <c:pt idx="709">
                  <c:v>422</c:v>
                </c:pt>
                <c:pt idx="710">
                  <c:v>237</c:v>
                </c:pt>
                <c:pt idx="711">
                  <c:v>352</c:v>
                </c:pt>
                <c:pt idx="713">
                  <c:v>506</c:v>
                </c:pt>
                <c:pt idx="714">
                  <c:v>227</c:v>
                </c:pt>
                <c:pt idx="715">
                  <c:v>354</c:v>
                </c:pt>
                <c:pt idx="719">
                  <c:v>498</c:v>
                </c:pt>
                <c:pt idx="721">
                  <c:v>374</c:v>
                </c:pt>
                <c:pt idx="723">
                  <c:v>358</c:v>
                </c:pt>
                <c:pt idx="724">
                  <c:v>159</c:v>
                </c:pt>
                <c:pt idx="725">
                  <c:v>494</c:v>
                </c:pt>
                <c:pt idx="727">
                  <c:v>424</c:v>
                </c:pt>
                <c:pt idx="728">
                  <c:v>236</c:v>
                </c:pt>
                <c:pt idx="729">
                  <c:v>434</c:v>
                </c:pt>
                <c:pt idx="731">
                  <c:v>480</c:v>
                </c:pt>
                <c:pt idx="734">
                  <c:v>387</c:v>
                </c:pt>
                <c:pt idx="735">
                  <c:v>372</c:v>
                </c:pt>
                <c:pt idx="737">
                  <c:v>486</c:v>
                </c:pt>
                <c:pt idx="739">
                  <c:v>440</c:v>
                </c:pt>
                <c:pt idx="740">
                  <c:v>301</c:v>
                </c:pt>
                <c:pt idx="741">
                  <c:v>422</c:v>
                </c:pt>
                <c:pt idx="743">
                  <c:v>488</c:v>
                </c:pt>
                <c:pt idx="746">
                  <c:v>249</c:v>
                </c:pt>
                <c:pt idx="747">
                  <c:v>416</c:v>
                </c:pt>
                <c:pt idx="749">
                  <c:v>534</c:v>
                </c:pt>
                <c:pt idx="751">
                  <c:v>374</c:v>
                </c:pt>
                <c:pt idx="753">
                  <c:v>410</c:v>
                </c:pt>
                <c:pt idx="755">
                  <c:v>516</c:v>
                </c:pt>
                <c:pt idx="758">
                  <c:v>311</c:v>
                </c:pt>
                <c:pt idx="759">
                  <c:v>456</c:v>
                </c:pt>
                <c:pt idx="761">
                  <c:v>502</c:v>
                </c:pt>
                <c:pt idx="763">
                  <c:v>378</c:v>
                </c:pt>
                <c:pt idx="764">
                  <c:v>369</c:v>
                </c:pt>
                <c:pt idx="767">
                  <c:v>494</c:v>
                </c:pt>
                <c:pt idx="769">
                  <c:v>514</c:v>
                </c:pt>
                <c:pt idx="771">
                  <c:v>382</c:v>
                </c:pt>
                <c:pt idx="773">
                  <c:v>510</c:v>
                </c:pt>
                <c:pt idx="774">
                  <c:v>169</c:v>
                </c:pt>
                <c:pt idx="775">
                  <c:v>384</c:v>
                </c:pt>
                <c:pt idx="776">
                  <c:v>337</c:v>
                </c:pt>
                <c:pt idx="779">
                  <c:v>564</c:v>
                </c:pt>
                <c:pt idx="781">
                  <c:v>422</c:v>
                </c:pt>
                <c:pt idx="782">
                  <c:v>271</c:v>
                </c:pt>
                <c:pt idx="783">
                  <c:v>433</c:v>
                </c:pt>
                <c:pt idx="785">
                  <c:v>518</c:v>
                </c:pt>
                <c:pt idx="787">
                  <c:v>390</c:v>
                </c:pt>
                <c:pt idx="789">
                  <c:v>470</c:v>
                </c:pt>
                <c:pt idx="791">
                  <c:v>528</c:v>
                </c:pt>
                <c:pt idx="794">
                  <c:v>371</c:v>
                </c:pt>
                <c:pt idx="795">
                  <c:v>394</c:v>
                </c:pt>
                <c:pt idx="797">
                  <c:v>566</c:v>
                </c:pt>
                <c:pt idx="799">
                  <c:v>462</c:v>
                </c:pt>
                <c:pt idx="800">
                  <c:v>267</c:v>
                </c:pt>
                <c:pt idx="803">
                  <c:v>528</c:v>
                </c:pt>
                <c:pt idx="804">
                  <c:v>269</c:v>
                </c:pt>
                <c:pt idx="805">
                  <c:v>438</c:v>
                </c:pt>
                <c:pt idx="807">
                  <c:v>400</c:v>
                </c:pt>
                <c:pt idx="809">
                  <c:v>574</c:v>
                </c:pt>
                <c:pt idx="811">
                  <c:v>464</c:v>
                </c:pt>
                <c:pt idx="813">
                  <c:v>446</c:v>
                </c:pt>
                <c:pt idx="815">
                  <c:v>540</c:v>
                </c:pt>
                <c:pt idx="818">
                  <c:v>375</c:v>
                </c:pt>
                <c:pt idx="819">
                  <c:v>488</c:v>
                </c:pt>
                <c:pt idx="821">
                  <c:v>542</c:v>
                </c:pt>
                <c:pt idx="823">
                  <c:v>408</c:v>
                </c:pt>
                <c:pt idx="824">
                  <c:v>413</c:v>
                </c:pt>
                <c:pt idx="825">
                  <c:v>470</c:v>
                </c:pt>
                <c:pt idx="827">
                  <c:v>546</c:v>
                </c:pt>
                <c:pt idx="829">
                  <c:v>494</c:v>
                </c:pt>
                <c:pt idx="831">
                  <c:v>434</c:v>
                </c:pt>
                <c:pt idx="832">
                  <c:v>155</c:v>
                </c:pt>
                <c:pt idx="833">
                  <c:v>550</c:v>
                </c:pt>
                <c:pt idx="835">
                  <c:v>464</c:v>
                </c:pt>
                <c:pt idx="836">
                  <c:v>289</c:v>
                </c:pt>
                <c:pt idx="839">
                  <c:v>616</c:v>
                </c:pt>
                <c:pt idx="843">
                  <c:v>418</c:v>
                </c:pt>
                <c:pt idx="844">
                  <c:v>215</c:v>
                </c:pt>
                <c:pt idx="845">
                  <c:v>558</c:v>
                </c:pt>
                <c:pt idx="846">
                  <c:v>181</c:v>
                </c:pt>
                <c:pt idx="847">
                  <c:v>422</c:v>
                </c:pt>
                <c:pt idx="849">
                  <c:v>518</c:v>
                </c:pt>
                <c:pt idx="851">
                  <c:v>560</c:v>
                </c:pt>
                <c:pt idx="853">
                  <c:v>486</c:v>
                </c:pt>
                <c:pt idx="854">
                  <c:v>411</c:v>
                </c:pt>
                <c:pt idx="855">
                  <c:v>424</c:v>
                </c:pt>
                <c:pt idx="857">
                  <c:v>602</c:v>
                </c:pt>
                <c:pt idx="859">
                  <c:v>512</c:v>
                </c:pt>
                <c:pt idx="860">
                  <c:v>373</c:v>
                </c:pt>
                <c:pt idx="863">
                  <c:v>552</c:v>
                </c:pt>
                <c:pt idx="866">
                  <c:v>317</c:v>
                </c:pt>
                <c:pt idx="867">
                  <c:v>496</c:v>
                </c:pt>
                <c:pt idx="869">
                  <c:v>630</c:v>
                </c:pt>
                <c:pt idx="871">
                  <c:v>432</c:v>
                </c:pt>
                <c:pt idx="872">
                  <c:v>291</c:v>
                </c:pt>
                <c:pt idx="873">
                  <c:v>470</c:v>
                </c:pt>
                <c:pt idx="874">
                  <c:v>267</c:v>
                </c:pt>
                <c:pt idx="875">
                  <c:v>576</c:v>
                </c:pt>
                <c:pt idx="879">
                  <c:v>540</c:v>
                </c:pt>
                <c:pt idx="881">
                  <c:v>612</c:v>
                </c:pt>
                <c:pt idx="883">
                  <c:v>488</c:v>
                </c:pt>
                <c:pt idx="884">
                  <c:v>413</c:v>
                </c:pt>
                <c:pt idx="887">
                  <c:v>584</c:v>
                </c:pt>
                <c:pt idx="889">
                  <c:v>530</c:v>
                </c:pt>
                <c:pt idx="890">
                  <c:v>341</c:v>
                </c:pt>
                <c:pt idx="891">
                  <c:v>442</c:v>
                </c:pt>
                <c:pt idx="893">
                  <c:v>590</c:v>
                </c:pt>
                <c:pt idx="895">
                  <c:v>496</c:v>
                </c:pt>
                <c:pt idx="896">
                  <c:v>361</c:v>
                </c:pt>
                <c:pt idx="899">
                  <c:v>633</c:v>
                </c:pt>
                <c:pt idx="901">
                  <c:v>494</c:v>
                </c:pt>
                <c:pt idx="902">
                  <c:v>391</c:v>
                </c:pt>
                <c:pt idx="903">
                  <c:v>448</c:v>
                </c:pt>
                <c:pt idx="905">
                  <c:v>598</c:v>
                </c:pt>
                <c:pt idx="907">
                  <c:v>450</c:v>
                </c:pt>
                <c:pt idx="908">
                  <c:v>303</c:v>
                </c:pt>
                <c:pt idx="909">
                  <c:v>606</c:v>
                </c:pt>
                <c:pt idx="911">
                  <c:v>604</c:v>
                </c:pt>
                <c:pt idx="914">
                  <c:v>427</c:v>
                </c:pt>
                <c:pt idx="915">
                  <c:v>454</c:v>
                </c:pt>
                <c:pt idx="917">
                  <c:v>614</c:v>
                </c:pt>
                <c:pt idx="919">
                  <c:v>552</c:v>
                </c:pt>
                <c:pt idx="923">
                  <c:v>660</c:v>
                </c:pt>
                <c:pt idx="924">
                  <c:v>199</c:v>
                </c:pt>
                <c:pt idx="926">
                  <c:v>309</c:v>
                </c:pt>
                <c:pt idx="927">
                  <c:v>468</c:v>
                </c:pt>
                <c:pt idx="929">
                  <c:v>674</c:v>
                </c:pt>
                <c:pt idx="930">
                  <c:v>169</c:v>
                </c:pt>
                <c:pt idx="931">
                  <c:v>462</c:v>
                </c:pt>
                <c:pt idx="934">
                  <c:v>287</c:v>
                </c:pt>
                <c:pt idx="935">
                  <c:v>624</c:v>
                </c:pt>
                <c:pt idx="937">
                  <c:v>534</c:v>
                </c:pt>
                <c:pt idx="939">
                  <c:v>560</c:v>
                </c:pt>
                <c:pt idx="941">
                  <c:v>622</c:v>
                </c:pt>
                <c:pt idx="943">
                  <c:v>470</c:v>
                </c:pt>
                <c:pt idx="944">
                  <c:v>497</c:v>
                </c:pt>
                <c:pt idx="945">
                  <c:v>518</c:v>
                </c:pt>
                <c:pt idx="947">
                  <c:v>624</c:v>
                </c:pt>
                <c:pt idx="949">
                  <c:v>578</c:v>
                </c:pt>
                <c:pt idx="951">
                  <c:v>552</c:v>
                </c:pt>
                <c:pt idx="953">
                  <c:v>630</c:v>
                </c:pt>
                <c:pt idx="955">
                  <c:v>474</c:v>
                </c:pt>
                <c:pt idx="956">
                  <c:v>389</c:v>
                </c:pt>
                <c:pt idx="959">
                  <c:v>676</c:v>
                </c:pt>
                <c:pt idx="961">
                  <c:v>522</c:v>
                </c:pt>
                <c:pt idx="962">
                  <c:v>321</c:v>
                </c:pt>
                <c:pt idx="963">
                  <c:v>478</c:v>
                </c:pt>
                <c:pt idx="965">
                  <c:v>686</c:v>
                </c:pt>
                <c:pt idx="967">
                  <c:v>516</c:v>
                </c:pt>
                <c:pt idx="968">
                  <c:v>385</c:v>
                </c:pt>
                <c:pt idx="969">
                  <c:v>578</c:v>
                </c:pt>
                <c:pt idx="971">
                  <c:v>630</c:v>
                </c:pt>
                <c:pt idx="974">
                  <c:v>483</c:v>
                </c:pt>
                <c:pt idx="975">
                  <c:v>486</c:v>
                </c:pt>
                <c:pt idx="977">
                  <c:v>646</c:v>
                </c:pt>
                <c:pt idx="979">
                  <c:v>626</c:v>
                </c:pt>
                <c:pt idx="980">
                  <c:v>327</c:v>
                </c:pt>
                <c:pt idx="983">
                  <c:v>648</c:v>
                </c:pt>
                <c:pt idx="985">
                  <c:v>530</c:v>
                </c:pt>
                <c:pt idx="986">
                  <c:v>427</c:v>
                </c:pt>
                <c:pt idx="987">
                  <c:v>544</c:v>
                </c:pt>
                <c:pt idx="989">
                  <c:v>726</c:v>
                </c:pt>
                <c:pt idx="991">
                  <c:v>500</c:v>
                </c:pt>
                <c:pt idx="993">
                  <c:v>566</c:v>
                </c:pt>
                <c:pt idx="995">
                  <c:v>656</c:v>
                </c:pt>
                <c:pt idx="998">
                  <c:v>343</c:v>
                </c:pt>
                <c:pt idx="999">
                  <c:v>584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787-45E5-BDC2-ACDD936AE5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in val="0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n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  <c:min val="-5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d(n)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AU"/>
              <a:t>r(n) = (n-phi(n))/tau(n) — Floor at 1/2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r(n)</c:v>
          </c:tx>
          <c:spPr>
            <a:ln>
              <a:noFill/>
              <a:prstDash val="solid"/>
            </a:ln>
          </c:spPr>
          <c:marker>
            <c:symbol val="circle"/>
            <c:size val="3"/>
            <c:spPr>
              <a:ln>
                <a:prstDash val="solid"/>
              </a:ln>
            </c:spPr>
          </c:marker>
          <c:xVal>
            <c:numRef>
              <c:f>'Phase Transition'!$A$3:$A$502</c:f>
              <c:numCache>
                <c:formatCode>General</c:formatCode>
                <c:ptCount val="500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  <c:pt idx="24">
                  <c:v>26</c:v>
                </c:pt>
                <c:pt idx="25">
                  <c:v>27</c:v>
                </c:pt>
                <c:pt idx="26">
                  <c:v>28</c:v>
                </c:pt>
                <c:pt idx="27">
                  <c:v>29</c:v>
                </c:pt>
                <c:pt idx="28">
                  <c:v>30</c:v>
                </c:pt>
                <c:pt idx="29">
                  <c:v>31</c:v>
                </c:pt>
                <c:pt idx="30">
                  <c:v>32</c:v>
                </c:pt>
                <c:pt idx="31">
                  <c:v>33</c:v>
                </c:pt>
                <c:pt idx="32">
                  <c:v>34</c:v>
                </c:pt>
                <c:pt idx="33">
                  <c:v>35</c:v>
                </c:pt>
                <c:pt idx="34">
                  <c:v>36</c:v>
                </c:pt>
                <c:pt idx="35">
                  <c:v>37</c:v>
                </c:pt>
                <c:pt idx="36">
                  <c:v>38</c:v>
                </c:pt>
                <c:pt idx="37">
                  <c:v>39</c:v>
                </c:pt>
                <c:pt idx="38">
                  <c:v>40</c:v>
                </c:pt>
                <c:pt idx="39">
                  <c:v>41</c:v>
                </c:pt>
                <c:pt idx="40">
                  <c:v>42</c:v>
                </c:pt>
                <c:pt idx="41">
                  <c:v>43</c:v>
                </c:pt>
                <c:pt idx="42">
                  <c:v>44</c:v>
                </c:pt>
                <c:pt idx="43">
                  <c:v>45</c:v>
                </c:pt>
                <c:pt idx="44">
                  <c:v>46</c:v>
                </c:pt>
                <c:pt idx="45">
                  <c:v>47</c:v>
                </c:pt>
                <c:pt idx="46">
                  <c:v>48</c:v>
                </c:pt>
                <c:pt idx="47">
                  <c:v>49</c:v>
                </c:pt>
                <c:pt idx="48">
                  <c:v>50</c:v>
                </c:pt>
                <c:pt idx="49">
                  <c:v>51</c:v>
                </c:pt>
                <c:pt idx="50">
                  <c:v>52</c:v>
                </c:pt>
                <c:pt idx="51">
                  <c:v>53</c:v>
                </c:pt>
                <c:pt idx="52">
                  <c:v>54</c:v>
                </c:pt>
                <c:pt idx="53">
                  <c:v>55</c:v>
                </c:pt>
                <c:pt idx="54">
                  <c:v>56</c:v>
                </c:pt>
                <c:pt idx="55">
                  <c:v>57</c:v>
                </c:pt>
                <c:pt idx="56">
                  <c:v>58</c:v>
                </c:pt>
                <c:pt idx="57">
                  <c:v>59</c:v>
                </c:pt>
                <c:pt idx="58">
                  <c:v>60</c:v>
                </c:pt>
                <c:pt idx="59">
                  <c:v>61</c:v>
                </c:pt>
                <c:pt idx="60">
                  <c:v>62</c:v>
                </c:pt>
                <c:pt idx="61">
                  <c:v>63</c:v>
                </c:pt>
                <c:pt idx="62">
                  <c:v>64</c:v>
                </c:pt>
                <c:pt idx="63">
                  <c:v>65</c:v>
                </c:pt>
                <c:pt idx="64">
                  <c:v>66</c:v>
                </c:pt>
                <c:pt idx="65">
                  <c:v>67</c:v>
                </c:pt>
                <c:pt idx="66">
                  <c:v>68</c:v>
                </c:pt>
                <c:pt idx="67">
                  <c:v>69</c:v>
                </c:pt>
                <c:pt idx="68">
                  <c:v>70</c:v>
                </c:pt>
                <c:pt idx="69">
                  <c:v>71</c:v>
                </c:pt>
                <c:pt idx="70">
                  <c:v>72</c:v>
                </c:pt>
                <c:pt idx="71">
                  <c:v>73</c:v>
                </c:pt>
                <c:pt idx="72">
                  <c:v>74</c:v>
                </c:pt>
                <c:pt idx="73">
                  <c:v>75</c:v>
                </c:pt>
                <c:pt idx="74">
                  <c:v>76</c:v>
                </c:pt>
                <c:pt idx="75">
                  <c:v>77</c:v>
                </c:pt>
                <c:pt idx="76">
                  <c:v>78</c:v>
                </c:pt>
                <c:pt idx="77">
                  <c:v>79</c:v>
                </c:pt>
                <c:pt idx="78">
                  <c:v>80</c:v>
                </c:pt>
                <c:pt idx="79">
                  <c:v>81</c:v>
                </c:pt>
                <c:pt idx="80">
                  <c:v>82</c:v>
                </c:pt>
                <c:pt idx="81">
                  <c:v>83</c:v>
                </c:pt>
                <c:pt idx="82">
                  <c:v>84</c:v>
                </c:pt>
                <c:pt idx="83">
                  <c:v>85</c:v>
                </c:pt>
                <c:pt idx="84">
                  <c:v>86</c:v>
                </c:pt>
                <c:pt idx="85">
                  <c:v>87</c:v>
                </c:pt>
                <c:pt idx="86">
                  <c:v>88</c:v>
                </c:pt>
                <c:pt idx="87">
                  <c:v>89</c:v>
                </c:pt>
                <c:pt idx="88">
                  <c:v>90</c:v>
                </c:pt>
                <c:pt idx="89">
                  <c:v>91</c:v>
                </c:pt>
                <c:pt idx="90">
                  <c:v>92</c:v>
                </c:pt>
                <c:pt idx="91">
                  <c:v>93</c:v>
                </c:pt>
                <c:pt idx="92">
                  <c:v>94</c:v>
                </c:pt>
                <c:pt idx="93">
                  <c:v>95</c:v>
                </c:pt>
                <c:pt idx="94">
                  <c:v>96</c:v>
                </c:pt>
                <c:pt idx="95">
                  <c:v>97</c:v>
                </c:pt>
                <c:pt idx="96">
                  <c:v>98</c:v>
                </c:pt>
                <c:pt idx="97">
                  <c:v>99</c:v>
                </c:pt>
                <c:pt idx="98">
                  <c:v>100</c:v>
                </c:pt>
                <c:pt idx="99">
                  <c:v>101</c:v>
                </c:pt>
                <c:pt idx="100">
                  <c:v>102</c:v>
                </c:pt>
                <c:pt idx="101">
                  <c:v>103</c:v>
                </c:pt>
                <c:pt idx="102">
                  <c:v>104</c:v>
                </c:pt>
                <c:pt idx="103">
                  <c:v>105</c:v>
                </c:pt>
                <c:pt idx="104">
                  <c:v>106</c:v>
                </c:pt>
                <c:pt idx="105">
                  <c:v>107</c:v>
                </c:pt>
                <c:pt idx="106">
                  <c:v>108</c:v>
                </c:pt>
                <c:pt idx="107">
                  <c:v>109</c:v>
                </c:pt>
                <c:pt idx="108">
                  <c:v>110</c:v>
                </c:pt>
                <c:pt idx="109">
                  <c:v>111</c:v>
                </c:pt>
                <c:pt idx="110">
                  <c:v>112</c:v>
                </c:pt>
                <c:pt idx="111">
                  <c:v>113</c:v>
                </c:pt>
                <c:pt idx="112">
                  <c:v>114</c:v>
                </c:pt>
                <c:pt idx="113">
                  <c:v>115</c:v>
                </c:pt>
                <c:pt idx="114">
                  <c:v>116</c:v>
                </c:pt>
                <c:pt idx="115">
                  <c:v>117</c:v>
                </c:pt>
                <c:pt idx="116">
                  <c:v>118</c:v>
                </c:pt>
                <c:pt idx="117">
                  <c:v>119</c:v>
                </c:pt>
                <c:pt idx="118">
                  <c:v>120</c:v>
                </c:pt>
                <c:pt idx="119">
                  <c:v>121</c:v>
                </c:pt>
                <c:pt idx="120">
                  <c:v>122</c:v>
                </c:pt>
                <c:pt idx="121">
                  <c:v>123</c:v>
                </c:pt>
                <c:pt idx="122">
                  <c:v>124</c:v>
                </c:pt>
                <c:pt idx="123">
                  <c:v>125</c:v>
                </c:pt>
                <c:pt idx="124">
                  <c:v>126</c:v>
                </c:pt>
                <c:pt idx="125">
                  <c:v>127</c:v>
                </c:pt>
                <c:pt idx="126">
                  <c:v>128</c:v>
                </c:pt>
                <c:pt idx="127">
                  <c:v>129</c:v>
                </c:pt>
                <c:pt idx="128">
                  <c:v>130</c:v>
                </c:pt>
                <c:pt idx="129">
                  <c:v>131</c:v>
                </c:pt>
                <c:pt idx="130">
                  <c:v>132</c:v>
                </c:pt>
                <c:pt idx="131">
                  <c:v>133</c:v>
                </c:pt>
                <c:pt idx="132">
                  <c:v>134</c:v>
                </c:pt>
                <c:pt idx="133">
                  <c:v>135</c:v>
                </c:pt>
                <c:pt idx="134">
                  <c:v>136</c:v>
                </c:pt>
                <c:pt idx="135">
                  <c:v>137</c:v>
                </c:pt>
                <c:pt idx="136">
                  <c:v>138</c:v>
                </c:pt>
                <c:pt idx="137">
                  <c:v>139</c:v>
                </c:pt>
                <c:pt idx="138">
                  <c:v>140</c:v>
                </c:pt>
                <c:pt idx="139">
                  <c:v>141</c:v>
                </c:pt>
                <c:pt idx="140">
                  <c:v>142</c:v>
                </c:pt>
                <c:pt idx="141">
                  <c:v>143</c:v>
                </c:pt>
                <c:pt idx="142">
                  <c:v>144</c:v>
                </c:pt>
                <c:pt idx="143">
                  <c:v>145</c:v>
                </c:pt>
                <c:pt idx="144">
                  <c:v>146</c:v>
                </c:pt>
                <c:pt idx="145">
                  <c:v>147</c:v>
                </c:pt>
                <c:pt idx="146">
                  <c:v>148</c:v>
                </c:pt>
                <c:pt idx="147">
                  <c:v>149</c:v>
                </c:pt>
                <c:pt idx="148">
                  <c:v>150</c:v>
                </c:pt>
                <c:pt idx="149">
                  <c:v>151</c:v>
                </c:pt>
                <c:pt idx="150">
                  <c:v>152</c:v>
                </c:pt>
                <c:pt idx="151">
                  <c:v>153</c:v>
                </c:pt>
                <c:pt idx="152">
                  <c:v>154</c:v>
                </c:pt>
                <c:pt idx="153">
                  <c:v>155</c:v>
                </c:pt>
                <c:pt idx="154">
                  <c:v>156</c:v>
                </c:pt>
                <c:pt idx="155">
                  <c:v>157</c:v>
                </c:pt>
                <c:pt idx="156">
                  <c:v>158</c:v>
                </c:pt>
                <c:pt idx="157">
                  <c:v>159</c:v>
                </c:pt>
                <c:pt idx="158">
                  <c:v>160</c:v>
                </c:pt>
                <c:pt idx="159">
                  <c:v>161</c:v>
                </c:pt>
                <c:pt idx="160">
                  <c:v>162</c:v>
                </c:pt>
                <c:pt idx="161">
                  <c:v>163</c:v>
                </c:pt>
                <c:pt idx="162">
                  <c:v>164</c:v>
                </c:pt>
                <c:pt idx="163">
                  <c:v>165</c:v>
                </c:pt>
                <c:pt idx="164">
                  <c:v>166</c:v>
                </c:pt>
                <c:pt idx="165">
                  <c:v>167</c:v>
                </c:pt>
                <c:pt idx="166">
                  <c:v>168</c:v>
                </c:pt>
                <c:pt idx="167">
                  <c:v>169</c:v>
                </c:pt>
                <c:pt idx="168">
                  <c:v>170</c:v>
                </c:pt>
                <c:pt idx="169">
                  <c:v>171</c:v>
                </c:pt>
                <c:pt idx="170">
                  <c:v>172</c:v>
                </c:pt>
                <c:pt idx="171">
                  <c:v>173</c:v>
                </c:pt>
                <c:pt idx="172">
                  <c:v>174</c:v>
                </c:pt>
                <c:pt idx="173">
                  <c:v>175</c:v>
                </c:pt>
                <c:pt idx="174">
                  <c:v>176</c:v>
                </c:pt>
                <c:pt idx="175">
                  <c:v>177</c:v>
                </c:pt>
                <c:pt idx="176">
                  <c:v>178</c:v>
                </c:pt>
                <c:pt idx="177">
                  <c:v>179</c:v>
                </c:pt>
                <c:pt idx="178">
                  <c:v>180</c:v>
                </c:pt>
                <c:pt idx="179">
                  <c:v>181</c:v>
                </c:pt>
                <c:pt idx="180">
                  <c:v>182</c:v>
                </c:pt>
                <c:pt idx="181">
                  <c:v>183</c:v>
                </c:pt>
                <c:pt idx="182">
                  <c:v>184</c:v>
                </c:pt>
                <c:pt idx="183">
                  <c:v>185</c:v>
                </c:pt>
                <c:pt idx="184">
                  <c:v>186</c:v>
                </c:pt>
                <c:pt idx="185">
                  <c:v>187</c:v>
                </c:pt>
                <c:pt idx="186">
                  <c:v>188</c:v>
                </c:pt>
                <c:pt idx="187">
                  <c:v>189</c:v>
                </c:pt>
                <c:pt idx="188">
                  <c:v>190</c:v>
                </c:pt>
                <c:pt idx="189">
                  <c:v>191</c:v>
                </c:pt>
                <c:pt idx="190">
                  <c:v>192</c:v>
                </c:pt>
                <c:pt idx="191">
                  <c:v>193</c:v>
                </c:pt>
                <c:pt idx="192">
                  <c:v>194</c:v>
                </c:pt>
                <c:pt idx="193">
                  <c:v>195</c:v>
                </c:pt>
                <c:pt idx="194">
                  <c:v>196</c:v>
                </c:pt>
                <c:pt idx="195">
                  <c:v>197</c:v>
                </c:pt>
                <c:pt idx="196">
                  <c:v>198</c:v>
                </c:pt>
                <c:pt idx="197">
                  <c:v>199</c:v>
                </c:pt>
                <c:pt idx="198">
                  <c:v>200</c:v>
                </c:pt>
                <c:pt idx="199">
                  <c:v>201</c:v>
                </c:pt>
                <c:pt idx="200">
                  <c:v>202</c:v>
                </c:pt>
                <c:pt idx="201">
                  <c:v>203</c:v>
                </c:pt>
                <c:pt idx="202">
                  <c:v>204</c:v>
                </c:pt>
                <c:pt idx="203">
                  <c:v>205</c:v>
                </c:pt>
                <c:pt idx="204">
                  <c:v>206</c:v>
                </c:pt>
                <c:pt idx="205">
                  <c:v>207</c:v>
                </c:pt>
                <c:pt idx="206">
                  <c:v>208</c:v>
                </c:pt>
                <c:pt idx="207">
                  <c:v>209</c:v>
                </c:pt>
                <c:pt idx="208">
                  <c:v>210</c:v>
                </c:pt>
                <c:pt idx="209">
                  <c:v>211</c:v>
                </c:pt>
                <c:pt idx="210">
                  <c:v>212</c:v>
                </c:pt>
                <c:pt idx="211">
                  <c:v>213</c:v>
                </c:pt>
                <c:pt idx="212">
                  <c:v>214</c:v>
                </c:pt>
                <c:pt idx="213">
                  <c:v>215</c:v>
                </c:pt>
                <c:pt idx="214">
                  <c:v>216</c:v>
                </c:pt>
                <c:pt idx="215">
                  <c:v>217</c:v>
                </c:pt>
                <c:pt idx="216">
                  <c:v>218</c:v>
                </c:pt>
                <c:pt idx="217">
                  <c:v>219</c:v>
                </c:pt>
                <c:pt idx="218">
                  <c:v>220</c:v>
                </c:pt>
                <c:pt idx="219">
                  <c:v>221</c:v>
                </c:pt>
                <c:pt idx="220">
                  <c:v>222</c:v>
                </c:pt>
                <c:pt idx="221">
                  <c:v>223</c:v>
                </c:pt>
                <c:pt idx="222">
                  <c:v>224</c:v>
                </c:pt>
                <c:pt idx="223">
                  <c:v>225</c:v>
                </c:pt>
                <c:pt idx="224">
                  <c:v>226</c:v>
                </c:pt>
                <c:pt idx="225">
                  <c:v>227</c:v>
                </c:pt>
                <c:pt idx="226">
                  <c:v>228</c:v>
                </c:pt>
                <c:pt idx="227">
                  <c:v>229</c:v>
                </c:pt>
                <c:pt idx="228">
                  <c:v>230</c:v>
                </c:pt>
                <c:pt idx="229">
                  <c:v>231</c:v>
                </c:pt>
                <c:pt idx="230">
                  <c:v>232</c:v>
                </c:pt>
                <c:pt idx="231">
                  <c:v>233</c:v>
                </c:pt>
                <c:pt idx="232">
                  <c:v>234</c:v>
                </c:pt>
                <c:pt idx="233">
                  <c:v>235</c:v>
                </c:pt>
                <c:pt idx="234">
                  <c:v>236</c:v>
                </c:pt>
                <c:pt idx="235">
                  <c:v>237</c:v>
                </c:pt>
                <c:pt idx="236">
                  <c:v>238</c:v>
                </c:pt>
                <c:pt idx="237">
                  <c:v>239</c:v>
                </c:pt>
                <c:pt idx="238">
                  <c:v>240</c:v>
                </c:pt>
                <c:pt idx="239">
                  <c:v>241</c:v>
                </c:pt>
                <c:pt idx="240">
                  <c:v>242</c:v>
                </c:pt>
                <c:pt idx="241">
                  <c:v>243</c:v>
                </c:pt>
                <c:pt idx="242">
                  <c:v>244</c:v>
                </c:pt>
                <c:pt idx="243">
                  <c:v>245</c:v>
                </c:pt>
                <c:pt idx="244">
                  <c:v>246</c:v>
                </c:pt>
                <c:pt idx="245">
                  <c:v>247</c:v>
                </c:pt>
                <c:pt idx="246">
                  <c:v>248</c:v>
                </c:pt>
                <c:pt idx="247">
                  <c:v>249</c:v>
                </c:pt>
                <c:pt idx="248">
                  <c:v>250</c:v>
                </c:pt>
                <c:pt idx="249">
                  <c:v>251</c:v>
                </c:pt>
                <c:pt idx="250">
                  <c:v>252</c:v>
                </c:pt>
                <c:pt idx="251">
                  <c:v>253</c:v>
                </c:pt>
                <c:pt idx="252">
                  <c:v>254</c:v>
                </c:pt>
                <c:pt idx="253">
                  <c:v>255</c:v>
                </c:pt>
                <c:pt idx="254">
                  <c:v>256</c:v>
                </c:pt>
                <c:pt idx="255">
                  <c:v>257</c:v>
                </c:pt>
                <c:pt idx="256">
                  <c:v>258</c:v>
                </c:pt>
                <c:pt idx="257">
                  <c:v>259</c:v>
                </c:pt>
                <c:pt idx="258">
                  <c:v>260</c:v>
                </c:pt>
                <c:pt idx="259">
                  <c:v>261</c:v>
                </c:pt>
                <c:pt idx="260">
                  <c:v>262</c:v>
                </c:pt>
                <c:pt idx="261">
                  <c:v>263</c:v>
                </c:pt>
                <c:pt idx="262">
                  <c:v>264</c:v>
                </c:pt>
                <c:pt idx="263">
                  <c:v>265</c:v>
                </c:pt>
                <c:pt idx="264">
                  <c:v>266</c:v>
                </c:pt>
                <c:pt idx="265">
                  <c:v>267</c:v>
                </c:pt>
                <c:pt idx="266">
                  <c:v>268</c:v>
                </c:pt>
                <c:pt idx="267">
                  <c:v>269</c:v>
                </c:pt>
                <c:pt idx="268">
                  <c:v>270</c:v>
                </c:pt>
                <c:pt idx="269">
                  <c:v>271</c:v>
                </c:pt>
                <c:pt idx="270">
                  <c:v>272</c:v>
                </c:pt>
                <c:pt idx="271">
                  <c:v>273</c:v>
                </c:pt>
                <c:pt idx="272">
                  <c:v>274</c:v>
                </c:pt>
                <c:pt idx="273">
                  <c:v>275</c:v>
                </c:pt>
                <c:pt idx="274">
                  <c:v>276</c:v>
                </c:pt>
                <c:pt idx="275">
                  <c:v>277</c:v>
                </c:pt>
                <c:pt idx="276">
                  <c:v>278</c:v>
                </c:pt>
                <c:pt idx="277">
                  <c:v>279</c:v>
                </c:pt>
                <c:pt idx="278">
                  <c:v>280</c:v>
                </c:pt>
                <c:pt idx="279">
                  <c:v>281</c:v>
                </c:pt>
                <c:pt idx="280">
                  <c:v>282</c:v>
                </c:pt>
                <c:pt idx="281">
                  <c:v>283</c:v>
                </c:pt>
                <c:pt idx="282">
                  <c:v>284</c:v>
                </c:pt>
                <c:pt idx="283">
                  <c:v>285</c:v>
                </c:pt>
                <c:pt idx="284">
                  <c:v>286</c:v>
                </c:pt>
                <c:pt idx="285">
                  <c:v>287</c:v>
                </c:pt>
                <c:pt idx="286">
                  <c:v>288</c:v>
                </c:pt>
                <c:pt idx="287">
                  <c:v>289</c:v>
                </c:pt>
                <c:pt idx="288">
                  <c:v>290</c:v>
                </c:pt>
                <c:pt idx="289">
                  <c:v>291</c:v>
                </c:pt>
                <c:pt idx="290">
                  <c:v>292</c:v>
                </c:pt>
                <c:pt idx="291">
                  <c:v>293</c:v>
                </c:pt>
                <c:pt idx="292">
                  <c:v>294</c:v>
                </c:pt>
                <c:pt idx="293">
                  <c:v>295</c:v>
                </c:pt>
                <c:pt idx="294">
                  <c:v>296</c:v>
                </c:pt>
                <c:pt idx="295">
                  <c:v>297</c:v>
                </c:pt>
                <c:pt idx="296">
                  <c:v>298</c:v>
                </c:pt>
                <c:pt idx="297">
                  <c:v>299</c:v>
                </c:pt>
                <c:pt idx="298">
                  <c:v>300</c:v>
                </c:pt>
                <c:pt idx="299">
                  <c:v>301</c:v>
                </c:pt>
                <c:pt idx="300">
                  <c:v>302</c:v>
                </c:pt>
                <c:pt idx="301">
                  <c:v>303</c:v>
                </c:pt>
                <c:pt idx="302">
                  <c:v>304</c:v>
                </c:pt>
                <c:pt idx="303">
                  <c:v>305</c:v>
                </c:pt>
                <c:pt idx="304">
                  <c:v>306</c:v>
                </c:pt>
                <c:pt idx="305">
                  <c:v>307</c:v>
                </c:pt>
                <c:pt idx="306">
                  <c:v>308</c:v>
                </c:pt>
                <c:pt idx="307">
                  <c:v>309</c:v>
                </c:pt>
                <c:pt idx="308">
                  <c:v>310</c:v>
                </c:pt>
                <c:pt idx="309">
                  <c:v>311</c:v>
                </c:pt>
                <c:pt idx="310">
                  <c:v>312</c:v>
                </c:pt>
                <c:pt idx="311">
                  <c:v>313</c:v>
                </c:pt>
                <c:pt idx="312">
                  <c:v>314</c:v>
                </c:pt>
                <c:pt idx="313">
                  <c:v>315</c:v>
                </c:pt>
                <c:pt idx="314">
                  <c:v>316</c:v>
                </c:pt>
                <c:pt idx="315">
                  <c:v>317</c:v>
                </c:pt>
                <c:pt idx="316">
                  <c:v>318</c:v>
                </c:pt>
                <c:pt idx="317">
                  <c:v>319</c:v>
                </c:pt>
                <c:pt idx="318">
                  <c:v>320</c:v>
                </c:pt>
                <c:pt idx="319">
                  <c:v>321</c:v>
                </c:pt>
                <c:pt idx="320">
                  <c:v>322</c:v>
                </c:pt>
                <c:pt idx="321">
                  <c:v>323</c:v>
                </c:pt>
                <c:pt idx="322">
                  <c:v>324</c:v>
                </c:pt>
                <c:pt idx="323">
                  <c:v>325</c:v>
                </c:pt>
                <c:pt idx="324">
                  <c:v>326</c:v>
                </c:pt>
                <c:pt idx="325">
                  <c:v>327</c:v>
                </c:pt>
                <c:pt idx="326">
                  <c:v>328</c:v>
                </c:pt>
                <c:pt idx="327">
                  <c:v>329</c:v>
                </c:pt>
                <c:pt idx="328">
                  <c:v>330</c:v>
                </c:pt>
                <c:pt idx="329">
                  <c:v>331</c:v>
                </c:pt>
                <c:pt idx="330">
                  <c:v>332</c:v>
                </c:pt>
                <c:pt idx="331">
                  <c:v>333</c:v>
                </c:pt>
                <c:pt idx="332">
                  <c:v>334</c:v>
                </c:pt>
                <c:pt idx="333">
                  <c:v>335</c:v>
                </c:pt>
                <c:pt idx="334">
                  <c:v>336</c:v>
                </c:pt>
                <c:pt idx="335">
                  <c:v>337</c:v>
                </c:pt>
                <c:pt idx="336">
                  <c:v>338</c:v>
                </c:pt>
                <c:pt idx="337">
                  <c:v>339</c:v>
                </c:pt>
                <c:pt idx="338">
                  <c:v>340</c:v>
                </c:pt>
                <c:pt idx="339">
                  <c:v>341</c:v>
                </c:pt>
                <c:pt idx="340">
                  <c:v>342</c:v>
                </c:pt>
                <c:pt idx="341">
                  <c:v>343</c:v>
                </c:pt>
                <c:pt idx="342">
                  <c:v>344</c:v>
                </c:pt>
                <c:pt idx="343">
                  <c:v>345</c:v>
                </c:pt>
                <c:pt idx="344">
                  <c:v>346</c:v>
                </c:pt>
                <c:pt idx="345">
                  <c:v>347</c:v>
                </c:pt>
                <c:pt idx="346">
                  <c:v>348</c:v>
                </c:pt>
                <c:pt idx="347">
                  <c:v>349</c:v>
                </c:pt>
                <c:pt idx="348">
                  <c:v>350</c:v>
                </c:pt>
                <c:pt idx="349">
                  <c:v>351</c:v>
                </c:pt>
                <c:pt idx="350">
                  <c:v>352</c:v>
                </c:pt>
                <c:pt idx="351">
                  <c:v>353</c:v>
                </c:pt>
                <c:pt idx="352">
                  <c:v>354</c:v>
                </c:pt>
                <c:pt idx="353">
                  <c:v>355</c:v>
                </c:pt>
                <c:pt idx="354">
                  <c:v>356</c:v>
                </c:pt>
                <c:pt idx="355">
                  <c:v>357</c:v>
                </c:pt>
                <c:pt idx="356">
                  <c:v>358</c:v>
                </c:pt>
                <c:pt idx="357">
                  <c:v>359</c:v>
                </c:pt>
                <c:pt idx="358">
                  <c:v>360</c:v>
                </c:pt>
                <c:pt idx="359">
                  <c:v>361</c:v>
                </c:pt>
                <c:pt idx="360">
                  <c:v>362</c:v>
                </c:pt>
                <c:pt idx="361">
                  <c:v>363</c:v>
                </c:pt>
                <c:pt idx="362">
                  <c:v>364</c:v>
                </c:pt>
                <c:pt idx="363">
                  <c:v>365</c:v>
                </c:pt>
                <c:pt idx="364">
                  <c:v>366</c:v>
                </c:pt>
                <c:pt idx="365">
                  <c:v>367</c:v>
                </c:pt>
                <c:pt idx="366">
                  <c:v>368</c:v>
                </c:pt>
                <c:pt idx="367">
                  <c:v>369</c:v>
                </c:pt>
                <c:pt idx="368">
                  <c:v>370</c:v>
                </c:pt>
                <c:pt idx="369">
                  <c:v>371</c:v>
                </c:pt>
                <c:pt idx="370">
                  <c:v>372</c:v>
                </c:pt>
                <c:pt idx="371">
                  <c:v>373</c:v>
                </c:pt>
                <c:pt idx="372">
                  <c:v>374</c:v>
                </c:pt>
                <c:pt idx="373">
                  <c:v>375</c:v>
                </c:pt>
                <c:pt idx="374">
                  <c:v>376</c:v>
                </c:pt>
                <c:pt idx="375">
                  <c:v>377</c:v>
                </c:pt>
                <c:pt idx="376">
                  <c:v>378</c:v>
                </c:pt>
                <c:pt idx="377">
                  <c:v>379</c:v>
                </c:pt>
                <c:pt idx="378">
                  <c:v>380</c:v>
                </c:pt>
                <c:pt idx="379">
                  <c:v>381</c:v>
                </c:pt>
                <c:pt idx="380">
                  <c:v>382</c:v>
                </c:pt>
                <c:pt idx="381">
                  <c:v>383</c:v>
                </c:pt>
                <c:pt idx="382">
                  <c:v>384</c:v>
                </c:pt>
                <c:pt idx="383">
                  <c:v>385</c:v>
                </c:pt>
                <c:pt idx="384">
                  <c:v>386</c:v>
                </c:pt>
                <c:pt idx="385">
                  <c:v>387</c:v>
                </c:pt>
                <c:pt idx="386">
                  <c:v>388</c:v>
                </c:pt>
                <c:pt idx="387">
                  <c:v>389</c:v>
                </c:pt>
                <c:pt idx="388">
                  <c:v>390</c:v>
                </c:pt>
                <c:pt idx="389">
                  <c:v>391</c:v>
                </c:pt>
                <c:pt idx="390">
                  <c:v>392</c:v>
                </c:pt>
                <c:pt idx="391">
                  <c:v>393</c:v>
                </c:pt>
                <c:pt idx="392">
                  <c:v>394</c:v>
                </c:pt>
                <c:pt idx="393">
                  <c:v>395</c:v>
                </c:pt>
                <c:pt idx="394">
                  <c:v>396</c:v>
                </c:pt>
                <c:pt idx="395">
                  <c:v>397</c:v>
                </c:pt>
                <c:pt idx="396">
                  <c:v>398</c:v>
                </c:pt>
                <c:pt idx="397">
                  <c:v>399</c:v>
                </c:pt>
                <c:pt idx="398">
                  <c:v>400</c:v>
                </c:pt>
                <c:pt idx="399">
                  <c:v>401</c:v>
                </c:pt>
                <c:pt idx="400">
                  <c:v>402</c:v>
                </c:pt>
                <c:pt idx="401">
                  <c:v>403</c:v>
                </c:pt>
                <c:pt idx="402">
                  <c:v>404</c:v>
                </c:pt>
                <c:pt idx="403">
                  <c:v>405</c:v>
                </c:pt>
                <c:pt idx="404">
                  <c:v>406</c:v>
                </c:pt>
                <c:pt idx="405">
                  <c:v>407</c:v>
                </c:pt>
                <c:pt idx="406">
                  <c:v>408</c:v>
                </c:pt>
                <c:pt idx="407">
                  <c:v>409</c:v>
                </c:pt>
                <c:pt idx="408">
                  <c:v>410</c:v>
                </c:pt>
                <c:pt idx="409">
                  <c:v>411</c:v>
                </c:pt>
                <c:pt idx="410">
                  <c:v>412</c:v>
                </c:pt>
                <c:pt idx="411">
                  <c:v>413</c:v>
                </c:pt>
                <c:pt idx="412">
                  <c:v>414</c:v>
                </c:pt>
                <c:pt idx="413">
                  <c:v>415</c:v>
                </c:pt>
                <c:pt idx="414">
                  <c:v>416</c:v>
                </c:pt>
                <c:pt idx="415">
                  <c:v>417</c:v>
                </c:pt>
                <c:pt idx="416">
                  <c:v>418</c:v>
                </c:pt>
                <c:pt idx="417">
                  <c:v>419</c:v>
                </c:pt>
                <c:pt idx="418">
                  <c:v>420</c:v>
                </c:pt>
                <c:pt idx="419">
                  <c:v>421</c:v>
                </c:pt>
                <c:pt idx="420">
                  <c:v>422</c:v>
                </c:pt>
                <c:pt idx="421">
                  <c:v>423</c:v>
                </c:pt>
                <c:pt idx="422">
                  <c:v>424</c:v>
                </c:pt>
                <c:pt idx="423">
                  <c:v>425</c:v>
                </c:pt>
                <c:pt idx="424">
                  <c:v>426</c:v>
                </c:pt>
                <c:pt idx="425">
                  <c:v>427</c:v>
                </c:pt>
                <c:pt idx="426">
                  <c:v>428</c:v>
                </c:pt>
                <c:pt idx="427">
                  <c:v>429</c:v>
                </c:pt>
                <c:pt idx="428">
                  <c:v>430</c:v>
                </c:pt>
                <c:pt idx="429">
                  <c:v>431</c:v>
                </c:pt>
                <c:pt idx="430">
                  <c:v>432</c:v>
                </c:pt>
                <c:pt idx="431">
                  <c:v>433</c:v>
                </c:pt>
                <c:pt idx="432">
                  <c:v>434</c:v>
                </c:pt>
                <c:pt idx="433">
                  <c:v>435</c:v>
                </c:pt>
                <c:pt idx="434">
                  <c:v>436</c:v>
                </c:pt>
                <c:pt idx="435">
                  <c:v>437</c:v>
                </c:pt>
                <c:pt idx="436">
                  <c:v>438</c:v>
                </c:pt>
                <c:pt idx="437">
                  <c:v>439</c:v>
                </c:pt>
                <c:pt idx="438">
                  <c:v>440</c:v>
                </c:pt>
                <c:pt idx="439">
                  <c:v>441</c:v>
                </c:pt>
                <c:pt idx="440">
                  <c:v>442</c:v>
                </c:pt>
                <c:pt idx="441">
                  <c:v>443</c:v>
                </c:pt>
                <c:pt idx="442">
                  <c:v>444</c:v>
                </c:pt>
                <c:pt idx="443">
                  <c:v>445</c:v>
                </c:pt>
                <c:pt idx="444">
                  <c:v>446</c:v>
                </c:pt>
                <c:pt idx="445">
                  <c:v>447</c:v>
                </c:pt>
                <c:pt idx="446">
                  <c:v>448</c:v>
                </c:pt>
                <c:pt idx="447">
                  <c:v>449</c:v>
                </c:pt>
                <c:pt idx="448">
                  <c:v>450</c:v>
                </c:pt>
                <c:pt idx="449">
                  <c:v>451</c:v>
                </c:pt>
                <c:pt idx="450">
                  <c:v>452</c:v>
                </c:pt>
                <c:pt idx="451">
                  <c:v>453</c:v>
                </c:pt>
                <c:pt idx="452">
                  <c:v>454</c:v>
                </c:pt>
                <c:pt idx="453">
                  <c:v>455</c:v>
                </c:pt>
                <c:pt idx="454">
                  <c:v>456</c:v>
                </c:pt>
                <c:pt idx="455">
                  <c:v>457</c:v>
                </c:pt>
                <c:pt idx="456">
                  <c:v>458</c:v>
                </c:pt>
                <c:pt idx="457">
                  <c:v>459</c:v>
                </c:pt>
                <c:pt idx="458">
                  <c:v>460</c:v>
                </c:pt>
                <c:pt idx="459">
                  <c:v>461</c:v>
                </c:pt>
                <c:pt idx="460">
                  <c:v>462</c:v>
                </c:pt>
                <c:pt idx="461">
                  <c:v>463</c:v>
                </c:pt>
                <c:pt idx="462">
                  <c:v>464</c:v>
                </c:pt>
                <c:pt idx="463">
                  <c:v>465</c:v>
                </c:pt>
                <c:pt idx="464">
                  <c:v>466</c:v>
                </c:pt>
                <c:pt idx="465">
                  <c:v>467</c:v>
                </c:pt>
                <c:pt idx="466">
                  <c:v>468</c:v>
                </c:pt>
                <c:pt idx="467">
                  <c:v>469</c:v>
                </c:pt>
                <c:pt idx="468">
                  <c:v>470</c:v>
                </c:pt>
                <c:pt idx="469">
                  <c:v>471</c:v>
                </c:pt>
                <c:pt idx="470">
                  <c:v>472</c:v>
                </c:pt>
                <c:pt idx="471">
                  <c:v>473</c:v>
                </c:pt>
                <c:pt idx="472">
                  <c:v>474</c:v>
                </c:pt>
                <c:pt idx="473">
                  <c:v>475</c:v>
                </c:pt>
                <c:pt idx="474">
                  <c:v>476</c:v>
                </c:pt>
                <c:pt idx="475">
                  <c:v>477</c:v>
                </c:pt>
                <c:pt idx="476">
                  <c:v>478</c:v>
                </c:pt>
                <c:pt idx="477">
                  <c:v>479</c:v>
                </c:pt>
                <c:pt idx="478">
                  <c:v>480</c:v>
                </c:pt>
                <c:pt idx="479">
                  <c:v>481</c:v>
                </c:pt>
                <c:pt idx="480">
                  <c:v>482</c:v>
                </c:pt>
                <c:pt idx="481">
                  <c:v>483</c:v>
                </c:pt>
                <c:pt idx="482">
                  <c:v>484</c:v>
                </c:pt>
                <c:pt idx="483">
                  <c:v>485</c:v>
                </c:pt>
                <c:pt idx="484">
                  <c:v>486</c:v>
                </c:pt>
                <c:pt idx="485">
                  <c:v>487</c:v>
                </c:pt>
                <c:pt idx="486">
                  <c:v>488</c:v>
                </c:pt>
                <c:pt idx="487">
                  <c:v>489</c:v>
                </c:pt>
                <c:pt idx="488">
                  <c:v>490</c:v>
                </c:pt>
                <c:pt idx="489">
                  <c:v>491</c:v>
                </c:pt>
                <c:pt idx="490">
                  <c:v>492</c:v>
                </c:pt>
                <c:pt idx="491">
                  <c:v>493</c:v>
                </c:pt>
                <c:pt idx="492">
                  <c:v>494</c:v>
                </c:pt>
                <c:pt idx="493">
                  <c:v>495</c:v>
                </c:pt>
                <c:pt idx="494">
                  <c:v>496</c:v>
                </c:pt>
                <c:pt idx="495">
                  <c:v>497</c:v>
                </c:pt>
                <c:pt idx="496">
                  <c:v>498</c:v>
                </c:pt>
                <c:pt idx="497">
                  <c:v>499</c:v>
                </c:pt>
                <c:pt idx="498">
                  <c:v>500</c:v>
                </c:pt>
              </c:numCache>
            </c:numRef>
          </c:xVal>
          <c:yVal>
            <c:numRef>
              <c:f>'Phase Transition'!$D$3:$D$502</c:f>
              <c:numCache>
                <c:formatCode>0.000000</c:formatCode>
                <c:ptCount val="500"/>
                <c:pt idx="0">
                  <c:v>0.5</c:v>
                </c:pt>
                <c:pt idx="1">
                  <c:v>0.5</c:v>
                </c:pt>
                <c:pt idx="2">
                  <c:v>0.66666666666666663</c:v>
                </c:pt>
                <c:pt idx="3">
                  <c:v>0.5</c:v>
                </c:pt>
                <c:pt idx="4">
                  <c:v>1</c:v>
                </c:pt>
                <c:pt idx="5">
                  <c:v>0.5</c:v>
                </c:pt>
                <c:pt idx="6">
                  <c:v>1</c:v>
                </c:pt>
                <c:pt idx="7">
                  <c:v>1</c:v>
                </c:pt>
                <c:pt idx="8">
                  <c:v>1.5</c:v>
                </c:pt>
                <c:pt idx="9">
                  <c:v>0.5</c:v>
                </c:pt>
                <c:pt idx="10">
                  <c:v>1.3333333333333333</c:v>
                </c:pt>
                <c:pt idx="11">
                  <c:v>0.5</c:v>
                </c:pt>
                <c:pt idx="12">
                  <c:v>2</c:v>
                </c:pt>
                <c:pt idx="13">
                  <c:v>1.75</c:v>
                </c:pt>
                <c:pt idx="14">
                  <c:v>1.6</c:v>
                </c:pt>
                <c:pt idx="15">
                  <c:v>0.5</c:v>
                </c:pt>
                <c:pt idx="16">
                  <c:v>2</c:v>
                </c:pt>
                <c:pt idx="17">
                  <c:v>0.5</c:v>
                </c:pt>
                <c:pt idx="18">
                  <c:v>2</c:v>
                </c:pt>
                <c:pt idx="19">
                  <c:v>2.25</c:v>
                </c:pt>
                <c:pt idx="20">
                  <c:v>3</c:v>
                </c:pt>
                <c:pt idx="21">
                  <c:v>0.5</c:v>
                </c:pt>
                <c:pt idx="22">
                  <c:v>2</c:v>
                </c:pt>
                <c:pt idx="23">
                  <c:v>1.6666666666666667</c:v>
                </c:pt>
                <c:pt idx="24">
                  <c:v>3.5</c:v>
                </c:pt>
                <c:pt idx="25">
                  <c:v>2.25</c:v>
                </c:pt>
                <c:pt idx="26">
                  <c:v>2.6666666666666665</c:v>
                </c:pt>
                <c:pt idx="27">
                  <c:v>0.5</c:v>
                </c:pt>
                <c:pt idx="28">
                  <c:v>2.75</c:v>
                </c:pt>
                <c:pt idx="29">
                  <c:v>0.5</c:v>
                </c:pt>
                <c:pt idx="30">
                  <c:v>2.6666666666666665</c:v>
                </c:pt>
                <c:pt idx="31">
                  <c:v>3.25</c:v>
                </c:pt>
                <c:pt idx="32">
                  <c:v>4.5</c:v>
                </c:pt>
                <c:pt idx="33">
                  <c:v>2.75</c:v>
                </c:pt>
                <c:pt idx="34">
                  <c:v>2.6666666666666665</c:v>
                </c:pt>
                <c:pt idx="35">
                  <c:v>0.5</c:v>
                </c:pt>
                <c:pt idx="36">
                  <c:v>5</c:v>
                </c:pt>
                <c:pt idx="37">
                  <c:v>3.75</c:v>
                </c:pt>
                <c:pt idx="38">
                  <c:v>3</c:v>
                </c:pt>
                <c:pt idx="39">
                  <c:v>0.5</c:v>
                </c:pt>
                <c:pt idx="40">
                  <c:v>3.75</c:v>
                </c:pt>
                <c:pt idx="41">
                  <c:v>0.5</c:v>
                </c:pt>
                <c:pt idx="42">
                  <c:v>4</c:v>
                </c:pt>
                <c:pt idx="43">
                  <c:v>3.5</c:v>
                </c:pt>
                <c:pt idx="44">
                  <c:v>6</c:v>
                </c:pt>
                <c:pt idx="45">
                  <c:v>0.5</c:v>
                </c:pt>
                <c:pt idx="46">
                  <c:v>3.2</c:v>
                </c:pt>
                <c:pt idx="47">
                  <c:v>2.3333333333333335</c:v>
                </c:pt>
                <c:pt idx="48">
                  <c:v>5</c:v>
                </c:pt>
                <c:pt idx="49">
                  <c:v>4.75</c:v>
                </c:pt>
                <c:pt idx="50">
                  <c:v>4.666666666666667</c:v>
                </c:pt>
                <c:pt idx="51">
                  <c:v>0.5</c:v>
                </c:pt>
                <c:pt idx="52">
                  <c:v>4.5</c:v>
                </c:pt>
                <c:pt idx="53">
                  <c:v>3.75</c:v>
                </c:pt>
                <c:pt idx="54">
                  <c:v>4</c:v>
                </c:pt>
                <c:pt idx="55">
                  <c:v>5.25</c:v>
                </c:pt>
                <c:pt idx="56">
                  <c:v>7.5</c:v>
                </c:pt>
                <c:pt idx="57">
                  <c:v>0.5</c:v>
                </c:pt>
                <c:pt idx="58">
                  <c:v>3.6666666666666665</c:v>
                </c:pt>
                <c:pt idx="59">
                  <c:v>0.5</c:v>
                </c:pt>
                <c:pt idx="60">
                  <c:v>8</c:v>
                </c:pt>
                <c:pt idx="61">
                  <c:v>4.5</c:v>
                </c:pt>
                <c:pt idx="62">
                  <c:v>4.5714285714285712</c:v>
                </c:pt>
                <c:pt idx="63">
                  <c:v>4.25</c:v>
                </c:pt>
                <c:pt idx="64">
                  <c:v>5.75</c:v>
                </c:pt>
                <c:pt idx="65">
                  <c:v>0.5</c:v>
                </c:pt>
                <c:pt idx="66">
                  <c:v>6</c:v>
                </c:pt>
                <c:pt idx="67">
                  <c:v>6.25</c:v>
                </c:pt>
                <c:pt idx="68">
                  <c:v>5.75</c:v>
                </c:pt>
                <c:pt idx="69">
                  <c:v>0.5</c:v>
                </c:pt>
                <c:pt idx="70">
                  <c:v>4</c:v>
                </c:pt>
                <c:pt idx="71">
                  <c:v>0.5</c:v>
                </c:pt>
                <c:pt idx="72">
                  <c:v>9.5</c:v>
                </c:pt>
                <c:pt idx="73">
                  <c:v>5.833333333333333</c:v>
                </c:pt>
                <c:pt idx="74">
                  <c:v>6.666666666666667</c:v>
                </c:pt>
                <c:pt idx="75">
                  <c:v>4.25</c:v>
                </c:pt>
                <c:pt idx="76">
                  <c:v>6.75</c:v>
                </c:pt>
                <c:pt idx="77">
                  <c:v>0.5</c:v>
                </c:pt>
                <c:pt idx="78">
                  <c:v>4.8</c:v>
                </c:pt>
                <c:pt idx="79">
                  <c:v>5.4</c:v>
                </c:pt>
                <c:pt idx="80">
                  <c:v>10.5</c:v>
                </c:pt>
                <c:pt idx="81">
                  <c:v>0.5</c:v>
                </c:pt>
                <c:pt idx="82">
                  <c:v>5</c:v>
                </c:pt>
                <c:pt idx="83">
                  <c:v>5.25</c:v>
                </c:pt>
                <c:pt idx="84">
                  <c:v>11</c:v>
                </c:pt>
                <c:pt idx="85">
                  <c:v>7.75</c:v>
                </c:pt>
                <c:pt idx="86">
                  <c:v>6</c:v>
                </c:pt>
                <c:pt idx="87">
                  <c:v>0.5</c:v>
                </c:pt>
                <c:pt idx="88">
                  <c:v>5.5</c:v>
                </c:pt>
                <c:pt idx="89">
                  <c:v>4.75</c:v>
                </c:pt>
                <c:pt idx="90">
                  <c:v>8</c:v>
                </c:pt>
                <c:pt idx="91">
                  <c:v>8.25</c:v>
                </c:pt>
                <c:pt idx="92">
                  <c:v>12</c:v>
                </c:pt>
                <c:pt idx="93">
                  <c:v>5.75</c:v>
                </c:pt>
                <c:pt idx="94">
                  <c:v>5.333333333333333</c:v>
                </c:pt>
                <c:pt idx="95">
                  <c:v>0.5</c:v>
                </c:pt>
                <c:pt idx="96">
                  <c:v>9.3333333333333339</c:v>
                </c:pt>
                <c:pt idx="97">
                  <c:v>6.5</c:v>
                </c:pt>
                <c:pt idx="98">
                  <c:v>6.666666666666667</c:v>
                </c:pt>
                <c:pt idx="99">
                  <c:v>0.5</c:v>
                </c:pt>
                <c:pt idx="100">
                  <c:v>8.75</c:v>
                </c:pt>
                <c:pt idx="101">
                  <c:v>0.5</c:v>
                </c:pt>
                <c:pt idx="102">
                  <c:v>7</c:v>
                </c:pt>
                <c:pt idx="103">
                  <c:v>7.125</c:v>
                </c:pt>
                <c:pt idx="104">
                  <c:v>13.5</c:v>
                </c:pt>
                <c:pt idx="105">
                  <c:v>0.5</c:v>
                </c:pt>
                <c:pt idx="106">
                  <c:v>6</c:v>
                </c:pt>
                <c:pt idx="107">
                  <c:v>0.5</c:v>
                </c:pt>
                <c:pt idx="108">
                  <c:v>8.75</c:v>
                </c:pt>
                <c:pt idx="109">
                  <c:v>9.75</c:v>
                </c:pt>
                <c:pt idx="110">
                  <c:v>6.4</c:v>
                </c:pt>
                <c:pt idx="111">
                  <c:v>0.5</c:v>
                </c:pt>
                <c:pt idx="112">
                  <c:v>9.75</c:v>
                </c:pt>
                <c:pt idx="113">
                  <c:v>6.75</c:v>
                </c:pt>
                <c:pt idx="114">
                  <c:v>10</c:v>
                </c:pt>
                <c:pt idx="115">
                  <c:v>7.5</c:v>
                </c:pt>
                <c:pt idx="116">
                  <c:v>15</c:v>
                </c:pt>
                <c:pt idx="117">
                  <c:v>5.75</c:v>
                </c:pt>
                <c:pt idx="118">
                  <c:v>5.5</c:v>
                </c:pt>
                <c:pt idx="119">
                  <c:v>3.6666666666666665</c:v>
                </c:pt>
                <c:pt idx="120">
                  <c:v>15.5</c:v>
                </c:pt>
                <c:pt idx="121">
                  <c:v>10.75</c:v>
                </c:pt>
                <c:pt idx="122">
                  <c:v>10.666666666666666</c:v>
                </c:pt>
                <c:pt idx="123">
                  <c:v>6.25</c:v>
                </c:pt>
                <c:pt idx="124">
                  <c:v>7.5</c:v>
                </c:pt>
                <c:pt idx="125">
                  <c:v>0.5</c:v>
                </c:pt>
                <c:pt idx="126">
                  <c:v>8</c:v>
                </c:pt>
                <c:pt idx="127">
                  <c:v>11.25</c:v>
                </c:pt>
                <c:pt idx="128">
                  <c:v>10.25</c:v>
                </c:pt>
                <c:pt idx="129">
                  <c:v>0.5</c:v>
                </c:pt>
                <c:pt idx="130">
                  <c:v>7.666666666666667</c:v>
                </c:pt>
                <c:pt idx="131">
                  <c:v>6.25</c:v>
                </c:pt>
                <c:pt idx="132">
                  <c:v>17</c:v>
                </c:pt>
                <c:pt idx="133">
                  <c:v>7.875</c:v>
                </c:pt>
                <c:pt idx="134">
                  <c:v>9</c:v>
                </c:pt>
                <c:pt idx="135">
                  <c:v>0.5</c:v>
                </c:pt>
                <c:pt idx="136">
                  <c:v>11.75</c:v>
                </c:pt>
                <c:pt idx="137">
                  <c:v>0.5</c:v>
                </c:pt>
                <c:pt idx="138">
                  <c:v>7.666666666666667</c:v>
                </c:pt>
                <c:pt idx="139">
                  <c:v>12.25</c:v>
                </c:pt>
                <c:pt idx="140">
                  <c:v>18</c:v>
                </c:pt>
                <c:pt idx="141">
                  <c:v>5.75</c:v>
                </c:pt>
                <c:pt idx="142">
                  <c:v>6.4</c:v>
                </c:pt>
                <c:pt idx="143">
                  <c:v>8.25</c:v>
                </c:pt>
                <c:pt idx="144">
                  <c:v>18.5</c:v>
                </c:pt>
                <c:pt idx="145">
                  <c:v>10.5</c:v>
                </c:pt>
                <c:pt idx="146">
                  <c:v>12.666666666666666</c:v>
                </c:pt>
                <c:pt idx="147">
                  <c:v>0.5</c:v>
                </c:pt>
                <c:pt idx="148">
                  <c:v>9.1666666666666661</c:v>
                </c:pt>
                <c:pt idx="149">
                  <c:v>0.5</c:v>
                </c:pt>
                <c:pt idx="150">
                  <c:v>10</c:v>
                </c:pt>
                <c:pt idx="151">
                  <c:v>9.5</c:v>
                </c:pt>
                <c:pt idx="152">
                  <c:v>11.75</c:v>
                </c:pt>
                <c:pt idx="153">
                  <c:v>8.75</c:v>
                </c:pt>
                <c:pt idx="154">
                  <c:v>9</c:v>
                </c:pt>
                <c:pt idx="155">
                  <c:v>0.5</c:v>
                </c:pt>
                <c:pt idx="156">
                  <c:v>20</c:v>
                </c:pt>
                <c:pt idx="157">
                  <c:v>13.75</c:v>
                </c:pt>
                <c:pt idx="158">
                  <c:v>8</c:v>
                </c:pt>
                <c:pt idx="159">
                  <c:v>7.25</c:v>
                </c:pt>
                <c:pt idx="160">
                  <c:v>10.8</c:v>
                </c:pt>
                <c:pt idx="161">
                  <c:v>0.5</c:v>
                </c:pt>
                <c:pt idx="162">
                  <c:v>14</c:v>
                </c:pt>
                <c:pt idx="163">
                  <c:v>10.625</c:v>
                </c:pt>
                <c:pt idx="164">
                  <c:v>21</c:v>
                </c:pt>
                <c:pt idx="165">
                  <c:v>0.5</c:v>
                </c:pt>
                <c:pt idx="166">
                  <c:v>7.5</c:v>
                </c:pt>
                <c:pt idx="167">
                  <c:v>4.333333333333333</c:v>
                </c:pt>
                <c:pt idx="168">
                  <c:v>13.25</c:v>
                </c:pt>
                <c:pt idx="169">
                  <c:v>10.5</c:v>
                </c:pt>
                <c:pt idx="170">
                  <c:v>14.666666666666666</c:v>
                </c:pt>
                <c:pt idx="171">
                  <c:v>0.5</c:v>
                </c:pt>
                <c:pt idx="172">
                  <c:v>14.75</c:v>
                </c:pt>
                <c:pt idx="173">
                  <c:v>9.1666666666666661</c:v>
                </c:pt>
                <c:pt idx="174">
                  <c:v>9.6</c:v>
                </c:pt>
                <c:pt idx="175">
                  <c:v>15.25</c:v>
                </c:pt>
                <c:pt idx="176">
                  <c:v>22.5</c:v>
                </c:pt>
                <c:pt idx="177">
                  <c:v>0.5</c:v>
                </c:pt>
                <c:pt idx="178">
                  <c:v>7.333333333333333</c:v>
                </c:pt>
                <c:pt idx="179">
                  <c:v>0.5</c:v>
                </c:pt>
                <c:pt idx="180">
                  <c:v>13.75</c:v>
                </c:pt>
                <c:pt idx="181">
                  <c:v>15.75</c:v>
                </c:pt>
                <c:pt idx="182">
                  <c:v>12</c:v>
                </c:pt>
                <c:pt idx="183">
                  <c:v>10.25</c:v>
                </c:pt>
                <c:pt idx="184">
                  <c:v>15.75</c:v>
                </c:pt>
                <c:pt idx="185">
                  <c:v>6.75</c:v>
                </c:pt>
                <c:pt idx="186">
                  <c:v>16</c:v>
                </c:pt>
                <c:pt idx="187">
                  <c:v>10.125</c:v>
                </c:pt>
                <c:pt idx="188">
                  <c:v>14.75</c:v>
                </c:pt>
                <c:pt idx="189">
                  <c:v>0.5</c:v>
                </c:pt>
                <c:pt idx="190">
                  <c:v>9.1428571428571423</c:v>
                </c:pt>
                <c:pt idx="191">
                  <c:v>0.5</c:v>
                </c:pt>
                <c:pt idx="192">
                  <c:v>24.5</c:v>
                </c:pt>
                <c:pt idx="193">
                  <c:v>12.375</c:v>
                </c:pt>
                <c:pt idx="194">
                  <c:v>12.444444444444445</c:v>
                </c:pt>
                <c:pt idx="195">
                  <c:v>0.5</c:v>
                </c:pt>
                <c:pt idx="196">
                  <c:v>11.5</c:v>
                </c:pt>
                <c:pt idx="197">
                  <c:v>0.5</c:v>
                </c:pt>
                <c:pt idx="198">
                  <c:v>10</c:v>
                </c:pt>
                <c:pt idx="199">
                  <c:v>17.25</c:v>
                </c:pt>
                <c:pt idx="200">
                  <c:v>25.5</c:v>
                </c:pt>
                <c:pt idx="201">
                  <c:v>8.75</c:v>
                </c:pt>
                <c:pt idx="202">
                  <c:v>11.666666666666666</c:v>
                </c:pt>
                <c:pt idx="203">
                  <c:v>11.25</c:v>
                </c:pt>
                <c:pt idx="204">
                  <c:v>26</c:v>
                </c:pt>
                <c:pt idx="205">
                  <c:v>12.5</c:v>
                </c:pt>
                <c:pt idx="206">
                  <c:v>11.2</c:v>
                </c:pt>
                <c:pt idx="207">
                  <c:v>7.25</c:v>
                </c:pt>
                <c:pt idx="208">
                  <c:v>10.125</c:v>
                </c:pt>
                <c:pt idx="209">
                  <c:v>0.5</c:v>
                </c:pt>
                <c:pt idx="210">
                  <c:v>18</c:v>
                </c:pt>
                <c:pt idx="211">
                  <c:v>18.25</c:v>
                </c:pt>
                <c:pt idx="212">
                  <c:v>27</c:v>
                </c:pt>
                <c:pt idx="213">
                  <c:v>11.75</c:v>
                </c:pt>
                <c:pt idx="214">
                  <c:v>9</c:v>
                </c:pt>
                <c:pt idx="215">
                  <c:v>9.25</c:v>
                </c:pt>
                <c:pt idx="216">
                  <c:v>27.5</c:v>
                </c:pt>
                <c:pt idx="217">
                  <c:v>18.75</c:v>
                </c:pt>
                <c:pt idx="218">
                  <c:v>11.666666666666666</c:v>
                </c:pt>
                <c:pt idx="219">
                  <c:v>7.25</c:v>
                </c:pt>
                <c:pt idx="220">
                  <c:v>18.75</c:v>
                </c:pt>
                <c:pt idx="221">
                  <c:v>0.5</c:v>
                </c:pt>
                <c:pt idx="222">
                  <c:v>10.666666666666666</c:v>
                </c:pt>
                <c:pt idx="223">
                  <c:v>11.666666666666666</c:v>
                </c:pt>
                <c:pt idx="224">
                  <c:v>28.5</c:v>
                </c:pt>
                <c:pt idx="225">
                  <c:v>0.5</c:v>
                </c:pt>
                <c:pt idx="226">
                  <c:v>13</c:v>
                </c:pt>
                <c:pt idx="227">
                  <c:v>0.5</c:v>
                </c:pt>
                <c:pt idx="228">
                  <c:v>17.75</c:v>
                </c:pt>
                <c:pt idx="229">
                  <c:v>13.875</c:v>
                </c:pt>
                <c:pt idx="230">
                  <c:v>15</c:v>
                </c:pt>
                <c:pt idx="231">
                  <c:v>0.5</c:v>
                </c:pt>
                <c:pt idx="232">
                  <c:v>13.5</c:v>
                </c:pt>
                <c:pt idx="233">
                  <c:v>12.75</c:v>
                </c:pt>
                <c:pt idx="234">
                  <c:v>20</c:v>
                </c:pt>
                <c:pt idx="235">
                  <c:v>20.25</c:v>
                </c:pt>
                <c:pt idx="236">
                  <c:v>17.75</c:v>
                </c:pt>
                <c:pt idx="237">
                  <c:v>0.5</c:v>
                </c:pt>
                <c:pt idx="238">
                  <c:v>8.8000000000000007</c:v>
                </c:pt>
                <c:pt idx="239">
                  <c:v>0.5</c:v>
                </c:pt>
                <c:pt idx="240">
                  <c:v>22</c:v>
                </c:pt>
                <c:pt idx="241">
                  <c:v>13.5</c:v>
                </c:pt>
                <c:pt idx="242">
                  <c:v>20.666666666666668</c:v>
                </c:pt>
                <c:pt idx="243">
                  <c:v>12.833333333333334</c:v>
                </c:pt>
                <c:pt idx="244">
                  <c:v>20.75</c:v>
                </c:pt>
                <c:pt idx="245">
                  <c:v>7.75</c:v>
                </c:pt>
                <c:pt idx="246">
                  <c:v>16</c:v>
                </c:pt>
                <c:pt idx="247">
                  <c:v>21.25</c:v>
                </c:pt>
                <c:pt idx="248">
                  <c:v>18.75</c:v>
                </c:pt>
                <c:pt idx="249">
                  <c:v>0.5</c:v>
                </c:pt>
                <c:pt idx="250">
                  <c:v>10</c:v>
                </c:pt>
                <c:pt idx="251">
                  <c:v>8.25</c:v>
                </c:pt>
                <c:pt idx="252">
                  <c:v>32</c:v>
                </c:pt>
                <c:pt idx="253">
                  <c:v>15.875</c:v>
                </c:pt>
                <c:pt idx="254">
                  <c:v>14.222222222222221</c:v>
                </c:pt>
                <c:pt idx="255">
                  <c:v>0.5</c:v>
                </c:pt>
                <c:pt idx="256">
                  <c:v>21.75</c:v>
                </c:pt>
                <c:pt idx="257">
                  <c:v>10.75</c:v>
                </c:pt>
                <c:pt idx="258">
                  <c:v>13.666666666666666</c:v>
                </c:pt>
                <c:pt idx="259">
                  <c:v>15.5</c:v>
                </c:pt>
                <c:pt idx="260">
                  <c:v>33</c:v>
                </c:pt>
                <c:pt idx="261">
                  <c:v>0.5</c:v>
                </c:pt>
                <c:pt idx="262">
                  <c:v>11.5</c:v>
                </c:pt>
                <c:pt idx="263">
                  <c:v>14.25</c:v>
                </c:pt>
                <c:pt idx="264">
                  <c:v>19.75</c:v>
                </c:pt>
                <c:pt idx="265">
                  <c:v>22.75</c:v>
                </c:pt>
                <c:pt idx="266">
                  <c:v>22.666666666666668</c:v>
                </c:pt>
                <c:pt idx="267">
                  <c:v>0.5</c:v>
                </c:pt>
                <c:pt idx="268">
                  <c:v>12.375</c:v>
                </c:pt>
                <c:pt idx="269">
                  <c:v>0.5</c:v>
                </c:pt>
                <c:pt idx="270">
                  <c:v>14.4</c:v>
                </c:pt>
                <c:pt idx="271">
                  <c:v>16.125</c:v>
                </c:pt>
                <c:pt idx="272">
                  <c:v>34.5</c:v>
                </c:pt>
                <c:pt idx="273">
                  <c:v>12.5</c:v>
                </c:pt>
                <c:pt idx="274">
                  <c:v>15.666666666666666</c:v>
                </c:pt>
                <c:pt idx="275">
                  <c:v>0.5</c:v>
                </c:pt>
                <c:pt idx="276">
                  <c:v>35</c:v>
                </c:pt>
                <c:pt idx="277">
                  <c:v>16.5</c:v>
                </c:pt>
                <c:pt idx="278">
                  <c:v>11.5</c:v>
                </c:pt>
                <c:pt idx="279">
                  <c:v>0.5</c:v>
                </c:pt>
                <c:pt idx="280">
                  <c:v>23.75</c:v>
                </c:pt>
                <c:pt idx="281">
                  <c:v>0.5</c:v>
                </c:pt>
                <c:pt idx="282">
                  <c:v>24</c:v>
                </c:pt>
                <c:pt idx="283">
                  <c:v>17.625</c:v>
                </c:pt>
                <c:pt idx="284">
                  <c:v>20.75</c:v>
                </c:pt>
                <c:pt idx="285">
                  <c:v>11.75</c:v>
                </c:pt>
                <c:pt idx="286">
                  <c:v>10.666666666666666</c:v>
                </c:pt>
                <c:pt idx="287">
                  <c:v>5.666666666666667</c:v>
                </c:pt>
                <c:pt idx="288">
                  <c:v>22.25</c:v>
                </c:pt>
                <c:pt idx="289">
                  <c:v>24.75</c:v>
                </c:pt>
                <c:pt idx="290">
                  <c:v>24.666666666666668</c:v>
                </c:pt>
                <c:pt idx="291">
                  <c:v>0.5</c:v>
                </c:pt>
                <c:pt idx="292">
                  <c:v>17.5</c:v>
                </c:pt>
                <c:pt idx="293">
                  <c:v>15.75</c:v>
                </c:pt>
                <c:pt idx="294">
                  <c:v>19</c:v>
                </c:pt>
                <c:pt idx="295">
                  <c:v>14.625</c:v>
                </c:pt>
                <c:pt idx="296">
                  <c:v>37.5</c:v>
                </c:pt>
                <c:pt idx="297">
                  <c:v>8.75</c:v>
                </c:pt>
                <c:pt idx="298">
                  <c:v>12.222222222222221</c:v>
                </c:pt>
                <c:pt idx="299">
                  <c:v>12.25</c:v>
                </c:pt>
                <c:pt idx="300">
                  <c:v>38</c:v>
                </c:pt>
                <c:pt idx="301">
                  <c:v>25.75</c:v>
                </c:pt>
                <c:pt idx="302">
                  <c:v>16</c:v>
                </c:pt>
                <c:pt idx="303">
                  <c:v>16.25</c:v>
                </c:pt>
                <c:pt idx="304">
                  <c:v>17.5</c:v>
                </c:pt>
                <c:pt idx="305">
                  <c:v>0.5</c:v>
                </c:pt>
                <c:pt idx="306">
                  <c:v>15.666666666666666</c:v>
                </c:pt>
                <c:pt idx="307">
                  <c:v>26.25</c:v>
                </c:pt>
                <c:pt idx="308">
                  <c:v>23.75</c:v>
                </c:pt>
                <c:pt idx="309">
                  <c:v>0.5</c:v>
                </c:pt>
                <c:pt idx="310">
                  <c:v>13.5</c:v>
                </c:pt>
                <c:pt idx="311">
                  <c:v>0.5</c:v>
                </c:pt>
                <c:pt idx="312">
                  <c:v>39.5</c:v>
                </c:pt>
                <c:pt idx="313">
                  <c:v>14.25</c:v>
                </c:pt>
                <c:pt idx="314">
                  <c:v>26.666666666666668</c:v>
                </c:pt>
                <c:pt idx="315">
                  <c:v>0.5</c:v>
                </c:pt>
                <c:pt idx="316">
                  <c:v>26.75</c:v>
                </c:pt>
                <c:pt idx="317">
                  <c:v>9.75</c:v>
                </c:pt>
                <c:pt idx="318">
                  <c:v>13.714285714285714</c:v>
                </c:pt>
                <c:pt idx="319">
                  <c:v>27.25</c:v>
                </c:pt>
                <c:pt idx="320">
                  <c:v>23.75</c:v>
                </c:pt>
                <c:pt idx="321">
                  <c:v>8.75</c:v>
                </c:pt>
                <c:pt idx="322">
                  <c:v>14.4</c:v>
                </c:pt>
                <c:pt idx="323">
                  <c:v>14.166666666666666</c:v>
                </c:pt>
                <c:pt idx="324">
                  <c:v>41</c:v>
                </c:pt>
                <c:pt idx="325">
                  <c:v>27.75</c:v>
                </c:pt>
                <c:pt idx="326">
                  <c:v>21</c:v>
                </c:pt>
                <c:pt idx="327">
                  <c:v>13.25</c:v>
                </c:pt>
                <c:pt idx="328">
                  <c:v>15.625</c:v>
                </c:pt>
                <c:pt idx="329">
                  <c:v>0.5</c:v>
                </c:pt>
                <c:pt idx="330">
                  <c:v>28</c:v>
                </c:pt>
                <c:pt idx="331">
                  <c:v>19.5</c:v>
                </c:pt>
                <c:pt idx="332">
                  <c:v>42</c:v>
                </c:pt>
                <c:pt idx="333">
                  <c:v>17.75</c:v>
                </c:pt>
                <c:pt idx="334">
                  <c:v>12</c:v>
                </c:pt>
                <c:pt idx="335">
                  <c:v>0.5</c:v>
                </c:pt>
                <c:pt idx="336">
                  <c:v>30.333333333333332</c:v>
                </c:pt>
                <c:pt idx="337">
                  <c:v>28.75</c:v>
                </c:pt>
                <c:pt idx="338">
                  <c:v>17.666666666666668</c:v>
                </c:pt>
                <c:pt idx="339">
                  <c:v>10.25</c:v>
                </c:pt>
                <c:pt idx="340">
                  <c:v>19.5</c:v>
                </c:pt>
                <c:pt idx="341">
                  <c:v>12.25</c:v>
                </c:pt>
                <c:pt idx="342">
                  <c:v>22</c:v>
                </c:pt>
                <c:pt idx="343">
                  <c:v>21.125</c:v>
                </c:pt>
                <c:pt idx="344">
                  <c:v>43.5</c:v>
                </c:pt>
                <c:pt idx="345">
                  <c:v>0.5</c:v>
                </c:pt>
                <c:pt idx="346">
                  <c:v>19.666666666666668</c:v>
                </c:pt>
                <c:pt idx="347">
                  <c:v>0.5</c:v>
                </c:pt>
                <c:pt idx="348">
                  <c:v>19.166666666666668</c:v>
                </c:pt>
                <c:pt idx="349">
                  <c:v>16.875</c:v>
                </c:pt>
                <c:pt idx="350">
                  <c:v>16</c:v>
                </c:pt>
                <c:pt idx="351">
                  <c:v>0.5</c:v>
                </c:pt>
                <c:pt idx="352">
                  <c:v>29.75</c:v>
                </c:pt>
                <c:pt idx="353">
                  <c:v>18.75</c:v>
                </c:pt>
                <c:pt idx="354">
                  <c:v>30</c:v>
                </c:pt>
                <c:pt idx="355">
                  <c:v>20.625</c:v>
                </c:pt>
                <c:pt idx="356">
                  <c:v>45</c:v>
                </c:pt>
                <c:pt idx="357">
                  <c:v>0.5</c:v>
                </c:pt>
                <c:pt idx="358">
                  <c:v>11</c:v>
                </c:pt>
                <c:pt idx="359">
                  <c:v>6.333333333333333</c:v>
                </c:pt>
                <c:pt idx="360">
                  <c:v>45.5</c:v>
                </c:pt>
                <c:pt idx="361">
                  <c:v>23.833333333333332</c:v>
                </c:pt>
                <c:pt idx="362">
                  <c:v>18.333333333333332</c:v>
                </c:pt>
                <c:pt idx="363">
                  <c:v>19.25</c:v>
                </c:pt>
                <c:pt idx="364">
                  <c:v>30.75</c:v>
                </c:pt>
                <c:pt idx="365">
                  <c:v>0.5</c:v>
                </c:pt>
                <c:pt idx="366">
                  <c:v>19.2</c:v>
                </c:pt>
                <c:pt idx="367">
                  <c:v>21.5</c:v>
                </c:pt>
                <c:pt idx="368">
                  <c:v>28.25</c:v>
                </c:pt>
                <c:pt idx="369">
                  <c:v>14.75</c:v>
                </c:pt>
                <c:pt idx="370">
                  <c:v>21</c:v>
                </c:pt>
                <c:pt idx="371">
                  <c:v>0.5</c:v>
                </c:pt>
                <c:pt idx="372">
                  <c:v>26.75</c:v>
                </c:pt>
                <c:pt idx="373">
                  <c:v>21.875</c:v>
                </c:pt>
                <c:pt idx="374">
                  <c:v>24</c:v>
                </c:pt>
                <c:pt idx="375">
                  <c:v>10.25</c:v>
                </c:pt>
                <c:pt idx="376">
                  <c:v>16.875</c:v>
                </c:pt>
                <c:pt idx="377">
                  <c:v>0.5</c:v>
                </c:pt>
                <c:pt idx="378">
                  <c:v>19.666666666666668</c:v>
                </c:pt>
                <c:pt idx="379">
                  <c:v>32.25</c:v>
                </c:pt>
                <c:pt idx="380">
                  <c:v>48</c:v>
                </c:pt>
                <c:pt idx="381">
                  <c:v>0.5</c:v>
                </c:pt>
                <c:pt idx="382">
                  <c:v>16</c:v>
                </c:pt>
                <c:pt idx="383">
                  <c:v>18.125</c:v>
                </c:pt>
                <c:pt idx="384">
                  <c:v>48.5</c:v>
                </c:pt>
                <c:pt idx="385">
                  <c:v>22.5</c:v>
                </c:pt>
                <c:pt idx="386">
                  <c:v>32.666666666666664</c:v>
                </c:pt>
                <c:pt idx="387">
                  <c:v>0.5</c:v>
                </c:pt>
                <c:pt idx="388">
                  <c:v>18.375</c:v>
                </c:pt>
                <c:pt idx="389">
                  <c:v>9.75</c:v>
                </c:pt>
                <c:pt idx="390">
                  <c:v>18.666666666666668</c:v>
                </c:pt>
                <c:pt idx="391">
                  <c:v>33.25</c:v>
                </c:pt>
                <c:pt idx="392">
                  <c:v>49.5</c:v>
                </c:pt>
                <c:pt idx="393">
                  <c:v>20.75</c:v>
                </c:pt>
                <c:pt idx="394">
                  <c:v>15.333333333333334</c:v>
                </c:pt>
                <c:pt idx="395">
                  <c:v>0.5</c:v>
                </c:pt>
                <c:pt idx="396">
                  <c:v>50</c:v>
                </c:pt>
                <c:pt idx="397">
                  <c:v>22.875</c:v>
                </c:pt>
                <c:pt idx="398">
                  <c:v>16</c:v>
                </c:pt>
                <c:pt idx="399">
                  <c:v>0.5</c:v>
                </c:pt>
                <c:pt idx="400">
                  <c:v>33.75</c:v>
                </c:pt>
                <c:pt idx="401">
                  <c:v>10.75</c:v>
                </c:pt>
                <c:pt idx="402">
                  <c:v>34</c:v>
                </c:pt>
                <c:pt idx="403">
                  <c:v>18.899999999999999</c:v>
                </c:pt>
                <c:pt idx="404">
                  <c:v>29.75</c:v>
                </c:pt>
                <c:pt idx="405">
                  <c:v>11.75</c:v>
                </c:pt>
                <c:pt idx="406">
                  <c:v>17.5</c:v>
                </c:pt>
                <c:pt idx="407">
                  <c:v>0.5</c:v>
                </c:pt>
                <c:pt idx="408">
                  <c:v>31.25</c:v>
                </c:pt>
                <c:pt idx="409">
                  <c:v>34.75</c:v>
                </c:pt>
                <c:pt idx="410">
                  <c:v>34.666666666666664</c:v>
                </c:pt>
                <c:pt idx="411">
                  <c:v>16.25</c:v>
                </c:pt>
                <c:pt idx="412">
                  <c:v>23.5</c:v>
                </c:pt>
                <c:pt idx="413">
                  <c:v>21.75</c:v>
                </c:pt>
                <c:pt idx="414">
                  <c:v>18.666666666666668</c:v>
                </c:pt>
                <c:pt idx="415">
                  <c:v>35.25</c:v>
                </c:pt>
                <c:pt idx="416">
                  <c:v>29.75</c:v>
                </c:pt>
                <c:pt idx="417">
                  <c:v>0.5</c:v>
                </c:pt>
                <c:pt idx="418">
                  <c:v>13.5</c:v>
                </c:pt>
                <c:pt idx="419">
                  <c:v>0.5</c:v>
                </c:pt>
                <c:pt idx="420">
                  <c:v>53</c:v>
                </c:pt>
                <c:pt idx="421">
                  <c:v>24.5</c:v>
                </c:pt>
                <c:pt idx="422">
                  <c:v>27</c:v>
                </c:pt>
                <c:pt idx="423">
                  <c:v>17.5</c:v>
                </c:pt>
                <c:pt idx="424">
                  <c:v>35.75</c:v>
                </c:pt>
                <c:pt idx="425">
                  <c:v>16.75</c:v>
                </c:pt>
                <c:pt idx="426">
                  <c:v>36</c:v>
                </c:pt>
                <c:pt idx="427">
                  <c:v>23.625</c:v>
                </c:pt>
                <c:pt idx="428">
                  <c:v>32.75</c:v>
                </c:pt>
                <c:pt idx="429">
                  <c:v>0.5</c:v>
                </c:pt>
                <c:pt idx="430">
                  <c:v>14.4</c:v>
                </c:pt>
                <c:pt idx="431">
                  <c:v>0.5</c:v>
                </c:pt>
                <c:pt idx="432">
                  <c:v>31.75</c:v>
                </c:pt>
                <c:pt idx="433">
                  <c:v>26.375</c:v>
                </c:pt>
                <c:pt idx="434">
                  <c:v>36.666666666666664</c:v>
                </c:pt>
                <c:pt idx="435">
                  <c:v>10.25</c:v>
                </c:pt>
                <c:pt idx="436">
                  <c:v>36.75</c:v>
                </c:pt>
                <c:pt idx="437">
                  <c:v>0.5</c:v>
                </c:pt>
                <c:pt idx="438">
                  <c:v>17.5</c:v>
                </c:pt>
                <c:pt idx="439">
                  <c:v>21</c:v>
                </c:pt>
                <c:pt idx="440">
                  <c:v>31.25</c:v>
                </c:pt>
                <c:pt idx="441">
                  <c:v>0.5</c:v>
                </c:pt>
                <c:pt idx="442">
                  <c:v>25</c:v>
                </c:pt>
                <c:pt idx="443">
                  <c:v>23.25</c:v>
                </c:pt>
                <c:pt idx="444">
                  <c:v>56</c:v>
                </c:pt>
                <c:pt idx="445">
                  <c:v>37.75</c:v>
                </c:pt>
                <c:pt idx="446">
                  <c:v>18.285714285714285</c:v>
                </c:pt>
                <c:pt idx="447">
                  <c:v>0.5</c:v>
                </c:pt>
                <c:pt idx="448">
                  <c:v>18.333333333333332</c:v>
                </c:pt>
                <c:pt idx="449">
                  <c:v>12.75</c:v>
                </c:pt>
                <c:pt idx="450">
                  <c:v>38</c:v>
                </c:pt>
                <c:pt idx="451">
                  <c:v>38.25</c:v>
                </c:pt>
                <c:pt idx="452">
                  <c:v>57</c:v>
                </c:pt>
                <c:pt idx="453">
                  <c:v>20.875</c:v>
                </c:pt>
                <c:pt idx="454">
                  <c:v>19.5</c:v>
                </c:pt>
                <c:pt idx="455">
                  <c:v>0.5</c:v>
                </c:pt>
                <c:pt idx="456">
                  <c:v>57.5</c:v>
                </c:pt>
                <c:pt idx="457">
                  <c:v>21.375</c:v>
                </c:pt>
                <c:pt idx="458">
                  <c:v>23.666666666666668</c:v>
                </c:pt>
                <c:pt idx="459">
                  <c:v>0.5</c:v>
                </c:pt>
                <c:pt idx="460">
                  <c:v>21.375</c:v>
                </c:pt>
                <c:pt idx="461">
                  <c:v>0.5</c:v>
                </c:pt>
                <c:pt idx="462">
                  <c:v>24</c:v>
                </c:pt>
                <c:pt idx="463">
                  <c:v>28.125</c:v>
                </c:pt>
                <c:pt idx="464">
                  <c:v>58.5</c:v>
                </c:pt>
                <c:pt idx="465">
                  <c:v>0.5</c:v>
                </c:pt>
                <c:pt idx="466">
                  <c:v>18</c:v>
                </c:pt>
                <c:pt idx="467">
                  <c:v>18.25</c:v>
                </c:pt>
                <c:pt idx="468">
                  <c:v>35.75</c:v>
                </c:pt>
                <c:pt idx="469">
                  <c:v>39.75</c:v>
                </c:pt>
                <c:pt idx="470">
                  <c:v>30</c:v>
                </c:pt>
                <c:pt idx="471">
                  <c:v>13.25</c:v>
                </c:pt>
                <c:pt idx="472">
                  <c:v>39.75</c:v>
                </c:pt>
                <c:pt idx="473">
                  <c:v>19.166666666666668</c:v>
                </c:pt>
                <c:pt idx="474">
                  <c:v>23.666666666666668</c:v>
                </c:pt>
                <c:pt idx="475">
                  <c:v>27.5</c:v>
                </c:pt>
                <c:pt idx="476">
                  <c:v>60</c:v>
                </c:pt>
                <c:pt idx="477">
                  <c:v>0.5</c:v>
                </c:pt>
                <c:pt idx="478">
                  <c:v>14.666666666666666</c:v>
                </c:pt>
                <c:pt idx="479">
                  <c:v>12.25</c:v>
                </c:pt>
                <c:pt idx="480">
                  <c:v>60.5</c:v>
                </c:pt>
                <c:pt idx="481">
                  <c:v>27.375</c:v>
                </c:pt>
                <c:pt idx="482">
                  <c:v>29.333333333333332</c:v>
                </c:pt>
                <c:pt idx="483">
                  <c:v>25.25</c:v>
                </c:pt>
                <c:pt idx="484">
                  <c:v>27</c:v>
                </c:pt>
                <c:pt idx="485">
                  <c:v>0.5</c:v>
                </c:pt>
                <c:pt idx="486">
                  <c:v>31</c:v>
                </c:pt>
                <c:pt idx="487">
                  <c:v>41.25</c:v>
                </c:pt>
                <c:pt idx="488">
                  <c:v>26.833333333333332</c:v>
                </c:pt>
                <c:pt idx="489">
                  <c:v>0.5</c:v>
                </c:pt>
                <c:pt idx="490">
                  <c:v>27.666666666666668</c:v>
                </c:pt>
                <c:pt idx="491">
                  <c:v>11.25</c:v>
                </c:pt>
                <c:pt idx="492">
                  <c:v>34.75</c:v>
                </c:pt>
                <c:pt idx="493">
                  <c:v>21.25</c:v>
                </c:pt>
                <c:pt idx="494">
                  <c:v>25.6</c:v>
                </c:pt>
                <c:pt idx="495">
                  <c:v>19.25</c:v>
                </c:pt>
                <c:pt idx="496">
                  <c:v>41.75</c:v>
                </c:pt>
                <c:pt idx="497">
                  <c:v>0.5</c:v>
                </c:pt>
                <c:pt idx="498">
                  <c:v>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312-4C43-8071-6126BCD377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AU"/>
                  <a:t>n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  <c:max val="8"/>
          <c:min val="0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AU"/>
                  <a:t>r(n)</a:t>
                </a:r>
              </a:p>
            </c:rich>
          </c:tx>
          <c:overlay val="1"/>
        </c:title>
        <c:numFmt formatCode="0.000000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en-AU"/>
              <a:t>Neuron Activation Levels (live)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cat>
            <c:strRef>
              <c:f>'Neural Substrate'!$B$11:$AY$11</c:f>
              <c:strCache>
                <c:ptCount val="50"/>
                <c:pt idx="0">
                  <c:v>I0</c:v>
                </c:pt>
                <c:pt idx="1">
                  <c:v>I1</c:v>
                </c:pt>
                <c:pt idx="2">
                  <c:v>I2</c:v>
                </c:pt>
                <c:pt idx="3">
                  <c:v>I3</c:v>
                </c:pt>
                <c:pt idx="4">
                  <c:v>I4</c:v>
                </c:pt>
                <c:pt idx="5">
                  <c:v>I5</c:v>
                </c:pt>
                <c:pt idx="6">
                  <c:v>I6</c:v>
                </c:pt>
                <c:pt idx="7">
                  <c:v>I7</c:v>
                </c:pt>
                <c:pt idx="8">
                  <c:v>I8</c:v>
                </c:pt>
                <c:pt idx="9">
                  <c:v>I9</c:v>
                </c:pt>
                <c:pt idx="10">
                  <c:v>H0</c:v>
                </c:pt>
                <c:pt idx="11">
                  <c:v>H1</c:v>
                </c:pt>
                <c:pt idx="12">
                  <c:v>H2</c:v>
                </c:pt>
                <c:pt idx="13">
                  <c:v>H3</c:v>
                </c:pt>
                <c:pt idx="14">
                  <c:v>H4</c:v>
                </c:pt>
                <c:pt idx="15">
                  <c:v>H5</c:v>
                </c:pt>
                <c:pt idx="16">
                  <c:v>H6</c:v>
                </c:pt>
                <c:pt idx="17">
                  <c:v>H7</c:v>
                </c:pt>
                <c:pt idx="18">
                  <c:v>H8</c:v>
                </c:pt>
                <c:pt idx="19">
                  <c:v>H9</c:v>
                </c:pt>
                <c:pt idx="20">
                  <c:v>H10</c:v>
                </c:pt>
                <c:pt idx="21">
                  <c:v>H11</c:v>
                </c:pt>
                <c:pt idx="22">
                  <c:v>H12</c:v>
                </c:pt>
                <c:pt idx="23">
                  <c:v>H13</c:v>
                </c:pt>
                <c:pt idx="24">
                  <c:v>H14</c:v>
                </c:pt>
                <c:pt idx="25">
                  <c:v>H15</c:v>
                </c:pt>
                <c:pt idx="26">
                  <c:v>H16</c:v>
                </c:pt>
                <c:pt idx="27">
                  <c:v>H17</c:v>
                </c:pt>
                <c:pt idx="28">
                  <c:v>H18</c:v>
                </c:pt>
                <c:pt idx="29">
                  <c:v>H19</c:v>
                </c:pt>
                <c:pt idx="30">
                  <c:v>H20</c:v>
                </c:pt>
                <c:pt idx="31">
                  <c:v>H21</c:v>
                </c:pt>
                <c:pt idx="32">
                  <c:v>H22</c:v>
                </c:pt>
                <c:pt idx="33">
                  <c:v>H23</c:v>
                </c:pt>
                <c:pt idx="34">
                  <c:v>H24</c:v>
                </c:pt>
                <c:pt idx="35">
                  <c:v>H25</c:v>
                </c:pt>
                <c:pt idx="36">
                  <c:v>H26</c:v>
                </c:pt>
                <c:pt idx="37">
                  <c:v>H27</c:v>
                </c:pt>
                <c:pt idx="38">
                  <c:v>H28</c:v>
                </c:pt>
                <c:pt idx="39">
                  <c:v>H29</c:v>
                </c:pt>
                <c:pt idx="40">
                  <c:v>O0</c:v>
                </c:pt>
                <c:pt idx="41">
                  <c:v>O1</c:v>
                </c:pt>
                <c:pt idx="42">
                  <c:v>O2</c:v>
                </c:pt>
                <c:pt idx="43">
                  <c:v>O3</c:v>
                </c:pt>
                <c:pt idx="44">
                  <c:v>O4</c:v>
                </c:pt>
                <c:pt idx="45">
                  <c:v>O5</c:v>
                </c:pt>
                <c:pt idx="46">
                  <c:v>O6</c:v>
                </c:pt>
                <c:pt idx="47">
                  <c:v>O7</c:v>
                </c:pt>
                <c:pt idx="48">
                  <c:v>O8</c:v>
                </c:pt>
                <c:pt idx="49">
                  <c:v>O9</c:v>
                </c:pt>
              </c:strCache>
            </c:strRef>
          </c:cat>
          <c:val>
            <c:numRef>
              <c:f>'Neural Substrate'!$B$7:$AY$7</c:f>
              <c:numCache>
                <c:formatCode>0.00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AC-440F-92B3-0143BF867F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"/>
          <c:min val="0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AU"/>
                  <a:t>Activation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Delta chi2 (NFW - Core) per Galaxy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cat>
            <c:strRef>
              <c:f>'SPARC Galaxy Analysis'!$A$5:$A$179</c:f>
              <c:strCache>
                <c:ptCount val="175"/>
                <c:pt idx="0">
                  <c:v>CamB</c:v>
                </c:pt>
                <c:pt idx="1">
                  <c:v>D512-2</c:v>
                </c:pt>
                <c:pt idx="2">
                  <c:v>D564-8</c:v>
                </c:pt>
                <c:pt idx="3">
                  <c:v>D631-7</c:v>
                </c:pt>
                <c:pt idx="4">
                  <c:v>DDO064</c:v>
                </c:pt>
                <c:pt idx="5">
                  <c:v>DDO154</c:v>
                </c:pt>
                <c:pt idx="6">
                  <c:v>DDO161</c:v>
                </c:pt>
                <c:pt idx="7">
                  <c:v>DDO168</c:v>
                </c:pt>
                <c:pt idx="8">
                  <c:v>DDO170</c:v>
                </c:pt>
                <c:pt idx="9">
                  <c:v>ESO079-G014</c:v>
                </c:pt>
                <c:pt idx="10">
                  <c:v>ESO116-G012</c:v>
                </c:pt>
                <c:pt idx="11">
                  <c:v>ESO444-G084</c:v>
                </c:pt>
                <c:pt idx="12">
                  <c:v>ESO563-G021</c:v>
                </c:pt>
                <c:pt idx="13">
                  <c:v>F561-1</c:v>
                </c:pt>
                <c:pt idx="14">
                  <c:v>F563-1</c:v>
                </c:pt>
                <c:pt idx="15">
                  <c:v>F563-V1</c:v>
                </c:pt>
                <c:pt idx="16">
                  <c:v>F563-V2</c:v>
                </c:pt>
                <c:pt idx="17">
                  <c:v>F565-V2</c:v>
                </c:pt>
                <c:pt idx="18">
                  <c:v>F567-2</c:v>
                </c:pt>
                <c:pt idx="19">
                  <c:v>F568-1</c:v>
                </c:pt>
                <c:pt idx="20">
                  <c:v>F568-3</c:v>
                </c:pt>
                <c:pt idx="21">
                  <c:v>F568-V1</c:v>
                </c:pt>
                <c:pt idx="22">
                  <c:v>F571-8</c:v>
                </c:pt>
                <c:pt idx="23">
                  <c:v>F571-V1</c:v>
                </c:pt>
                <c:pt idx="24">
                  <c:v>F574-1</c:v>
                </c:pt>
                <c:pt idx="25">
                  <c:v>F574-2</c:v>
                </c:pt>
                <c:pt idx="26">
                  <c:v>F579-V1</c:v>
                </c:pt>
                <c:pt idx="27">
                  <c:v>F583-1</c:v>
                </c:pt>
                <c:pt idx="28">
                  <c:v>F583-4</c:v>
                </c:pt>
                <c:pt idx="29">
                  <c:v>IC2574</c:v>
                </c:pt>
                <c:pt idx="30">
                  <c:v>IC4202</c:v>
                </c:pt>
                <c:pt idx="31">
                  <c:v>KK98-251</c:v>
                </c:pt>
                <c:pt idx="32">
                  <c:v>NGC0024</c:v>
                </c:pt>
                <c:pt idx="33">
                  <c:v>NGC0055</c:v>
                </c:pt>
                <c:pt idx="34">
                  <c:v>NGC0100</c:v>
                </c:pt>
                <c:pt idx="35">
                  <c:v>NGC0247</c:v>
                </c:pt>
                <c:pt idx="36">
                  <c:v>NGC0289</c:v>
                </c:pt>
                <c:pt idx="37">
                  <c:v>NGC0300</c:v>
                </c:pt>
                <c:pt idx="38">
                  <c:v>NGC0801</c:v>
                </c:pt>
                <c:pt idx="39">
                  <c:v>NGC0891</c:v>
                </c:pt>
                <c:pt idx="40">
                  <c:v>NGC1003</c:v>
                </c:pt>
                <c:pt idx="41">
                  <c:v>NGC1090</c:v>
                </c:pt>
                <c:pt idx="42">
                  <c:v>NGC1705</c:v>
                </c:pt>
                <c:pt idx="43">
                  <c:v>NGC2366</c:v>
                </c:pt>
                <c:pt idx="44">
                  <c:v>NGC2403</c:v>
                </c:pt>
                <c:pt idx="45">
                  <c:v>NGC2683</c:v>
                </c:pt>
                <c:pt idx="46">
                  <c:v>NGC2841</c:v>
                </c:pt>
                <c:pt idx="47">
                  <c:v>NGC2903</c:v>
                </c:pt>
                <c:pt idx="48">
                  <c:v>NGC2915</c:v>
                </c:pt>
                <c:pt idx="49">
                  <c:v>NGC2955</c:v>
                </c:pt>
                <c:pt idx="50">
                  <c:v>NGC2976</c:v>
                </c:pt>
                <c:pt idx="51">
                  <c:v>NGC2998</c:v>
                </c:pt>
                <c:pt idx="52">
                  <c:v>NGC3109</c:v>
                </c:pt>
                <c:pt idx="53">
                  <c:v>NGC3198</c:v>
                </c:pt>
                <c:pt idx="54">
                  <c:v>NGC3521</c:v>
                </c:pt>
                <c:pt idx="55">
                  <c:v>NGC3726</c:v>
                </c:pt>
                <c:pt idx="56">
                  <c:v>NGC3741</c:v>
                </c:pt>
                <c:pt idx="57">
                  <c:v>NGC3769</c:v>
                </c:pt>
                <c:pt idx="58">
                  <c:v>NGC3877</c:v>
                </c:pt>
                <c:pt idx="59">
                  <c:v>NGC3893</c:v>
                </c:pt>
                <c:pt idx="60">
                  <c:v>NGC3917</c:v>
                </c:pt>
                <c:pt idx="61">
                  <c:v>NGC3949</c:v>
                </c:pt>
                <c:pt idx="62">
                  <c:v>NGC3953</c:v>
                </c:pt>
                <c:pt idx="63">
                  <c:v>NGC3972</c:v>
                </c:pt>
                <c:pt idx="64">
                  <c:v>NGC3992</c:v>
                </c:pt>
                <c:pt idx="65">
                  <c:v>NGC4010</c:v>
                </c:pt>
                <c:pt idx="66">
                  <c:v>NGC4013</c:v>
                </c:pt>
                <c:pt idx="67">
                  <c:v>NGC4051</c:v>
                </c:pt>
                <c:pt idx="68">
                  <c:v>NGC4068</c:v>
                </c:pt>
                <c:pt idx="69">
                  <c:v>NGC4085</c:v>
                </c:pt>
                <c:pt idx="70">
                  <c:v>NGC4088</c:v>
                </c:pt>
                <c:pt idx="71">
                  <c:v>NGC4100</c:v>
                </c:pt>
                <c:pt idx="72">
                  <c:v>NGC4138</c:v>
                </c:pt>
                <c:pt idx="73">
                  <c:v>NGC4157</c:v>
                </c:pt>
                <c:pt idx="74">
                  <c:v>NGC4183</c:v>
                </c:pt>
                <c:pt idx="75">
                  <c:v>NGC4214</c:v>
                </c:pt>
                <c:pt idx="76">
                  <c:v>NGC4217</c:v>
                </c:pt>
                <c:pt idx="77">
                  <c:v>NGC4389</c:v>
                </c:pt>
                <c:pt idx="78">
                  <c:v>NGC4559</c:v>
                </c:pt>
                <c:pt idx="79">
                  <c:v>NGC5005</c:v>
                </c:pt>
                <c:pt idx="80">
                  <c:v>NGC5033</c:v>
                </c:pt>
                <c:pt idx="81">
                  <c:v>NGC5055</c:v>
                </c:pt>
                <c:pt idx="82">
                  <c:v>NGC5371</c:v>
                </c:pt>
                <c:pt idx="83">
                  <c:v>NGC5585</c:v>
                </c:pt>
                <c:pt idx="84">
                  <c:v>NGC5907</c:v>
                </c:pt>
                <c:pt idx="85">
                  <c:v>NGC5985</c:v>
                </c:pt>
                <c:pt idx="86">
                  <c:v>NGC6015</c:v>
                </c:pt>
                <c:pt idx="87">
                  <c:v>NGC6195</c:v>
                </c:pt>
                <c:pt idx="88">
                  <c:v>NGC6503</c:v>
                </c:pt>
                <c:pt idx="89">
                  <c:v>NGC6674</c:v>
                </c:pt>
                <c:pt idx="90">
                  <c:v>NGC6789</c:v>
                </c:pt>
                <c:pt idx="91">
                  <c:v>NGC6946</c:v>
                </c:pt>
                <c:pt idx="92">
                  <c:v>NGC7331</c:v>
                </c:pt>
                <c:pt idx="93">
                  <c:v>NGC7793</c:v>
                </c:pt>
                <c:pt idx="94">
                  <c:v>NGC7814</c:v>
                </c:pt>
                <c:pt idx="95">
                  <c:v>PGC51017</c:v>
                </c:pt>
                <c:pt idx="96">
                  <c:v>UGC00128</c:v>
                </c:pt>
                <c:pt idx="97">
                  <c:v>UGC00191</c:v>
                </c:pt>
                <c:pt idx="98">
                  <c:v>UGC00634</c:v>
                </c:pt>
                <c:pt idx="99">
                  <c:v>UGC00731</c:v>
                </c:pt>
                <c:pt idx="100">
                  <c:v>UGC00891</c:v>
                </c:pt>
                <c:pt idx="101">
                  <c:v>UGC01230</c:v>
                </c:pt>
                <c:pt idx="102">
                  <c:v>UGC01281</c:v>
                </c:pt>
                <c:pt idx="103">
                  <c:v>UGC02023</c:v>
                </c:pt>
                <c:pt idx="104">
                  <c:v>UGC02259</c:v>
                </c:pt>
                <c:pt idx="105">
                  <c:v>UGC02455</c:v>
                </c:pt>
                <c:pt idx="106">
                  <c:v>UGC02487</c:v>
                </c:pt>
                <c:pt idx="107">
                  <c:v>UGC02885</c:v>
                </c:pt>
                <c:pt idx="108">
                  <c:v>UGC02916</c:v>
                </c:pt>
                <c:pt idx="109">
                  <c:v>UGC02953</c:v>
                </c:pt>
                <c:pt idx="110">
                  <c:v>UGC03205</c:v>
                </c:pt>
                <c:pt idx="111">
                  <c:v>UGC03546</c:v>
                </c:pt>
                <c:pt idx="112">
                  <c:v>UGC03580</c:v>
                </c:pt>
                <c:pt idx="113">
                  <c:v>UGC04278</c:v>
                </c:pt>
                <c:pt idx="114">
                  <c:v>UGC04305</c:v>
                </c:pt>
                <c:pt idx="115">
                  <c:v>UGC04325</c:v>
                </c:pt>
                <c:pt idx="116">
                  <c:v>UGC04483</c:v>
                </c:pt>
                <c:pt idx="117">
                  <c:v>UGC04499</c:v>
                </c:pt>
                <c:pt idx="118">
                  <c:v>UGC05005</c:v>
                </c:pt>
                <c:pt idx="119">
                  <c:v>UGC05253</c:v>
                </c:pt>
                <c:pt idx="120">
                  <c:v>UGC05414</c:v>
                </c:pt>
                <c:pt idx="121">
                  <c:v>UGC05716</c:v>
                </c:pt>
                <c:pt idx="122">
                  <c:v>UGC05721</c:v>
                </c:pt>
                <c:pt idx="123">
                  <c:v>UGC05750</c:v>
                </c:pt>
                <c:pt idx="124">
                  <c:v>UGC05764</c:v>
                </c:pt>
                <c:pt idx="125">
                  <c:v>UGC05829</c:v>
                </c:pt>
                <c:pt idx="126">
                  <c:v>UGC05918</c:v>
                </c:pt>
                <c:pt idx="127">
                  <c:v>UGC05986</c:v>
                </c:pt>
                <c:pt idx="128">
                  <c:v>UGC05999</c:v>
                </c:pt>
                <c:pt idx="129">
                  <c:v>UGC06399</c:v>
                </c:pt>
                <c:pt idx="130">
                  <c:v>UGC06446</c:v>
                </c:pt>
                <c:pt idx="131">
                  <c:v>UGC06614</c:v>
                </c:pt>
                <c:pt idx="132">
                  <c:v>UGC06628</c:v>
                </c:pt>
                <c:pt idx="133">
                  <c:v>UGC06667</c:v>
                </c:pt>
                <c:pt idx="134">
                  <c:v>UGC06786</c:v>
                </c:pt>
                <c:pt idx="135">
                  <c:v>UGC06787</c:v>
                </c:pt>
                <c:pt idx="136">
                  <c:v>UGC06818</c:v>
                </c:pt>
                <c:pt idx="137">
                  <c:v>UGC06917</c:v>
                </c:pt>
                <c:pt idx="138">
                  <c:v>UGC06923</c:v>
                </c:pt>
                <c:pt idx="139">
                  <c:v>UGC06930</c:v>
                </c:pt>
                <c:pt idx="140">
                  <c:v>UGC06973</c:v>
                </c:pt>
                <c:pt idx="141">
                  <c:v>UGC06983</c:v>
                </c:pt>
                <c:pt idx="142">
                  <c:v>UGC07089</c:v>
                </c:pt>
                <c:pt idx="143">
                  <c:v>UGC07125</c:v>
                </c:pt>
                <c:pt idx="144">
                  <c:v>UGC07151</c:v>
                </c:pt>
                <c:pt idx="145">
                  <c:v>UGC07232</c:v>
                </c:pt>
                <c:pt idx="146">
                  <c:v>UGC07261</c:v>
                </c:pt>
                <c:pt idx="147">
                  <c:v>UGC07323</c:v>
                </c:pt>
                <c:pt idx="148">
                  <c:v>UGC07399</c:v>
                </c:pt>
                <c:pt idx="149">
                  <c:v>UGC07524</c:v>
                </c:pt>
                <c:pt idx="150">
                  <c:v>UGC07559</c:v>
                </c:pt>
                <c:pt idx="151">
                  <c:v>UGC07577</c:v>
                </c:pt>
                <c:pt idx="152">
                  <c:v>UGC07603</c:v>
                </c:pt>
                <c:pt idx="153">
                  <c:v>UGC07608</c:v>
                </c:pt>
                <c:pt idx="154">
                  <c:v>UGC07690</c:v>
                </c:pt>
                <c:pt idx="155">
                  <c:v>UGC07866</c:v>
                </c:pt>
                <c:pt idx="156">
                  <c:v>UGC08286</c:v>
                </c:pt>
                <c:pt idx="157">
                  <c:v>UGC08490</c:v>
                </c:pt>
                <c:pt idx="158">
                  <c:v>UGC08550</c:v>
                </c:pt>
                <c:pt idx="159">
                  <c:v>UGC08699</c:v>
                </c:pt>
                <c:pt idx="160">
                  <c:v>UGC08837</c:v>
                </c:pt>
                <c:pt idx="161">
                  <c:v>UGC09037</c:v>
                </c:pt>
                <c:pt idx="162">
                  <c:v>UGC09133</c:v>
                </c:pt>
                <c:pt idx="163">
                  <c:v>UGC09992</c:v>
                </c:pt>
                <c:pt idx="164">
                  <c:v>UGC10310</c:v>
                </c:pt>
                <c:pt idx="165">
                  <c:v>UGC11455</c:v>
                </c:pt>
                <c:pt idx="166">
                  <c:v>UGC11557</c:v>
                </c:pt>
                <c:pt idx="167">
                  <c:v>UGC11820</c:v>
                </c:pt>
                <c:pt idx="168">
                  <c:v>UGC11914</c:v>
                </c:pt>
                <c:pt idx="169">
                  <c:v>UGC12506</c:v>
                </c:pt>
                <c:pt idx="170">
                  <c:v>UGC12632</c:v>
                </c:pt>
                <c:pt idx="171">
                  <c:v>UGC12732</c:v>
                </c:pt>
                <c:pt idx="172">
                  <c:v>UGCA281</c:v>
                </c:pt>
                <c:pt idx="173">
                  <c:v>UGCA442</c:v>
                </c:pt>
                <c:pt idx="174">
                  <c:v>UGCA444</c:v>
                </c:pt>
              </c:strCache>
            </c:strRef>
          </c:cat>
          <c:val>
            <c:numRef>
              <c:f>'SPARC Galaxy Analysis'!$D$5:$D$179</c:f>
              <c:numCache>
                <c:formatCode>0.00</c:formatCode>
                <c:ptCount val="175"/>
                <c:pt idx="0">
                  <c:v>0</c:v>
                </c:pt>
                <c:pt idx="1">
                  <c:v>0.23</c:v>
                </c:pt>
                <c:pt idx="2">
                  <c:v>4.84</c:v>
                </c:pt>
                <c:pt idx="3">
                  <c:v>92.67</c:v>
                </c:pt>
                <c:pt idx="4">
                  <c:v>2.8899999999999997</c:v>
                </c:pt>
                <c:pt idx="5">
                  <c:v>124.03</c:v>
                </c:pt>
                <c:pt idx="6">
                  <c:v>43.540000000000006</c:v>
                </c:pt>
                <c:pt idx="7">
                  <c:v>56.64</c:v>
                </c:pt>
                <c:pt idx="8">
                  <c:v>5.3100000000000005</c:v>
                </c:pt>
                <c:pt idx="9">
                  <c:v>18.509999999999998</c:v>
                </c:pt>
                <c:pt idx="10">
                  <c:v>28.53</c:v>
                </c:pt>
                <c:pt idx="11">
                  <c:v>-0.8400000000000003</c:v>
                </c:pt>
                <c:pt idx="12">
                  <c:v>74.319999999999993</c:v>
                </c:pt>
                <c:pt idx="13">
                  <c:v>0</c:v>
                </c:pt>
                <c:pt idx="14">
                  <c:v>7.26</c:v>
                </c:pt>
                <c:pt idx="15">
                  <c:v>-1.0000000000000009E-2</c:v>
                </c:pt>
                <c:pt idx="16">
                  <c:v>6.419999999999999</c:v>
                </c:pt>
                <c:pt idx="17">
                  <c:v>1.56</c:v>
                </c:pt>
                <c:pt idx="18">
                  <c:v>0.29999999999999993</c:v>
                </c:pt>
                <c:pt idx="19">
                  <c:v>6.66</c:v>
                </c:pt>
                <c:pt idx="20">
                  <c:v>30.649999999999995</c:v>
                </c:pt>
                <c:pt idx="21">
                  <c:v>0.98999999999999977</c:v>
                </c:pt>
                <c:pt idx="22">
                  <c:v>134.83999999999992</c:v>
                </c:pt>
                <c:pt idx="23">
                  <c:v>1.2399999999999998</c:v>
                </c:pt>
                <c:pt idx="24">
                  <c:v>13.920000000000002</c:v>
                </c:pt>
                <c:pt idx="25">
                  <c:v>0</c:v>
                </c:pt>
                <c:pt idx="26">
                  <c:v>1.1399999999999997</c:v>
                </c:pt>
                <c:pt idx="27">
                  <c:v>27.68</c:v>
                </c:pt>
                <c:pt idx="28">
                  <c:v>-2.2599999999999998</c:v>
                </c:pt>
                <c:pt idx="29">
                  <c:v>1044.8399999999999</c:v>
                </c:pt>
                <c:pt idx="30">
                  <c:v>98.700000000000045</c:v>
                </c:pt>
                <c:pt idx="31">
                  <c:v>18.759999999999998</c:v>
                </c:pt>
                <c:pt idx="32">
                  <c:v>7.3900000000000023</c:v>
                </c:pt>
                <c:pt idx="33">
                  <c:v>57.29</c:v>
                </c:pt>
                <c:pt idx="34">
                  <c:v>26.47</c:v>
                </c:pt>
                <c:pt idx="35">
                  <c:v>-15.299999999999997</c:v>
                </c:pt>
                <c:pt idx="36">
                  <c:v>14.010000000000005</c:v>
                </c:pt>
                <c:pt idx="37">
                  <c:v>7.0300000000000011</c:v>
                </c:pt>
                <c:pt idx="38">
                  <c:v>67.180000000000064</c:v>
                </c:pt>
                <c:pt idx="39">
                  <c:v>0</c:v>
                </c:pt>
                <c:pt idx="40">
                  <c:v>18.86</c:v>
                </c:pt>
                <c:pt idx="41">
                  <c:v>73.329999999999984</c:v>
                </c:pt>
                <c:pt idx="42">
                  <c:v>-0.66</c:v>
                </c:pt>
                <c:pt idx="43">
                  <c:v>68.61</c:v>
                </c:pt>
                <c:pt idx="44">
                  <c:v>1377.6699999999998</c:v>
                </c:pt>
                <c:pt idx="45">
                  <c:v>9.0400000000000063</c:v>
                </c:pt>
                <c:pt idx="46">
                  <c:v>-3.5900000000000034</c:v>
                </c:pt>
                <c:pt idx="47">
                  <c:v>802.19999999999982</c:v>
                </c:pt>
                <c:pt idx="48">
                  <c:v>8.7399999999999984</c:v>
                </c:pt>
                <c:pt idx="49">
                  <c:v>0</c:v>
                </c:pt>
                <c:pt idx="50">
                  <c:v>0</c:v>
                </c:pt>
                <c:pt idx="51">
                  <c:v>9.75</c:v>
                </c:pt>
                <c:pt idx="52">
                  <c:v>201.87</c:v>
                </c:pt>
                <c:pt idx="53">
                  <c:v>309.64</c:v>
                </c:pt>
                <c:pt idx="54">
                  <c:v>51.929999999999836</c:v>
                </c:pt>
                <c:pt idx="55">
                  <c:v>37.06</c:v>
                </c:pt>
                <c:pt idx="56">
                  <c:v>-1.3600000000000012</c:v>
                </c:pt>
                <c:pt idx="57">
                  <c:v>10.409999999999997</c:v>
                </c:pt>
                <c:pt idx="58">
                  <c:v>0</c:v>
                </c:pt>
                <c:pt idx="59">
                  <c:v>17.879999999999995</c:v>
                </c:pt>
                <c:pt idx="60">
                  <c:v>13.430000000000003</c:v>
                </c:pt>
                <c:pt idx="61">
                  <c:v>0</c:v>
                </c:pt>
                <c:pt idx="62">
                  <c:v>0</c:v>
                </c:pt>
                <c:pt idx="63">
                  <c:v>2.7099999999999991</c:v>
                </c:pt>
                <c:pt idx="64">
                  <c:v>-2.3499999999999988</c:v>
                </c:pt>
                <c:pt idx="65">
                  <c:v>17.399999999999999</c:v>
                </c:pt>
                <c:pt idx="66">
                  <c:v>262.27</c:v>
                </c:pt>
                <c:pt idx="67">
                  <c:v>0</c:v>
                </c:pt>
                <c:pt idx="68">
                  <c:v>5.5399999999999991</c:v>
                </c:pt>
                <c:pt idx="69">
                  <c:v>0</c:v>
                </c:pt>
                <c:pt idx="70">
                  <c:v>0</c:v>
                </c:pt>
                <c:pt idx="71">
                  <c:v>9.8500000000000014</c:v>
                </c:pt>
                <c:pt idx="72">
                  <c:v>1.58</c:v>
                </c:pt>
                <c:pt idx="73">
                  <c:v>34.639999999999986</c:v>
                </c:pt>
                <c:pt idx="74">
                  <c:v>-0.65000000000000036</c:v>
                </c:pt>
                <c:pt idx="75">
                  <c:v>-2.379999999999999</c:v>
                </c:pt>
                <c:pt idx="76">
                  <c:v>2.9999999999972715E-2</c:v>
                </c:pt>
                <c:pt idx="77">
                  <c:v>0</c:v>
                </c:pt>
                <c:pt idx="78">
                  <c:v>42.89</c:v>
                </c:pt>
                <c:pt idx="79">
                  <c:v>0</c:v>
                </c:pt>
                <c:pt idx="80">
                  <c:v>56.229999999999961</c:v>
                </c:pt>
                <c:pt idx="81">
                  <c:v>6563.1399999999994</c:v>
                </c:pt>
                <c:pt idx="82">
                  <c:v>0</c:v>
                </c:pt>
                <c:pt idx="83">
                  <c:v>400.05</c:v>
                </c:pt>
                <c:pt idx="84">
                  <c:v>37.450000000000003</c:v>
                </c:pt>
                <c:pt idx="85">
                  <c:v>36.590000000000003</c:v>
                </c:pt>
                <c:pt idx="86">
                  <c:v>-58.31</c:v>
                </c:pt>
                <c:pt idx="87">
                  <c:v>0</c:v>
                </c:pt>
                <c:pt idx="88">
                  <c:v>165.32999999999993</c:v>
                </c:pt>
                <c:pt idx="89">
                  <c:v>-28.529999999999994</c:v>
                </c:pt>
                <c:pt idx="90">
                  <c:v>3.81</c:v>
                </c:pt>
                <c:pt idx="91">
                  <c:v>0</c:v>
                </c:pt>
                <c:pt idx="92">
                  <c:v>237.3100000000004</c:v>
                </c:pt>
                <c:pt idx="93">
                  <c:v>19.189999999999998</c:v>
                </c:pt>
                <c:pt idx="94">
                  <c:v>30.349999999999994</c:v>
                </c:pt>
                <c:pt idx="95">
                  <c:v>0</c:v>
                </c:pt>
                <c:pt idx="96">
                  <c:v>1.2599999999999909</c:v>
                </c:pt>
                <c:pt idx="97">
                  <c:v>7.6999999999999993</c:v>
                </c:pt>
                <c:pt idx="98">
                  <c:v>5.08</c:v>
                </c:pt>
                <c:pt idx="99">
                  <c:v>1.66</c:v>
                </c:pt>
                <c:pt idx="100">
                  <c:v>12.11</c:v>
                </c:pt>
                <c:pt idx="101">
                  <c:v>3.0100000000000007</c:v>
                </c:pt>
                <c:pt idx="102">
                  <c:v>24.91</c:v>
                </c:pt>
                <c:pt idx="103">
                  <c:v>1.4899999999999998</c:v>
                </c:pt>
                <c:pt idx="104">
                  <c:v>0.92000000000000082</c:v>
                </c:pt>
                <c:pt idx="105">
                  <c:v>0</c:v>
                </c:pt>
                <c:pt idx="106">
                  <c:v>-4.8900000000000077</c:v>
                </c:pt>
                <c:pt idx="107">
                  <c:v>11.57</c:v>
                </c:pt>
                <c:pt idx="108">
                  <c:v>0</c:v>
                </c:pt>
                <c:pt idx="109">
                  <c:v>2762.7099999999991</c:v>
                </c:pt>
                <c:pt idx="110">
                  <c:v>20.909999999999997</c:v>
                </c:pt>
                <c:pt idx="111">
                  <c:v>207.24</c:v>
                </c:pt>
                <c:pt idx="112">
                  <c:v>815.19999999999982</c:v>
                </c:pt>
                <c:pt idx="113">
                  <c:v>39.799999999999997</c:v>
                </c:pt>
                <c:pt idx="114">
                  <c:v>0</c:v>
                </c:pt>
                <c:pt idx="115">
                  <c:v>5.9</c:v>
                </c:pt>
                <c:pt idx="116">
                  <c:v>1.9400000000000002</c:v>
                </c:pt>
                <c:pt idx="117">
                  <c:v>6.1199999999999992</c:v>
                </c:pt>
                <c:pt idx="118">
                  <c:v>2.59</c:v>
                </c:pt>
                <c:pt idx="119">
                  <c:v>1008.7400000000007</c:v>
                </c:pt>
                <c:pt idx="120">
                  <c:v>8.8999999999999986</c:v>
                </c:pt>
                <c:pt idx="121">
                  <c:v>-0.57999999999999829</c:v>
                </c:pt>
                <c:pt idx="122">
                  <c:v>9.8500000000000014</c:v>
                </c:pt>
                <c:pt idx="123">
                  <c:v>5.67</c:v>
                </c:pt>
                <c:pt idx="124">
                  <c:v>17.880000000000003</c:v>
                </c:pt>
                <c:pt idx="125">
                  <c:v>-0.77999999999999992</c:v>
                </c:pt>
                <c:pt idx="126">
                  <c:v>0.6</c:v>
                </c:pt>
                <c:pt idx="127">
                  <c:v>46.53</c:v>
                </c:pt>
                <c:pt idx="128">
                  <c:v>4.53</c:v>
                </c:pt>
                <c:pt idx="129">
                  <c:v>3.0700000000000003</c:v>
                </c:pt>
                <c:pt idx="130">
                  <c:v>0.32999999999999963</c:v>
                </c:pt>
                <c:pt idx="131">
                  <c:v>32.31</c:v>
                </c:pt>
                <c:pt idx="132">
                  <c:v>0</c:v>
                </c:pt>
                <c:pt idx="133">
                  <c:v>7.26</c:v>
                </c:pt>
                <c:pt idx="134">
                  <c:v>218.19</c:v>
                </c:pt>
                <c:pt idx="135">
                  <c:v>336.90000000000009</c:v>
                </c:pt>
                <c:pt idx="136">
                  <c:v>19.630000000000003</c:v>
                </c:pt>
                <c:pt idx="137">
                  <c:v>6.5399999999999991</c:v>
                </c:pt>
                <c:pt idx="138">
                  <c:v>3.1999999999999993</c:v>
                </c:pt>
                <c:pt idx="139">
                  <c:v>1</c:v>
                </c:pt>
                <c:pt idx="140">
                  <c:v>0</c:v>
                </c:pt>
                <c:pt idx="141">
                  <c:v>3.62</c:v>
                </c:pt>
                <c:pt idx="142">
                  <c:v>8.92</c:v>
                </c:pt>
                <c:pt idx="143">
                  <c:v>6.43</c:v>
                </c:pt>
                <c:pt idx="144">
                  <c:v>9.49</c:v>
                </c:pt>
                <c:pt idx="145">
                  <c:v>5.75</c:v>
                </c:pt>
                <c:pt idx="146">
                  <c:v>-1.19</c:v>
                </c:pt>
                <c:pt idx="147">
                  <c:v>9.34</c:v>
                </c:pt>
                <c:pt idx="148">
                  <c:v>8.0500000000000007</c:v>
                </c:pt>
                <c:pt idx="149">
                  <c:v>18.05</c:v>
                </c:pt>
                <c:pt idx="150">
                  <c:v>2.62</c:v>
                </c:pt>
                <c:pt idx="151">
                  <c:v>0</c:v>
                </c:pt>
                <c:pt idx="152">
                  <c:v>13.3</c:v>
                </c:pt>
                <c:pt idx="153">
                  <c:v>2.2999999999999998</c:v>
                </c:pt>
                <c:pt idx="154">
                  <c:v>0.74</c:v>
                </c:pt>
                <c:pt idx="155">
                  <c:v>-0.14000000000000001</c:v>
                </c:pt>
                <c:pt idx="156">
                  <c:v>17.740000000000002</c:v>
                </c:pt>
                <c:pt idx="157">
                  <c:v>0.12000000000000011</c:v>
                </c:pt>
                <c:pt idx="158">
                  <c:v>1.3200000000000003</c:v>
                </c:pt>
                <c:pt idx="159">
                  <c:v>112.80000000000001</c:v>
                </c:pt>
                <c:pt idx="160">
                  <c:v>20.34</c:v>
                </c:pt>
                <c:pt idx="161">
                  <c:v>22.420000000000073</c:v>
                </c:pt>
                <c:pt idx="162">
                  <c:v>718.67000000000007</c:v>
                </c:pt>
                <c:pt idx="163">
                  <c:v>2.0000000000000004E-2</c:v>
                </c:pt>
                <c:pt idx="164">
                  <c:v>0.97</c:v>
                </c:pt>
                <c:pt idx="165">
                  <c:v>115.40000000000009</c:v>
                </c:pt>
                <c:pt idx="166">
                  <c:v>0</c:v>
                </c:pt>
                <c:pt idx="167">
                  <c:v>-21.77</c:v>
                </c:pt>
                <c:pt idx="168">
                  <c:v>0</c:v>
                </c:pt>
                <c:pt idx="169">
                  <c:v>2.2899999999999991</c:v>
                </c:pt>
                <c:pt idx="170">
                  <c:v>2.5300000000000002</c:v>
                </c:pt>
                <c:pt idx="171">
                  <c:v>-5.0299999999999994</c:v>
                </c:pt>
                <c:pt idx="172">
                  <c:v>1.0699999999999998</c:v>
                </c:pt>
                <c:pt idx="173">
                  <c:v>7.2600000000000007</c:v>
                </c:pt>
                <c:pt idx="174">
                  <c:v>-4.1999999999999993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26-4B80-B1C4-ACCC860FF8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Galaxy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Delta chi2 (positive = core wins)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</xdr:row>
      <xdr:rowOff>0</xdr:rowOff>
    </xdr:from>
    <xdr:ext cx="11520000" cy="72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</xdr:row>
      <xdr:rowOff>0</xdr:rowOff>
    </xdr:from>
    <xdr:ext cx="10080000" cy="64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68</xdr:row>
      <xdr:rowOff>0</xdr:rowOff>
    </xdr:from>
    <xdr:ext cx="1080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3</xdr:row>
      <xdr:rowOff>0</xdr:rowOff>
    </xdr:from>
    <xdr:ext cx="12600000" cy="50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B2A4A"/>
  </sheetPr>
  <dimension ref="A1:I1009"/>
  <sheetViews>
    <sheetView workbookViewId="0">
      <selection sqref="A1:I1"/>
    </sheetView>
  </sheetViews>
  <sheetFormatPr defaultRowHeight="15" x14ac:dyDescent="0.25"/>
  <cols>
    <col min="1" max="1" width="5" customWidth="1"/>
    <col min="2" max="5" width="7" customWidth="1"/>
    <col min="6" max="6" width="9" customWidth="1"/>
    <col min="7" max="7" width="8" customWidth="1"/>
    <col min="8" max="8" width="12" customWidth="1"/>
    <col min="9" max="9" width="7" customWidth="1"/>
  </cols>
  <sheetData>
    <row r="1" spans="1:9" ht="20.25" x14ac:dyDescent="0.25">
      <c r="A1" s="52" t="s">
        <v>0</v>
      </c>
      <c r="B1" s="53"/>
      <c r="C1" s="53"/>
      <c r="D1" s="53"/>
      <c r="E1" s="53"/>
      <c r="F1" s="53"/>
      <c r="G1" s="53"/>
      <c r="H1" s="53"/>
      <c r="I1" s="53"/>
    </row>
    <row r="2" spans="1:9" ht="25.5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x14ac:dyDescent="0.25">
      <c r="A3" s="2">
        <v>1</v>
      </c>
      <c r="B3" s="2">
        <v>1</v>
      </c>
      <c r="C3" s="3">
        <f t="shared" ref="C3:C66" ca="1" si="0">SUMPRODUCT((MOD(A3,ROW(INDIRECT("1:"&amp;A3)))=0)*1)</f>
        <v>1</v>
      </c>
      <c r="D3" s="4">
        <f t="shared" ref="D3:D66" ca="1" si="1">A3-B3-C3</f>
        <v>-1</v>
      </c>
      <c r="E3" s="5">
        <f t="shared" ref="E3:E66" ca="1" si="2">D3/A3</f>
        <v>-1</v>
      </c>
      <c r="F3" s="2">
        <v>0</v>
      </c>
      <c r="G3" s="3">
        <f t="shared" ref="G3:G66" si="3">MOD(A3,30)</f>
        <v>1</v>
      </c>
      <c r="H3" s="2" t="s">
        <v>10</v>
      </c>
      <c r="I3" s="3"/>
    </row>
    <row r="4" spans="1:9" x14ac:dyDescent="0.25">
      <c r="A4" s="2">
        <v>2</v>
      </c>
      <c r="B4" s="2">
        <v>1</v>
      </c>
      <c r="C4" s="3">
        <f t="shared" ca="1" si="0"/>
        <v>2</v>
      </c>
      <c r="D4" s="4">
        <f t="shared" ca="1" si="1"/>
        <v>-1</v>
      </c>
      <c r="E4" s="5">
        <f t="shared" ca="1" si="2"/>
        <v>-0.5</v>
      </c>
      <c r="F4" s="2">
        <v>1</v>
      </c>
      <c r="G4" s="3">
        <f t="shared" si="3"/>
        <v>2</v>
      </c>
      <c r="H4" s="2" t="s">
        <v>11</v>
      </c>
      <c r="I4" s="3">
        <v>-1</v>
      </c>
    </row>
    <row r="5" spans="1:9" x14ac:dyDescent="0.25">
      <c r="A5" s="2">
        <v>3</v>
      </c>
      <c r="B5" s="2">
        <v>2</v>
      </c>
      <c r="C5" s="3">
        <f t="shared" ca="1" si="0"/>
        <v>2</v>
      </c>
      <c r="D5" s="4">
        <f t="shared" ca="1" si="1"/>
        <v>-1</v>
      </c>
      <c r="E5" s="5">
        <f t="shared" ca="1" si="2"/>
        <v>-0.33333333333333331</v>
      </c>
      <c r="F5" s="2">
        <v>1</v>
      </c>
      <c r="G5" s="3">
        <f t="shared" si="3"/>
        <v>3</v>
      </c>
      <c r="H5" s="2" t="s">
        <v>11</v>
      </c>
      <c r="I5" s="3">
        <v>-1</v>
      </c>
    </row>
    <row r="6" spans="1:9" x14ac:dyDescent="0.25">
      <c r="A6" s="2">
        <v>4</v>
      </c>
      <c r="B6" s="2">
        <v>2</v>
      </c>
      <c r="C6" s="3">
        <f t="shared" ca="1" si="0"/>
        <v>3</v>
      </c>
      <c r="D6" s="4">
        <f t="shared" ca="1" si="1"/>
        <v>-1</v>
      </c>
      <c r="E6" s="5">
        <f t="shared" ca="1" si="2"/>
        <v>-0.25</v>
      </c>
      <c r="F6" s="2">
        <v>1</v>
      </c>
      <c r="G6" s="3">
        <f t="shared" si="3"/>
        <v>4</v>
      </c>
      <c r="H6" s="2" t="s">
        <v>12</v>
      </c>
      <c r="I6" s="3"/>
    </row>
    <row r="7" spans="1:9" x14ac:dyDescent="0.25">
      <c r="A7" s="2">
        <v>5</v>
      </c>
      <c r="B7" s="2">
        <v>4</v>
      </c>
      <c r="C7" s="3">
        <f t="shared" ca="1" si="0"/>
        <v>2</v>
      </c>
      <c r="D7" s="4">
        <f t="shared" ca="1" si="1"/>
        <v>-1</v>
      </c>
      <c r="E7" s="5">
        <f t="shared" ca="1" si="2"/>
        <v>-0.2</v>
      </c>
      <c r="F7" s="2">
        <v>1</v>
      </c>
      <c r="G7" s="3">
        <f t="shared" si="3"/>
        <v>5</v>
      </c>
      <c r="H7" s="2" t="s">
        <v>11</v>
      </c>
      <c r="I7" s="3">
        <v>-1</v>
      </c>
    </row>
    <row r="8" spans="1:9" x14ac:dyDescent="0.25">
      <c r="A8" s="2">
        <v>6</v>
      </c>
      <c r="B8" s="2">
        <v>2</v>
      </c>
      <c r="C8" s="3">
        <f t="shared" ca="1" si="0"/>
        <v>4</v>
      </c>
      <c r="D8" s="4">
        <f t="shared" ca="1" si="1"/>
        <v>0</v>
      </c>
      <c r="E8" s="5">
        <f t="shared" ca="1" si="2"/>
        <v>0</v>
      </c>
      <c r="F8" s="2">
        <v>2</v>
      </c>
      <c r="G8" s="3">
        <f t="shared" si="3"/>
        <v>6</v>
      </c>
      <c r="H8" s="2" t="s">
        <v>12</v>
      </c>
      <c r="I8" s="3"/>
    </row>
    <row r="9" spans="1:9" x14ac:dyDescent="0.25">
      <c r="A9" s="2">
        <v>7</v>
      </c>
      <c r="B9" s="2">
        <v>6</v>
      </c>
      <c r="C9" s="3">
        <f t="shared" ca="1" si="0"/>
        <v>2</v>
      </c>
      <c r="D9" s="4">
        <f t="shared" ca="1" si="1"/>
        <v>-1</v>
      </c>
      <c r="E9" s="5">
        <f t="shared" ca="1" si="2"/>
        <v>-0.14285714285714285</v>
      </c>
      <c r="F9" s="2">
        <v>1</v>
      </c>
      <c r="G9" s="3">
        <f t="shared" si="3"/>
        <v>7</v>
      </c>
      <c r="H9" s="2" t="s">
        <v>11</v>
      </c>
      <c r="I9" s="3">
        <v>-1</v>
      </c>
    </row>
    <row r="10" spans="1:9" x14ac:dyDescent="0.25">
      <c r="A10" s="2">
        <v>8</v>
      </c>
      <c r="B10" s="2">
        <v>4</v>
      </c>
      <c r="C10" s="3">
        <f t="shared" ca="1" si="0"/>
        <v>4</v>
      </c>
      <c r="D10" s="4">
        <f t="shared" ca="1" si="1"/>
        <v>0</v>
      </c>
      <c r="E10" s="5">
        <f t="shared" ca="1" si="2"/>
        <v>0</v>
      </c>
      <c r="F10" s="2">
        <v>1</v>
      </c>
      <c r="G10" s="3">
        <f t="shared" si="3"/>
        <v>8</v>
      </c>
      <c r="H10" s="2" t="s">
        <v>12</v>
      </c>
      <c r="I10" s="3"/>
    </row>
    <row r="11" spans="1:9" x14ac:dyDescent="0.25">
      <c r="A11" s="2">
        <v>9</v>
      </c>
      <c r="B11" s="2">
        <v>6</v>
      </c>
      <c r="C11" s="3">
        <f t="shared" ca="1" si="0"/>
        <v>3</v>
      </c>
      <c r="D11" s="4">
        <f t="shared" ca="1" si="1"/>
        <v>0</v>
      </c>
      <c r="E11" s="5">
        <f t="shared" ca="1" si="2"/>
        <v>0</v>
      </c>
      <c r="F11" s="2">
        <v>1</v>
      </c>
      <c r="G11" s="3">
        <f t="shared" si="3"/>
        <v>9</v>
      </c>
      <c r="H11" s="2" t="s">
        <v>12</v>
      </c>
      <c r="I11" s="3"/>
    </row>
    <row r="12" spans="1:9" x14ac:dyDescent="0.25">
      <c r="A12" s="2">
        <v>10</v>
      </c>
      <c r="B12" s="2">
        <v>4</v>
      </c>
      <c r="C12" s="3">
        <f t="shared" ca="1" si="0"/>
        <v>4</v>
      </c>
      <c r="D12" s="4">
        <f t="shared" ca="1" si="1"/>
        <v>2</v>
      </c>
      <c r="E12" s="5">
        <f t="shared" ca="1" si="2"/>
        <v>0.2</v>
      </c>
      <c r="F12" s="2">
        <v>2</v>
      </c>
      <c r="G12" s="3">
        <f t="shared" si="3"/>
        <v>10</v>
      </c>
      <c r="H12" s="2" t="s">
        <v>12</v>
      </c>
      <c r="I12" s="3"/>
    </row>
    <row r="13" spans="1:9" x14ac:dyDescent="0.25">
      <c r="A13" s="2">
        <v>11</v>
      </c>
      <c r="B13" s="2">
        <v>10</v>
      </c>
      <c r="C13" s="3">
        <f t="shared" ca="1" si="0"/>
        <v>2</v>
      </c>
      <c r="D13" s="4">
        <f t="shared" ca="1" si="1"/>
        <v>-1</v>
      </c>
      <c r="E13" s="5">
        <f t="shared" ca="1" si="2"/>
        <v>-9.0909090909090912E-2</v>
      </c>
      <c r="F13" s="2">
        <v>1</v>
      </c>
      <c r="G13" s="3">
        <f t="shared" si="3"/>
        <v>11</v>
      </c>
      <c r="H13" s="2" t="s">
        <v>11</v>
      </c>
      <c r="I13" s="3">
        <v>-1</v>
      </c>
    </row>
    <row r="14" spans="1:9" x14ac:dyDescent="0.25">
      <c r="A14" s="2">
        <v>12</v>
      </c>
      <c r="B14" s="2">
        <v>4</v>
      </c>
      <c r="C14" s="3">
        <f t="shared" ca="1" si="0"/>
        <v>6</v>
      </c>
      <c r="D14" s="4">
        <f t="shared" ca="1" si="1"/>
        <v>2</v>
      </c>
      <c r="E14" s="5">
        <f t="shared" ca="1" si="2"/>
        <v>0.16666666666666666</v>
      </c>
      <c r="F14" s="2">
        <v>2</v>
      </c>
      <c r="G14" s="3">
        <f t="shared" si="3"/>
        <v>12</v>
      </c>
      <c r="H14" s="2" t="s">
        <v>12</v>
      </c>
      <c r="I14" s="3"/>
    </row>
    <row r="15" spans="1:9" x14ac:dyDescent="0.25">
      <c r="A15" s="2">
        <v>13</v>
      </c>
      <c r="B15" s="2">
        <v>12</v>
      </c>
      <c r="C15" s="3">
        <f t="shared" ca="1" si="0"/>
        <v>2</v>
      </c>
      <c r="D15" s="4">
        <f t="shared" ca="1" si="1"/>
        <v>-1</v>
      </c>
      <c r="E15" s="5">
        <f t="shared" ca="1" si="2"/>
        <v>-7.6923076923076927E-2</v>
      </c>
      <c r="F15" s="2">
        <v>1</v>
      </c>
      <c r="G15" s="3">
        <f t="shared" si="3"/>
        <v>13</v>
      </c>
      <c r="H15" s="2" t="s">
        <v>11</v>
      </c>
      <c r="I15" s="3">
        <v>-1</v>
      </c>
    </row>
    <row r="16" spans="1:9" x14ac:dyDescent="0.25">
      <c r="A16" s="2">
        <v>14</v>
      </c>
      <c r="B16" s="2">
        <v>6</v>
      </c>
      <c r="C16" s="3">
        <f t="shared" ca="1" si="0"/>
        <v>4</v>
      </c>
      <c r="D16" s="4">
        <f t="shared" ca="1" si="1"/>
        <v>4</v>
      </c>
      <c r="E16" s="5">
        <f t="shared" ca="1" si="2"/>
        <v>0.2857142857142857</v>
      </c>
      <c r="F16" s="2">
        <v>2</v>
      </c>
      <c r="G16" s="3">
        <f t="shared" si="3"/>
        <v>14</v>
      </c>
      <c r="H16" s="2" t="s">
        <v>12</v>
      </c>
      <c r="I16" s="3"/>
    </row>
    <row r="17" spans="1:9" x14ac:dyDescent="0.25">
      <c r="A17" s="2">
        <v>15</v>
      </c>
      <c r="B17" s="2">
        <v>8</v>
      </c>
      <c r="C17" s="3">
        <f t="shared" ca="1" si="0"/>
        <v>4</v>
      </c>
      <c r="D17" s="4">
        <f t="shared" ca="1" si="1"/>
        <v>3</v>
      </c>
      <c r="E17" s="5">
        <f t="shared" ca="1" si="2"/>
        <v>0.2</v>
      </c>
      <c r="F17" s="2">
        <v>2</v>
      </c>
      <c r="G17" s="3">
        <f t="shared" si="3"/>
        <v>15</v>
      </c>
      <c r="H17" s="2" t="s">
        <v>12</v>
      </c>
      <c r="I17" s="3"/>
    </row>
    <row r="18" spans="1:9" x14ac:dyDescent="0.25">
      <c r="A18" s="2">
        <v>16</v>
      </c>
      <c r="B18" s="2">
        <v>8</v>
      </c>
      <c r="C18" s="3">
        <f t="shared" ca="1" si="0"/>
        <v>5</v>
      </c>
      <c r="D18" s="4">
        <f t="shared" ca="1" si="1"/>
        <v>3</v>
      </c>
      <c r="E18" s="5">
        <f t="shared" ca="1" si="2"/>
        <v>0.1875</v>
      </c>
      <c r="F18" s="2">
        <v>1</v>
      </c>
      <c r="G18" s="3">
        <f t="shared" si="3"/>
        <v>16</v>
      </c>
      <c r="H18" s="2" t="s">
        <v>12</v>
      </c>
      <c r="I18" s="3"/>
    </row>
    <row r="19" spans="1:9" x14ac:dyDescent="0.25">
      <c r="A19" s="2">
        <v>17</v>
      </c>
      <c r="B19" s="2">
        <v>16</v>
      </c>
      <c r="C19" s="3">
        <f t="shared" ca="1" si="0"/>
        <v>2</v>
      </c>
      <c r="D19" s="4">
        <f t="shared" ca="1" si="1"/>
        <v>-1</v>
      </c>
      <c r="E19" s="5">
        <f t="shared" ca="1" si="2"/>
        <v>-5.8823529411764705E-2</v>
      </c>
      <c r="F19" s="2">
        <v>1</v>
      </c>
      <c r="G19" s="3">
        <f t="shared" si="3"/>
        <v>17</v>
      </c>
      <c r="H19" s="2" t="s">
        <v>11</v>
      </c>
      <c r="I19" s="3">
        <v>-1</v>
      </c>
    </row>
    <row r="20" spans="1:9" x14ac:dyDescent="0.25">
      <c r="A20" s="2">
        <v>18</v>
      </c>
      <c r="B20" s="2">
        <v>6</v>
      </c>
      <c r="C20" s="3">
        <f t="shared" ca="1" si="0"/>
        <v>6</v>
      </c>
      <c r="D20" s="4">
        <f t="shared" ca="1" si="1"/>
        <v>6</v>
      </c>
      <c r="E20" s="5">
        <f t="shared" ca="1" si="2"/>
        <v>0.33333333333333331</v>
      </c>
      <c r="F20" s="2">
        <v>2</v>
      </c>
      <c r="G20" s="3">
        <f t="shared" si="3"/>
        <v>18</v>
      </c>
      <c r="H20" s="2" t="s">
        <v>12</v>
      </c>
      <c r="I20" s="3"/>
    </row>
    <row r="21" spans="1:9" x14ac:dyDescent="0.25">
      <c r="A21" s="2">
        <v>19</v>
      </c>
      <c r="B21" s="2">
        <v>18</v>
      </c>
      <c r="C21" s="3">
        <f t="shared" ca="1" si="0"/>
        <v>2</v>
      </c>
      <c r="D21" s="4">
        <f t="shared" ca="1" si="1"/>
        <v>-1</v>
      </c>
      <c r="E21" s="5">
        <f t="shared" ca="1" si="2"/>
        <v>-5.2631578947368418E-2</v>
      </c>
      <c r="F21" s="2">
        <v>1</v>
      </c>
      <c r="G21" s="3">
        <f t="shared" si="3"/>
        <v>19</v>
      </c>
      <c r="H21" s="2" t="s">
        <v>11</v>
      </c>
      <c r="I21" s="3">
        <v>-1</v>
      </c>
    </row>
    <row r="22" spans="1:9" x14ac:dyDescent="0.25">
      <c r="A22" s="2">
        <v>20</v>
      </c>
      <c r="B22" s="2">
        <v>8</v>
      </c>
      <c r="C22" s="3">
        <f t="shared" ca="1" si="0"/>
        <v>6</v>
      </c>
      <c r="D22" s="4">
        <f t="shared" ca="1" si="1"/>
        <v>6</v>
      </c>
      <c r="E22" s="5">
        <f t="shared" ca="1" si="2"/>
        <v>0.3</v>
      </c>
      <c r="F22" s="2">
        <v>2</v>
      </c>
      <c r="G22" s="3">
        <f t="shared" si="3"/>
        <v>20</v>
      </c>
      <c r="H22" s="2" t="s">
        <v>12</v>
      </c>
      <c r="I22" s="3"/>
    </row>
    <row r="23" spans="1:9" x14ac:dyDescent="0.25">
      <c r="A23" s="2">
        <v>21</v>
      </c>
      <c r="B23" s="2">
        <v>12</v>
      </c>
      <c r="C23" s="3">
        <f t="shared" ca="1" si="0"/>
        <v>4</v>
      </c>
      <c r="D23" s="4">
        <f t="shared" ca="1" si="1"/>
        <v>5</v>
      </c>
      <c r="E23" s="5">
        <f t="shared" ca="1" si="2"/>
        <v>0.23809523809523808</v>
      </c>
      <c r="F23" s="2">
        <v>2</v>
      </c>
      <c r="G23" s="3">
        <f t="shared" si="3"/>
        <v>21</v>
      </c>
      <c r="H23" s="2" t="s">
        <v>12</v>
      </c>
      <c r="I23" s="3"/>
    </row>
    <row r="24" spans="1:9" x14ac:dyDescent="0.25">
      <c r="A24" s="2">
        <v>22</v>
      </c>
      <c r="B24" s="2">
        <v>10</v>
      </c>
      <c r="C24" s="3">
        <f t="shared" ca="1" si="0"/>
        <v>4</v>
      </c>
      <c r="D24" s="4">
        <f t="shared" ca="1" si="1"/>
        <v>8</v>
      </c>
      <c r="E24" s="5">
        <f t="shared" ca="1" si="2"/>
        <v>0.36363636363636365</v>
      </c>
      <c r="F24" s="2">
        <v>2</v>
      </c>
      <c r="G24" s="3">
        <f t="shared" si="3"/>
        <v>22</v>
      </c>
      <c r="H24" s="2" t="s">
        <v>12</v>
      </c>
      <c r="I24" s="3"/>
    </row>
    <row r="25" spans="1:9" x14ac:dyDescent="0.25">
      <c r="A25" s="2">
        <v>23</v>
      </c>
      <c r="B25" s="2">
        <v>22</v>
      </c>
      <c r="C25" s="3">
        <f t="shared" ca="1" si="0"/>
        <v>2</v>
      </c>
      <c r="D25" s="4">
        <f t="shared" ca="1" si="1"/>
        <v>-1</v>
      </c>
      <c r="E25" s="5">
        <f t="shared" ca="1" si="2"/>
        <v>-4.3478260869565216E-2</v>
      </c>
      <c r="F25" s="2">
        <v>1</v>
      </c>
      <c r="G25" s="3">
        <f t="shared" si="3"/>
        <v>23</v>
      </c>
      <c r="H25" s="2" t="s">
        <v>11</v>
      </c>
      <c r="I25" s="3">
        <v>-1</v>
      </c>
    </row>
    <row r="26" spans="1:9" x14ac:dyDescent="0.25">
      <c r="A26" s="2">
        <v>24</v>
      </c>
      <c r="B26" s="2">
        <v>8</v>
      </c>
      <c r="C26" s="3">
        <f t="shared" ca="1" si="0"/>
        <v>8</v>
      </c>
      <c r="D26" s="4">
        <f t="shared" ca="1" si="1"/>
        <v>8</v>
      </c>
      <c r="E26" s="5">
        <f t="shared" ca="1" si="2"/>
        <v>0.33333333333333331</v>
      </c>
      <c r="F26" s="2">
        <v>2</v>
      </c>
      <c r="G26" s="3">
        <f t="shared" si="3"/>
        <v>24</v>
      </c>
      <c r="H26" s="2" t="s">
        <v>12</v>
      </c>
      <c r="I26" s="3"/>
    </row>
    <row r="27" spans="1:9" x14ac:dyDescent="0.25">
      <c r="A27" s="2">
        <v>25</v>
      </c>
      <c r="B27" s="2">
        <v>20</v>
      </c>
      <c r="C27" s="3">
        <f t="shared" ca="1" si="0"/>
        <v>3</v>
      </c>
      <c r="D27" s="4">
        <f t="shared" ca="1" si="1"/>
        <v>2</v>
      </c>
      <c r="E27" s="5">
        <f t="shared" ca="1" si="2"/>
        <v>0.08</v>
      </c>
      <c r="F27" s="2">
        <v>1</v>
      </c>
      <c r="G27" s="3">
        <f t="shared" si="3"/>
        <v>25</v>
      </c>
      <c r="H27" s="2" t="s">
        <v>12</v>
      </c>
      <c r="I27" s="3"/>
    </row>
    <row r="28" spans="1:9" x14ac:dyDescent="0.25">
      <c r="A28" s="2">
        <v>26</v>
      </c>
      <c r="B28" s="2">
        <v>12</v>
      </c>
      <c r="C28" s="3">
        <f t="shared" ca="1" si="0"/>
        <v>4</v>
      </c>
      <c r="D28" s="4">
        <f t="shared" ca="1" si="1"/>
        <v>10</v>
      </c>
      <c r="E28" s="5">
        <f t="shared" ca="1" si="2"/>
        <v>0.38461538461538464</v>
      </c>
      <c r="F28" s="2">
        <v>2</v>
      </c>
      <c r="G28" s="3">
        <f t="shared" si="3"/>
        <v>26</v>
      </c>
      <c r="H28" s="2" t="s">
        <v>12</v>
      </c>
      <c r="I28" s="3"/>
    </row>
    <row r="29" spans="1:9" x14ac:dyDescent="0.25">
      <c r="A29" s="2">
        <v>27</v>
      </c>
      <c r="B29" s="2">
        <v>18</v>
      </c>
      <c r="C29" s="3">
        <f t="shared" ca="1" si="0"/>
        <v>4</v>
      </c>
      <c r="D29" s="4">
        <f t="shared" ca="1" si="1"/>
        <v>5</v>
      </c>
      <c r="E29" s="5">
        <f t="shared" ca="1" si="2"/>
        <v>0.18518518518518517</v>
      </c>
      <c r="F29" s="2">
        <v>1</v>
      </c>
      <c r="G29" s="3">
        <f t="shared" si="3"/>
        <v>27</v>
      </c>
      <c r="H29" s="2" t="s">
        <v>12</v>
      </c>
      <c r="I29" s="3"/>
    </row>
    <row r="30" spans="1:9" x14ac:dyDescent="0.25">
      <c r="A30" s="2">
        <v>28</v>
      </c>
      <c r="B30" s="2">
        <v>12</v>
      </c>
      <c r="C30" s="3">
        <f t="shared" ca="1" si="0"/>
        <v>6</v>
      </c>
      <c r="D30" s="4">
        <f t="shared" ca="1" si="1"/>
        <v>10</v>
      </c>
      <c r="E30" s="5">
        <f t="shared" ca="1" si="2"/>
        <v>0.35714285714285715</v>
      </c>
      <c r="F30" s="2">
        <v>2</v>
      </c>
      <c r="G30" s="3">
        <f t="shared" si="3"/>
        <v>28</v>
      </c>
      <c r="H30" s="2" t="s">
        <v>12</v>
      </c>
      <c r="I30" s="3"/>
    </row>
    <row r="31" spans="1:9" x14ac:dyDescent="0.25">
      <c r="A31" s="2">
        <v>29</v>
      </c>
      <c r="B31" s="2">
        <v>28</v>
      </c>
      <c r="C31" s="3">
        <f t="shared" ca="1" si="0"/>
        <v>2</v>
      </c>
      <c r="D31" s="4">
        <f t="shared" ca="1" si="1"/>
        <v>-1</v>
      </c>
      <c r="E31" s="5">
        <f t="shared" ca="1" si="2"/>
        <v>-3.4482758620689655E-2</v>
      </c>
      <c r="F31" s="2">
        <v>1</v>
      </c>
      <c r="G31" s="3">
        <f t="shared" si="3"/>
        <v>29</v>
      </c>
      <c r="H31" s="2" t="s">
        <v>11</v>
      </c>
      <c r="I31" s="3">
        <v>-1</v>
      </c>
    </row>
    <row r="32" spans="1:9" x14ac:dyDescent="0.25">
      <c r="A32" s="2">
        <v>30</v>
      </c>
      <c r="B32" s="2">
        <v>8</v>
      </c>
      <c r="C32" s="3">
        <f t="shared" ca="1" si="0"/>
        <v>8</v>
      </c>
      <c r="D32" s="4">
        <f t="shared" ca="1" si="1"/>
        <v>14</v>
      </c>
      <c r="E32" s="5">
        <f t="shared" ca="1" si="2"/>
        <v>0.46666666666666667</v>
      </c>
      <c r="F32" s="2">
        <v>3</v>
      </c>
      <c r="G32" s="3">
        <f t="shared" si="3"/>
        <v>0</v>
      </c>
      <c r="H32" s="2" t="s">
        <v>12</v>
      </c>
      <c r="I32" s="3"/>
    </row>
    <row r="33" spans="1:9" x14ac:dyDescent="0.25">
      <c r="A33" s="2">
        <v>31</v>
      </c>
      <c r="B33" s="2">
        <v>30</v>
      </c>
      <c r="C33" s="3">
        <f t="shared" ca="1" si="0"/>
        <v>2</v>
      </c>
      <c r="D33" s="4">
        <f t="shared" ca="1" si="1"/>
        <v>-1</v>
      </c>
      <c r="E33" s="5">
        <f t="shared" ca="1" si="2"/>
        <v>-3.2258064516129031E-2</v>
      </c>
      <c r="F33" s="2">
        <v>1</v>
      </c>
      <c r="G33" s="3">
        <f t="shared" si="3"/>
        <v>1</v>
      </c>
      <c r="H33" s="2" t="s">
        <v>11</v>
      </c>
      <c r="I33" s="3">
        <v>-1</v>
      </c>
    </row>
    <row r="34" spans="1:9" x14ac:dyDescent="0.25">
      <c r="A34" s="2">
        <v>32</v>
      </c>
      <c r="B34" s="2">
        <v>16</v>
      </c>
      <c r="C34" s="3">
        <f t="shared" ca="1" si="0"/>
        <v>6</v>
      </c>
      <c r="D34" s="4">
        <f t="shared" ca="1" si="1"/>
        <v>10</v>
      </c>
      <c r="E34" s="5">
        <f t="shared" ca="1" si="2"/>
        <v>0.3125</v>
      </c>
      <c r="F34" s="2">
        <v>1</v>
      </c>
      <c r="G34" s="3">
        <f t="shared" si="3"/>
        <v>2</v>
      </c>
      <c r="H34" s="2" t="s">
        <v>12</v>
      </c>
      <c r="I34" s="3"/>
    </row>
    <row r="35" spans="1:9" x14ac:dyDescent="0.25">
      <c r="A35" s="2">
        <v>33</v>
      </c>
      <c r="B35" s="2">
        <v>20</v>
      </c>
      <c r="C35" s="3">
        <f t="shared" ca="1" si="0"/>
        <v>4</v>
      </c>
      <c r="D35" s="4">
        <f t="shared" ca="1" si="1"/>
        <v>9</v>
      </c>
      <c r="E35" s="5">
        <f t="shared" ca="1" si="2"/>
        <v>0.27272727272727271</v>
      </c>
      <c r="F35" s="2">
        <v>2</v>
      </c>
      <c r="G35" s="3">
        <f t="shared" si="3"/>
        <v>3</v>
      </c>
      <c r="H35" s="2" t="s">
        <v>12</v>
      </c>
      <c r="I35" s="3"/>
    </row>
    <row r="36" spans="1:9" x14ac:dyDescent="0.25">
      <c r="A36" s="2">
        <v>34</v>
      </c>
      <c r="B36" s="2">
        <v>16</v>
      </c>
      <c r="C36" s="3">
        <f t="shared" ca="1" si="0"/>
        <v>4</v>
      </c>
      <c r="D36" s="4">
        <f t="shared" ca="1" si="1"/>
        <v>14</v>
      </c>
      <c r="E36" s="5">
        <f t="shared" ca="1" si="2"/>
        <v>0.41176470588235292</v>
      </c>
      <c r="F36" s="2">
        <v>2</v>
      </c>
      <c r="G36" s="3">
        <f t="shared" si="3"/>
        <v>4</v>
      </c>
      <c r="H36" s="2" t="s">
        <v>12</v>
      </c>
      <c r="I36" s="3"/>
    </row>
    <row r="37" spans="1:9" x14ac:dyDescent="0.25">
      <c r="A37" s="2">
        <v>35</v>
      </c>
      <c r="B37" s="2">
        <v>24</v>
      </c>
      <c r="C37" s="3">
        <f t="shared" ca="1" si="0"/>
        <v>4</v>
      </c>
      <c r="D37" s="4">
        <f t="shared" ca="1" si="1"/>
        <v>7</v>
      </c>
      <c r="E37" s="5">
        <f t="shared" ca="1" si="2"/>
        <v>0.2</v>
      </c>
      <c r="F37" s="2">
        <v>2</v>
      </c>
      <c r="G37" s="3">
        <f t="shared" si="3"/>
        <v>5</v>
      </c>
      <c r="H37" s="2" t="s">
        <v>12</v>
      </c>
      <c r="I37" s="3"/>
    </row>
    <row r="38" spans="1:9" x14ac:dyDescent="0.25">
      <c r="A38" s="2">
        <v>36</v>
      </c>
      <c r="B38" s="2">
        <v>12</v>
      </c>
      <c r="C38" s="3">
        <f t="shared" ca="1" si="0"/>
        <v>9</v>
      </c>
      <c r="D38" s="4">
        <f t="shared" ca="1" si="1"/>
        <v>15</v>
      </c>
      <c r="E38" s="5">
        <f t="shared" ca="1" si="2"/>
        <v>0.41666666666666669</v>
      </c>
      <c r="F38" s="2">
        <v>2</v>
      </c>
      <c r="G38" s="3">
        <f t="shared" si="3"/>
        <v>6</v>
      </c>
      <c r="H38" s="2" t="s">
        <v>12</v>
      </c>
      <c r="I38" s="3"/>
    </row>
    <row r="39" spans="1:9" x14ac:dyDescent="0.25">
      <c r="A39" s="2">
        <v>37</v>
      </c>
      <c r="B39" s="2">
        <v>36</v>
      </c>
      <c r="C39" s="3">
        <f t="shared" ca="1" si="0"/>
        <v>2</v>
      </c>
      <c r="D39" s="4">
        <f t="shared" ca="1" si="1"/>
        <v>-1</v>
      </c>
      <c r="E39" s="5">
        <f t="shared" ca="1" si="2"/>
        <v>-2.7027027027027029E-2</v>
      </c>
      <c r="F39" s="2">
        <v>1</v>
      </c>
      <c r="G39" s="3">
        <f t="shared" si="3"/>
        <v>7</v>
      </c>
      <c r="H39" s="2" t="s">
        <v>11</v>
      </c>
      <c r="I39" s="3">
        <v>-1</v>
      </c>
    </row>
    <row r="40" spans="1:9" x14ac:dyDescent="0.25">
      <c r="A40" s="2">
        <v>38</v>
      </c>
      <c r="B40" s="2">
        <v>18</v>
      </c>
      <c r="C40" s="3">
        <f t="shared" ca="1" si="0"/>
        <v>4</v>
      </c>
      <c r="D40" s="4">
        <f t="shared" ca="1" si="1"/>
        <v>16</v>
      </c>
      <c r="E40" s="5">
        <f t="shared" ca="1" si="2"/>
        <v>0.42105263157894735</v>
      </c>
      <c r="F40" s="2">
        <v>2</v>
      </c>
      <c r="G40" s="3">
        <f t="shared" si="3"/>
        <v>8</v>
      </c>
      <c r="H40" s="2" t="s">
        <v>12</v>
      </c>
      <c r="I40" s="3"/>
    </row>
    <row r="41" spans="1:9" x14ac:dyDescent="0.25">
      <c r="A41" s="2">
        <v>39</v>
      </c>
      <c r="B41" s="2">
        <v>24</v>
      </c>
      <c r="C41" s="3">
        <f t="shared" ca="1" si="0"/>
        <v>4</v>
      </c>
      <c r="D41" s="4">
        <f t="shared" ca="1" si="1"/>
        <v>11</v>
      </c>
      <c r="E41" s="5">
        <f t="shared" ca="1" si="2"/>
        <v>0.28205128205128205</v>
      </c>
      <c r="F41" s="2">
        <v>2</v>
      </c>
      <c r="G41" s="3">
        <f t="shared" si="3"/>
        <v>9</v>
      </c>
      <c r="H41" s="2" t="s">
        <v>12</v>
      </c>
      <c r="I41" s="3"/>
    </row>
    <row r="42" spans="1:9" x14ac:dyDescent="0.25">
      <c r="A42" s="2">
        <v>40</v>
      </c>
      <c r="B42" s="2">
        <v>16</v>
      </c>
      <c r="C42" s="3">
        <f t="shared" ca="1" si="0"/>
        <v>8</v>
      </c>
      <c r="D42" s="4">
        <f t="shared" ca="1" si="1"/>
        <v>16</v>
      </c>
      <c r="E42" s="5">
        <f t="shared" ca="1" si="2"/>
        <v>0.4</v>
      </c>
      <c r="F42" s="2">
        <v>2</v>
      </c>
      <c r="G42" s="3">
        <f t="shared" si="3"/>
        <v>10</v>
      </c>
      <c r="H42" s="2" t="s">
        <v>12</v>
      </c>
      <c r="I42" s="3"/>
    </row>
    <row r="43" spans="1:9" x14ac:dyDescent="0.25">
      <c r="A43" s="2">
        <v>41</v>
      </c>
      <c r="B43" s="2">
        <v>40</v>
      </c>
      <c r="C43" s="3">
        <f t="shared" ca="1" si="0"/>
        <v>2</v>
      </c>
      <c r="D43" s="4">
        <f t="shared" ca="1" si="1"/>
        <v>-1</v>
      </c>
      <c r="E43" s="5">
        <f t="shared" ca="1" si="2"/>
        <v>-2.4390243902439025E-2</v>
      </c>
      <c r="F43" s="2">
        <v>1</v>
      </c>
      <c r="G43" s="3">
        <f t="shared" si="3"/>
        <v>11</v>
      </c>
      <c r="H43" s="2" t="s">
        <v>11</v>
      </c>
      <c r="I43" s="3">
        <v>-1</v>
      </c>
    </row>
    <row r="44" spans="1:9" x14ac:dyDescent="0.25">
      <c r="A44" s="2">
        <v>42</v>
      </c>
      <c r="B44" s="2">
        <v>12</v>
      </c>
      <c r="C44" s="3">
        <f t="shared" ca="1" si="0"/>
        <v>8</v>
      </c>
      <c r="D44" s="4">
        <f t="shared" ca="1" si="1"/>
        <v>22</v>
      </c>
      <c r="E44" s="5">
        <f t="shared" ca="1" si="2"/>
        <v>0.52380952380952384</v>
      </c>
      <c r="F44" s="2">
        <v>3</v>
      </c>
      <c r="G44" s="3">
        <f t="shared" si="3"/>
        <v>12</v>
      </c>
      <c r="H44" s="2" t="s">
        <v>12</v>
      </c>
      <c r="I44" s="3"/>
    </row>
    <row r="45" spans="1:9" x14ac:dyDescent="0.25">
      <c r="A45" s="2">
        <v>43</v>
      </c>
      <c r="B45" s="2">
        <v>42</v>
      </c>
      <c r="C45" s="3">
        <f t="shared" ca="1" si="0"/>
        <v>2</v>
      </c>
      <c r="D45" s="4">
        <f t="shared" ca="1" si="1"/>
        <v>-1</v>
      </c>
      <c r="E45" s="5">
        <f t="shared" ca="1" si="2"/>
        <v>-2.3255813953488372E-2</v>
      </c>
      <c r="F45" s="2">
        <v>1</v>
      </c>
      <c r="G45" s="3">
        <f t="shared" si="3"/>
        <v>13</v>
      </c>
      <c r="H45" s="2" t="s">
        <v>11</v>
      </c>
      <c r="I45" s="3">
        <v>-1</v>
      </c>
    </row>
    <row r="46" spans="1:9" x14ac:dyDescent="0.25">
      <c r="A46" s="2">
        <v>44</v>
      </c>
      <c r="B46" s="2">
        <v>20</v>
      </c>
      <c r="C46" s="3">
        <f t="shared" ca="1" si="0"/>
        <v>6</v>
      </c>
      <c r="D46" s="4">
        <f t="shared" ca="1" si="1"/>
        <v>18</v>
      </c>
      <c r="E46" s="5">
        <f t="shared" ca="1" si="2"/>
        <v>0.40909090909090912</v>
      </c>
      <c r="F46" s="2">
        <v>2</v>
      </c>
      <c r="G46" s="3">
        <f t="shared" si="3"/>
        <v>14</v>
      </c>
      <c r="H46" s="2" t="s">
        <v>12</v>
      </c>
      <c r="I46" s="3"/>
    </row>
    <row r="47" spans="1:9" x14ac:dyDescent="0.25">
      <c r="A47" s="2">
        <v>45</v>
      </c>
      <c r="B47" s="2">
        <v>24</v>
      </c>
      <c r="C47" s="3">
        <f t="shared" ca="1" si="0"/>
        <v>6</v>
      </c>
      <c r="D47" s="4">
        <f t="shared" ca="1" si="1"/>
        <v>15</v>
      </c>
      <c r="E47" s="5">
        <f t="shared" ca="1" si="2"/>
        <v>0.33333333333333331</v>
      </c>
      <c r="F47" s="2">
        <v>2</v>
      </c>
      <c r="G47" s="3">
        <f t="shared" si="3"/>
        <v>15</v>
      </c>
      <c r="H47" s="2" t="s">
        <v>12</v>
      </c>
      <c r="I47" s="3"/>
    </row>
    <row r="48" spans="1:9" x14ac:dyDescent="0.25">
      <c r="A48" s="2">
        <v>46</v>
      </c>
      <c r="B48" s="2">
        <v>22</v>
      </c>
      <c r="C48" s="3">
        <f t="shared" ca="1" si="0"/>
        <v>4</v>
      </c>
      <c r="D48" s="4">
        <f t="shared" ca="1" si="1"/>
        <v>20</v>
      </c>
      <c r="E48" s="5">
        <f t="shared" ca="1" si="2"/>
        <v>0.43478260869565216</v>
      </c>
      <c r="F48" s="2">
        <v>2</v>
      </c>
      <c r="G48" s="3">
        <f t="shared" si="3"/>
        <v>16</v>
      </c>
      <c r="H48" s="2" t="s">
        <v>12</v>
      </c>
      <c r="I48" s="3"/>
    </row>
    <row r="49" spans="1:9" x14ac:dyDescent="0.25">
      <c r="A49" s="2">
        <v>47</v>
      </c>
      <c r="B49" s="2">
        <v>46</v>
      </c>
      <c r="C49" s="3">
        <f t="shared" ca="1" si="0"/>
        <v>2</v>
      </c>
      <c r="D49" s="4">
        <f t="shared" ca="1" si="1"/>
        <v>-1</v>
      </c>
      <c r="E49" s="5">
        <f t="shared" ca="1" si="2"/>
        <v>-2.1276595744680851E-2</v>
      </c>
      <c r="F49" s="2">
        <v>1</v>
      </c>
      <c r="G49" s="3">
        <f t="shared" si="3"/>
        <v>17</v>
      </c>
      <c r="H49" s="2" t="s">
        <v>11</v>
      </c>
      <c r="I49" s="3">
        <v>-1</v>
      </c>
    </row>
    <row r="50" spans="1:9" x14ac:dyDescent="0.25">
      <c r="A50" s="2">
        <v>48</v>
      </c>
      <c r="B50" s="2">
        <v>16</v>
      </c>
      <c r="C50" s="3">
        <f t="shared" ca="1" si="0"/>
        <v>10</v>
      </c>
      <c r="D50" s="4">
        <f t="shared" ca="1" si="1"/>
        <v>22</v>
      </c>
      <c r="E50" s="5">
        <f t="shared" ca="1" si="2"/>
        <v>0.45833333333333331</v>
      </c>
      <c r="F50" s="2">
        <v>2</v>
      </c>
      <c r="G50" s="3">
        <f t="shared" si="3"/>
        <v>18</v>
      </c>
      <c r="H50" s="2" t="s">
        <v>12</v>
      </c>
      <c r="I50" s="3"/>
    </row>
    <row r="51" spans="1:9" x14ac:dyDescent="0.25">
      <c r="A51" s="2">
        <v>49</v>
      </c>
      <c r="B51" s="2">
        <v>42</v>
      </c>
      <c r="C51" s="3">
        <f t="shared" ca="1" si="0"/>
        <v>3</v>
      </c>
      <c r="D51" s="4">
        <f t="shared" ca="1" si="1"/>
        <v>4</v>
      </c>
      <c r="E51" s="5">
        <f t="shared" ca="1" si="2"/>
        <v>8.1632653061224483E-2</v>
      </c>
      <c r="F51" s="2">
        <v>1</v>
      </c>
      <c r="G51" s="3">
        <f t="shared" si="3"/>
        <v>19</v>
      </c>
      <c r="H51" s="2" t="s">
        <v>12</v>
      </c>
      <c r="I51" s="3"/>
    </row>
    <row r="52" spans="1:9" x14ac:dyDescent="0.25">
      <c r="A52" s="2">
        <v>50</v>
      </c>
      <c r="B52" s="2">
        <v>20</v>
      </c>
      <c r="C52" s="3">
        <f t="shared" ca="1" si="0"/>
        <v>6</v>
      </c>
      <c r="D52" s="4">
        <f t="shared" ca="1" si="1"/>
        <v>24</v>
      </c>
      <c r="E52" s="5">
        <f t="shared" ca="1" si="2"/>
        <v>0.48</v>
      </c>
      <c r="F52" s="2">
        <v>2</v>
      </c>
      <c r="G52" s="3">
        <f t="shared" si="3"/>
        <v>20</v>
      </c>
      <c r="H52" s="2" t="s">
        <v>12</v>
      </c>
      <c r="I52" s="3"/>
    </row>
    <row r="53" spans="1:9" x14ac:dyDescent="0.25">
      <c r="A53" s="2">
        <v>51</v>
      </c>
      <c r="B53" s="2">
        <v>32</v>
      </c>
      <c r="C53" s="3">
        <f t="shared" ca="1" si="0"/>
        <v>4</v>
      </c>
      <c r="D53" s="4">
        <f t="shared" ca="1" si="1"/>
        <v>15</v>
      </c>
      <c r="E53" s="5">
        <f t="shared" ca="1" si="2"/>
        <v>0.29411764705882354</v>
      </c>
      <c r="F53" s="2">
        <v>2</v>
      </c>
      <c r="G53" s="3">
        <f t="shared" si="3"/>
        <v>21</v>
      </c>
      <c r="H53" s="2" t="s">
        <v>12</v>
      </c>
      <c r="I53" s="3"/>
    </row>
    <row r="54" spans="1:9" x14ac:dyDescent="0.25">
      <c r="A54" s="2">
        <v>52</v>
      </c>
      <c r="B54" s="2">
        <v>24</v>
      </c>
      <c r="C54" s="3">
        <f t="shared" ca="1" si="0"/>
        <v>6</v>
      </c>
      <c r="D54" s="4">
        <f t="shared" ca="1" si="1"/>
        <v>22</v>
      </c>
      <c r="E54" s="5">
        <f t="shared" ca="1" si="2"/>
        <v>0.42307692307692307</v>
      </c>
      <c r="F54" s="2">
        <v>2</v>
      </c>
      <c r="G54" s="3">
        <f t="shared" si="3"/>
        <v>22</v>
      </c>
      <c r="H54" s="2" t="s">
        <v>12</v>
      </c>
      <c r="I54" s="3"/>
    </row>
    <row r="55" spans="1:9" x14ac:dyDescent="0.25">
      <c r="A55" s="2">
        <v>53</v>
      </c>
      <c r="B55" s="2">
        <v>52</v>
      </c>
      <c r="C55" s="3">
        <f t="shared" ca="1" si="0"/>
        <v>2</v>
      </c>
      <c r="D55" s="4">
        <f t="shared" ca="1" si="1"/>
        <v>-1</v>
      </c>
      <c r="E55" s="5">
        <f t="shared" ca="1" si="2"/>
        <v>-1.8867924528301886E-2</v>
      </c>
      <c r="F55" s="2">
        <v>1</v>
      </c>
      <c r="G55" s="3">
        <f t="shared" si="3"/>
        <v>23</v>
      </c>
      <c r="H55" s="2" t="s">
        <v>11</v>
      </c>
      <c r="I55" s="3">
        <v>-1</v>
      </c>
    </row>
    <row r="56" spans="1:9" x14ac:dyDescent="0.25">
      <c r="A56" s="2">
        <v>54</v>
      </c>
      <c r="B56" s="2">
        <v>18</v>
      </c>
      <c r="C56" s="3">
        <f t="shared" ca="1" si="0"/>
        <v>8</v>
      </c>
      <c r="D56" s="4">
        <f t="shared" ca="1" si="1"/>
        <v>28</v>
      </c>
      <c r="E56" s="5">
        <f t="shared" ca="1" si="2"/>
        <v>0.51851851851851849</v>
      </c>
      <c r="F56" s="2">
        <v>2</v>
      </c>
      <c r="G56" s="3">
        <f t="shared" si="3"/>
        <v>24</v>
      </c>
      <c r="H56" s="2" t="s">
        <v>12</v>
      </c>
      <c r="I56" s="3"/>
    </row>
    <row r="57" spans="1:9" x14ac:dyDescent="0.25">
      <c r="A57" s="2">
        <v>55</v>
      </c>
      <c r="B57" s="2">
        <v>40</v>
      </c>
      <c r="C57" s="3">
        <f t="shared" ca="1" si="0"/>
        <v>4</v>
      </c>
      <c r="D57" s="4">
        <f t="shared" ca="1" si="1"/>
        <v>11</v>
      </c>
      <c r="E57" s="5">
        <f t="shared" ca="1" si="2"/>
        <v>0.2</v>
      </c>
      <c r="F57" s="2">
        <v>2</v>
      </c>
      <c r="G57" s="3">
        <f t="shared" si="3"/>
        <v>25</v>
      </c>
      <c r="H57" s="2" t="s">
        <v>12</v>
      </c>
      <c r="I57" s="3"/>
    </row>
    <row r="58" spans="1:9" x14ac:dyDescent="0.25">
      <c r="A58" s="2">
        <v>56</v>
      </c>
      <c r="B58" s="2">
        <v>24</v>
      </c>
      <c r="C58" s="3">
        <f t="shared" ca="1" si="0"/>
        <v>8</v>
      </c>
      <c r="D58" s="4">
        <f t="shared" ca="1" si="1"/>
        <v>24</v>
      </c>
      <c r="E58" s="5">
        <f t="shared" ca="1" si="2"/>
        <v>0.42857142857142855</v>
      </c>
      <c r="F58" s="2">
        <v>2</v>
      </c>
      <c r="G58" s="3">
        <f t="shared" si="3"/>
        <v>26</v>
      </c>
      <c r="H58" s="2" t="s">
        <v>12</v>
      </c>
      <c r="I58" s="3"/>
    </row>
    <row r="59" spans="1:9" x14ac:dyDescent="0.25">
      <c r="A59" s="2">
        <v>57</v>
      </c>
      <c r="B59" s="2">
        <v>36</v>
      </c>
      <c r="C59" s="3">
        <f t="shared" ca="1" si="0"/>
        <v>4</v>
      </c>
      <c r="D59" s="4">
        <f t="shared" ca="1" si="1"/>
        <v>17</v>
      </c>
      <c r="E59" s="5">
        <f t="shared" ca="1" si="2"/>
        <v>0.2982456140350877</v>
      </c>
      <c r="F59" s="2">
        <v>2</v>
      </c>
      <c r="G59" s="3">
        <f t="shared" si="3"/>
        <v>27</v>
      </c>
      <c r="H59" s="2" t="s">
        <v>12</v>
      </c>
      <c r="I59" s="3"/>
    </row>
    <row r="60" spans="1:9" x14ac:dyDescent="0.25">
      <c r="A60" s="2">
        <v>58</v>
      </c>
      <c r="B60" s="2">
        <v>28</v>
      </c>
      <c r="C60" s="3">
        <f t="shared" ca="1" si="0"/>
        <v>4</v>
      </c>
      <c r="D60" s="4">
        <f t="shared" ca="1" si="1"/>
        <v>26</v>
      </c>
      <c r="E60" s="5">
        <f t="shared" ca="1" si="2"/>
        <v>0.44827586206896552</v>
      </c>
      <c r="F60" s="2">
        <v>2</v>
      </c>
      <c r="G60" s="3">
        <f t="shared" si="3"/>
        <v>28</v>
      </c>
      <c r="H60" s="2" t="s">
        <v>12</v>
      </c>
      <c r="I60" s="3"/>
    </row>
    <row r="61" spans="1:9" x14ac:dyDescent="0.25">
      <c r="A61" s="2">
        <v>59</v>
      </c>
      <c r="B61" s="2">
        <v>58</v>
      </c>
      <c r="C61" s="3">
        <f t="shared" ca="1" si="0"/>
        <v>2</v>
      </c>
      <c r="D61" s="4">
        <f t="shared" ca="1" si="1"/>
        <v>-1</v>
      </c>
      <c r="E61" s="5">
        <f t="shared" ca="1" si="2"/>
        <v>-1.6949152542372881E-2</v>
      </c>
      <c r="F61" s="2">
        <v>1</v>
      </c>
      <c r="G61" s="3">
        <f t="shared" si="3"/>
        <v>29</v>
      </c>
      <c r="H61" s="2" t="s">
        <v>11</v>
      </c>
      <c r="I61" s="3">
        <v>-1</v>
      </c>
    </row>
    <row r="62" spans="1:9" x14ac:dyDescent="0.25">
      <c r="A62" s="2">
        <v>60</v>
      </c>
      <c r="B62" s="2">
        <v>16</v>
      </c>
      <c r="C62" s="3">
        <f t="shared" ca="1" si="0"/>
        <v>12</v>
      </c>
      <c r="D62" s="4">
        <f t="shared" ca="1" si="1"/>
        <v>32</v>
      </c>
      <c r="E62" s="5">
        <f t="shared" ca="1" si="2"/>
        <v>0.53333333333333333</v>
      </c>
      <c r="F62" s="2">
        <v>3</v>
      </c>
      <c r="G62" s="3">
        <f t="shared" si="3"/>
        <v>0</v>
      </c>
      <c r="H62" s="2" t="s">
        <v>12</v>
      </c>
      <c r="I62" s="3"/>
    </row>
    <row r="63" spans="1:9" x14ac:dyDescent="0.25">
      <c r="A63" s="2">
        <v>61</v>
      </c>
      <c r="B63" s="2">
        <v>60</v>
      </c>
      <c r="C63" s="3">
        <f t="shared" ca="1" si="0"/>
        <v>2</v>
      </c>
      <c r="D63" s="4">
        <f t="shared" ca="1" si="1"/>
        <v>-1</v>
      </c>
      <c r="E63" s="5">
        <f t="shared" ca="1" si="2"/>
        <v>-1.6393442622950821E-2</v>
      </c>
      <c r="F63" s="2">
        <v>1</v>
      </c>
      <c r="G63" s="3">
        <f t="shared" si="3"/>
        <v>1</v>
      </c>
      <c r="H63" s="2" t="s">
        <v>11</v>
      </c>
      <c r="I63" s="3">
        <v>-1</v>
      </c>
    </row>
    <row r="64" spans="1:9" x14ac:dyDescent="0.25">
      <c r="A64" s="2">
        <v>62</v>
      </c>
      <c r="B64" s="2">
        <v>30</v>
      </c>
      <c r="C64" s="3">
        <f t="shared" ca="1" si="0"/>
        <v>4</v>
      </c>
      <c r="D64" s="4">
        <f t="shared" ca="1" si="1"/>
        <v>28</v>
      </c>
      <c r="E64" s="5">
        <f t="shared" ca="1" si="2"/>
        <v>0.45161290322580644</v>
      </c>
      <c r="F64" s="2">
        <v>2</v>
      </c>
      <c r="G64" s="3">
        <f t="shared" si="3"/>
        <v>2</v>
      </c>
      <c r="H64" s="2" t="s">
        <v>12</v>
      </c>
      <c r="I64" s="3"/>
    </row>
    <row r="65" spans="1:9" x14ac:dyDescent="0.25">
      <c r="A65" s="2">
        <v>63</v>
      </c>
      <c r="B65" s="2">
        <v>36</v>
      </c>
      <c r="C65" s="3">
        <f t="shared" ca="1" si="0"/>
        <v>6</v>
      </c>
      <c r="D65" s="4">
        <f t="shared" ca="1" si="1"/>
        <v>21</v>
      </c>
      <c r="E65" s="5">
        <f t="shared" ca="1" si="2"/>
        <v>0.33333333333333331</v>
      </c>
      <c r="F65" s="2">
        <v>2</v>
      </c>
      <c r="G65" s="3">
        <f t="shared" si="3"/>
        <v>3</v>
      </c>
      <c r="H65" s="2" t="s">
        <v>12</v>
      </c>
      <c r="I65" s="3"/>
    </row>
    <row r="66" spans="1:9" x14ac:dyDescent="0.25">
      <c r="A66" s="2">
        <v>64</v>
      </c>
      <c r="B66" s="2">
        <v>32</v>
      </c>
      <c r="C66" s="3">
        <f t="shared" ca="1" si="0"/>
        <v>7</v>
      </c>
      <c r="D66" s="4">
        <f t="shared" ca="1" si="1"/>
        <v>25</v>
      </c>
      <c r="E66" s="5">
        <f t="shared" ca="1" si="2"/>
        <v>0.390625</v>
      </c>
      <c r="F66" s="2">
        <v>1</v>
      </c>
      <c r="G66" s="3">
        <f t="shared" si="3"/>
        <v>4</v>
      </c>
      <c r="H66" s="2" t="s">
        <v>12</v>
      </c>
      <c r="I66" s="3"/>
    </row>
    <row r="67" spans="1:9" x14ac:dyDescent="0.25">
      <c r="A67" s="2">
        <v>65</v>
      </c>
      <c r="B67" s="2">
        <v>48</v>
      </c>
      <c r="C67" s="3">
        <f t="shared" ref="C67:C130" ca="1" si="4">SUMPRODUCT((MOD(A67,ROW(INDIRECT("1:"&amp;A67)))=0)*1)</f>
        <v>4</v>
      </c>
      <c r="D67" s="4">
        <f t="shared" ref="D67:D130" ca="1" si="5">A67-B67-C67</f>
        <v>13</v>
      </c>
      <c r="E67" s="5">
        <f t="shared" ref="E67:E130" ca="1" si="6">D67/A67</f>
        <v>0.2</v>
      </c>
      <c r="F67" s="2">
        <v>2</v>
      </c>
      <c r="G67" s="3">
        <f t="shared" ref="G67:G130" si="7">MOD(A67,30)</f>
        <v>5</v>
      </c>
      <c r="H67" s="2" t="s">
        <v>12</v>
      </c>
      <c r="I67" s="3"/>
    </row>
    <row r="68" spans="1:9" x14ac:dyDescent="0.25">
      <c r="A68" s="2">
        <v>66</v>
      </c>
      <c r="B68" s="2">
        <v>20</v>
      </c>
      <c r="C68" s="3">
        <f t="shared" ca="1" si="4"/>
        <v>8</v>
      </c>
      <c r="D68" s="4">
        <f t="shared" ca="1" si="5"/>
        <v>38</v>
      </c>
      <c r="E68" s="5">
        <f t="shared" ca="1" si="6"/>
        <v>0.5757575757575758</v>
      </c>
      <c r="F68" s="2">
        <v>3</v>
      </c>
      <c r="G68" s="3">
        <f t="shared" si="7"/>
        <v>6</v>
      </c>
      <c r="H68" s="2" t="s">
        <v>12</v>
      </c>
      <c r="I68" s="3"/>
    </row>
    <row r="69" spans="1:9" x14ac:dyDescent="0.25">
      <c r="A69" s="2">
        <v>67</v>
      </c>
      <c r="B69" s="2">
        <v>66</v>
      </c>
      <c r="C69" s="3">
        <f t="shared" ca="1" si="4"/>
        <v>2</v>
      </c>
      <c r="D69" s="4">
        <f t="shared" ca="1" si="5"/>
        <v>-1</v>
      </c>
      <c r="E69" s="5">
        <f t="shared" ca="1" si="6"/>
        <v>-1.4925373134328358E-2</v>
      </c>
      <c r="F69" s="2">
        <v>1</v>
      </c>
      <c r="G69" s="3">
        <f t="shared" si="7"/>
        <v>7</v>
      </c>
      <c r="H69" s="2" t="s">
        <v>11</v>
      </c>
      <c r="I69" s="3">
        <v>-1</v>
      </c>
    </row>
    <row r="70" spans="1:9" x14ac:dyDescent="0.25">
      <c r="A70" s="2">
        <v>68</v>
      </c>
      <c r="B70" s="2">
        <v>32</v>
      </c>
      <c r="C70" s="3">
        <f t="shared" ca="1" si="4"/>
        <v>6</v>
      </c>
      <c r="D70" s="4">
        <f t="shared" ca="1" si="5"/>
        <v>30</v>
      </c>
      <c r="E70" s="5">
        <f t="shared" ca="1" si="6"/>
        <v>0.44117647058823528</v>
      </c>
      <c r="F70" s="2">
        <v>2</v>
      </c>
      <c r="G70" s="3">
        <f t="shared" si="7"/>
        <v>8</v>
      </c>
      <c r="H70" s="2" t="s">
        <v>12</v>
      </c>
      <c r="I70" s="3"/>
    </row>
    <row r="71" spans="1:9" x14ac:dyDescent="0.25">
      <c r="A71" s="2">
        <v>69</v>
      </c>
      <c r="B71" s="2">
        <v>44</v>
      </c>
      <c r="C71" s="3">
        <f t="shared" ca="1" si="4"/>
        <v>4</v>
      </c>
      <c r="D71" s="4">
        <f t="shared" ca="1" si="5"/>
        <v>21</v>
      </c>
      <c r="E71" s="5">
        <f t="shared" ca="1" si="6"/>
        <v>0.30434782608695654</v>
      </c>
      <c r="F71" s="2">
        <v>2</v>
      </c>
      <c r="G71" s="3">
        <f t="shared" si="7"/>
        <v>9</v>
      </c>
      <c r="H71" s="2" t="s">
        <v>12</v>
      </c>
      <c r="I71" s="3"/>
    </row>
    <row r="72" spans="1:9" x14ac:dyDescent="0.25">
      <c r="A72" s="2">
        <v>70</v>
      </c>
      <c r="B72" s="2">
        <v>24</v>
      </c>
      <c r="C72" s="3">
        <f t="shared" ca="1" si="4"/>
        <v>8</v>
      </c>
      <c r="D72" s="4">
        <f t="shared" ca="1" si="5"/>
        <v>38</v>
      </c>
      <c r="E72" s="5">
        <f t="shared" ca="1" si="6"/>
        <v>0.54285714285714282</v>
      </c>
      <c r="F72" s="2">
        <v>3</v>
      </c>
      <c r="G72" s="3">
        <f t="shared" si="7"/>
        <v>10</v>
      </c>
      <c r="H72" s="2" t="s">
        <v>12</v>
      </c>
      <c r="I72" s="3"/>
    </row>
    <row r="73" spans="1:9" x14ac:dyDescent="0.25">
      <c r="A73" s="2">
        <v>71</v>
      </c>
      <c r="B73" s="2">
        <v>70</v>
      </c>
      <c r="C73" s="3">
        <f t="shared" ca="1" si="4"/>
        <v>2</v>
      </c>
      <c r="D73" s="4">
        <f t="shared" ca="1" si="5"/>
        <v>-1</v>
      </c>
      <c r="E73" s="5">
        <f t="shared" ca="1" si="6"/>
        <v>-1.4084507042253521E-2</v>
      </c>
      <c r="F73" s="2">
        <v>1</v>
      </c>
      <c r="G73" s="3">
        <f t="shared" si="7"/>
        <v>11</v>
      </c>
      <c r="H73" s="2" t="s">
        <v>11</v>
      </c>
      <c r="I73" s="3">
        <v>-1</v>
      </c>
    </row>
    <row r="74" spans="1:9" x14ac:dyDescent="0.25">
      <c r="A74" s="2">
        <v>72</v>
      </c>
      <c r="B74" s="2">
        <v>24</v>
      </c>
      <c r="C74" s="3">
        <f t="shared" ca="1" si="4"/>
        <v>12</v>
      </c>
      <c r="D74" s="4">
        <f t="shared" ca="1" si="5"/>
        <v>36</v>
      </c>
      <c r="E74" s="5">
        <f t="shared" ca="1" si="6"/>
        <v>0.5</v>
      </c>
      <c r="F74" s="2">
        <v>2</v>
      </c>
      <c r="G74" s="3">
        <f t="shared" si="7"/>
        <v>12</v>
      </c>
      <c r="H74" s="2" t="s">
        <v>12</v>
      </c>
      <c r="I74" s="3"/>
    </row>
    <row r="75" spans="1:9" x14ac:dyDescent="0.25">
      <c r="A75" s="2">
        <v>73</v>
      </c>
      <c r="B75" s="2">
        <v>72</v>
      </c>
      <c r="C75" s="3">
        <f t="shared" ca="1" si="4"/>
        <v>2</v>
      </c>
      <c r="D75" s="4">
        <f t="shared" ca="1" si="5"/>
        <v>-1</v>
      </c>
      <c r="E75" s="5">
        <f t="shared" ca="1" si="6"/>
        <v>-1.3698630136986301E-2</v>
      </c>
      <c r="F75" s="2">
        <v>1</v>
      </c>
      <c r="G75" s="3">
        <f t="shared" si="7"/>
        <v>13</v>
      </c>
      <c r="H75" s="2" t="s">
        <v>11</v>
      </c>
      <c r="I75" s="3">
        <v>-1</v>
      </c>
    </row>
    <row r="76" spans="1:9" x14ac:dyDescent="0.25">
      <c r="A76" s="2">
        <v>74</v>
      </c>
      <c r="B76" s="2">
        <v>36</v>
      </c>
      <c r="C76" s="3">
        <f t="shared" ca="1" si="4"/>
        <v>4</v>
      </c>
      <c r="D76" s="4">
        <f t="shared" ca="1" si="5"/>
        <v>34</v>
      </c>
      <c r="E76" s="5">
        <f t="shared" ca="1" si="6"/>
        <v>0.45945945945945948</v>
      </c>
      <c r="F76" s="2">
        <v>2</v>
      </c>
      <c r="G76" s="3">
        <f t="shared" si="7"/>
        <v>14</v>
      </c>
      <c r="H76" s="2" t="s">
        <v>12</v>
      </c>
      <c r="I76" s="3"/>
    </row>
    <row r="77" spans="1:9" x14ac:dyDescent="0.25">
      <c r="A77" s="2">
        <v>75</v>
      </c>
      <c r="B77" s="2">
        <v>40</v>
      </c>
      <c r="C77" s="3">
        <f t="shared" ca="1" si="4"/>
        <v>6</v>
      </c>
      <c r="D77" s="4">
        <f t="shared" ca="1" si="5"/>
        <v>29</v>
      </c>
      <c r="E77" s="5">
        <f t="shared" ca="1" si="6"/>
        <v>0.38666666666666666</v>
      </c>
      <c r="F77" s="2">
        <v>2</v>
      </c>
      <c r="G77" s="3">
        <f t="shared" si="7"/>
        <v>15</v>
      </c>
      <c r="H77" s="2" t="s">
        <v>12</v>
      </c>
      <c r="I77" s="3"/>
    </row>
    <row r="78" spans="1:9" x14ac:dyDescent="0.25">
      <c r="A78" s="2">
        <v>76</v>
      </c>
      <c r="B78" s="2">
        <v>36</v>
      </c>
      <c r="C78" s="3">
        <f t="shared" ca="1" si="4"/>
        <v>6</v>
      </c>
      <c r="D78" s="4">
        <f t="shared" ca="1" si="5"/>
        <v>34</v>
      </c>
      <c r="E78" s="5">
        <f t="shared" ca="1" si="6"/>
        <v>0.44736842105263158</v>
      </c>
      <c r="F78" s="2">
        <v>2</v>
      </c>
      <c r="G78" s="3">
        <f t="shared" si="7"/>
        <v>16</v>
      </c>
      <c r="H78" s="2" t="s">
        <v>12</v>
      </c>
      <c r="I78" s="3"/>
    </row>
    <row r="79" spans="1:9" x14ac:dyDescent="0.25">
      <c r="A79" s="2">
        <v>77</v>
      </c>
      <c r="B79" s="2">
        <v>60</v>
      </c>
      <c r="C79" s="3">
        <f t="shared" ca="1" si="4"/>
        <v>4</v>
      </c>
      <c r="D79" s="4">
        <f t="shared" ca="1" si="5"/>
        <v>13</v>
      </c>
      <c r="E79" s="5">
        <f t="shared" ca="1" si="6"/>
        <v>0.16883116883116883</v>
      </c>
      <c r="F79" s="2">
        <v>2</v>
      </c>
      <c r="G79" s="3">
        <f t="shared" si="7"/>
        <v>17</v>
      </c>
      <c r="H79" s="2" t="s">
        <v>12</v>
      </c>
      <c r="I79" s="3"/>
    </row>
    <row r="80" spans="1:9" x14ac:dyDescent="0.25">
      <c r="A80" s="2">
        <v>78</v>
      </c>
      <c r="B80" s="2">
        <v>24</v>
      </c>
      <c r="C80" s="3">
        <f t="shared" ca="1" si="4"/>
        <v>8</v>
      </c>
      <c r="D80" s="4">
        <f t="shared" ca="1" si="5"/>
        <v>46</v>
      </c>
      <c r="E80" s="5">
        <f t="shared" ca="1" si="6"/>
        <v>0.58974358974358976</v>
      </c>
      <c r="F80" s="2">
        <v>3</v>
      </c>
      <c r="G80" s="3">
        <f t="shared" si="7"/>
        <v>18</v>
      </c>
      <c r="H80" s="2" t="s">
        <v>12</v>
      </c>
      <c r="I80" s="3"/>
    </row>
    <row r="81" spans="1:9" x14ac:dyDescent="0.25">
      <c r="A81" s="2">
        <v>79</v>
      </c>
      <c r="B81" s="2">
        <v>78</v>
      </c>
      <c r="C81" s="3">
        <f t="shared" ca="1" si="4"/>
        <v>2</v>
      </c>
      <c r="D81" s="4">
        <f t="shared" ca="1" si="5"/>
        <v>-1</v>
      </c>
      <c r="E81" s="5">
        <f t="shared" ca="1" si="6"/>
        <v>-1.2658227848101266E-2</v>
      </c>
      <c r="F81" s="2">
        <v>1</v>
      </c>
      <c r="G81" s="3">
        <f t="shared" si="7"/>
        <v>19</v>
      </c>
      <c r="H81" s="2" t="s">
        <v>11</v>
      </c>
      <c r="I81" s="3">
        <v>-1</v>
      </c>
    </row>
    <row r="82" spans="1:9" x14ac:dyDescent="0.25">
      <c r="A82" s="2">
        <v>80</v>
      </c>
      <c r="B82" s="2">
        <v>32</v>
      </c>
      <c r="C82" s="3">
        <f t="shared" ca="1" si="4"/>
        <v>10</v>
      </c>
      <c r="D82" s="4">
        <f t="shared" ca="1" si="5"/>
        <v>38</v>
      </c>
      <c r="E82" s="5">
        <f t="shared" ca="1" si="6"/>
        <v>0.47499999999999998</v>
      </c>
      <c r="F82" s="2">
        <v>2</v>
      </c>
      <c r="G82" s="3">
        <f t="shared" si="7"/>
        <v>20</v>
      </c>
      <c r="H82" s="2" t="s">
        <v>12</v>
      </c>
      <c r="I82" s="3"/>
    </row>
    <row r="83" spans="1:9" x14ac:dyDescent="0.25">
      <c r="A83" s="2">
        <v>81</v>
      </c>
      <c r="B83" s="2">
        <v>54</v>
      </c>
      <c r="C83" s="3">
        <f t="shared" ca="1" si="4"/>
        <v>5</v>
      </c>
      <c r="D83" s="4">
        <f t="shared" ca="1" si="5"/>
        <v>22</v>
      </c>
      <c r="E83" s="5">
        <f t="shared" ca="1" si="6"/>
        <v>0.27160493827160492</v>
      </c>
      <c r="F83" s="2">
        <v>1</v>
      </c>
      <c r="G83" s="3">
        <f t="shared" si="7"/>
        <v>21</v>
      </c>
      <c r="H83" s="2" t="s">
        <v>12</v>
      </c>
      <c r="I83" s="3"/>
    </row>
    <row r="84" spans="1:9" x14ac:dyDescent="0.25">
      <c r="A84" s="2">
        <v>82</v>
      </c>
      <c r="B84" s="2">
        <v>40</v>
      </c>
      <c r="C84" s="3">
        <f t="shared" ca="1" si="4"/>
        <v>4</v>
      </c>
      <c r="D84" s="4">
        <f t="shared" ca="1" si="5"/>
        <v>38</v>
      </c>
      <c r="E84" s="5">
        <f t="shared" ca="1" si="6"/>
        <v>0.46341463414634149</v>
      </c>
      <c r="F84" s="2">
        <v>2</v>
      </c>
      <c r="G84" s="3">
        <f t="shared" si="7"/>
        <v>22</v>
      </c>
      <c r="H84" s="2" t="s">
        <v>12</v>
      </c>
      <c r="I84" s="3"/>
    </row>
    <row r="85" spans="1:9" x14ac:dyDescent="0.25">
      <c r="A85" s="2">
        <v>83</v>
      </c>
      <c r="B85" s="2">
        <v>82</v>
      </c>
      <c r="C85" s="3">
        <f t="shared" ca="1" si="4"/>
        <v>2</v>
      </c>
      <c r="D85" s="4">
        <f t="shared" ca="1" si="5"/>
        <v>-1</v>
      </c>
      <c r="E85" s="5">
        <f t="shared" ca="1" si="6"/>
        <v>-1.2048192771084338E-2</v>
      </c>
      <c r="F85" s="2">
        <v>1</v>
      </c>
      <c r="G85" s="3">
        <f t="shared" si="7"/>
        <v>23</v>
      </c>
      <c r="H85" s="2" t="s">
        <v>11</v>
      </c>
      <c r="I85" s="3">
        <v>-1</v>
      </c>
    </row>
    <row r="86" spans="1:9" x14ac:dyDescent="0.25">
      <c r="A86" s="2">
        <v>84</v>
      </c>
      <c r="B86" s="2">
        <v>24</v>
      </c>
      <c r="C86" s="3">
        <f t="shared" ca="1" si="4"/>
        <v>12</v>
      </c>
      <c r="D86" s="4">
        <f t="shared" ca="1" si="5"/>
        <v>48</v>
      </c>
      <c r="E86" s="5">
        <f t="shared" ca="1" si="6"/>
        <v>0.5714285714285714</v>
      </c>
      <c r="F86" s="2">
        <v>3</v>
      </c>
      <c r="G86" s="3">
        <f t="shared" si="7"/>
        <v>24</v>
      </c>
      <c r="H86" s="2" t="s">
        <v>12</v>
      </c>
      <c r="I86" s="3"/>
    </row>
    <row r="87" spans="1:9" x14ac:dyDescent="0.25">
      <c r="A87" s="2">
        <v>85</v>
      </c>
      <c r="B87" s="2">
        <v>64</v>
      </c>
      <c r="C87" s="3">
        <f t="shared" ca="1" si="4"/>
        <v>4</v>
      </c>
      <c r="D87" s="4">
        <f t="shared" ca="1" si="5"/>
        <v>17</v>
      </c>
      <c r="E87" s="5">
        <f t="shared" ca="1" si="6"/>
        <v>0.2</v>
      </c>
      <c r="F87" s="2">
        <v>2</v>
      </c>
      <c r="G87" s="3">
        <f t="shared" si="7"/>
        <v>25</v>
      </c>
      <c r="H87" s="2" t="s">
        <v>12</v>
      </c>
      <c r="I87" s="3"/>
    </row>
    <row r="88" spans="1:9" x14ac:dyDescent="0.25">
      <c r="A88" s="2">
        <v>86</v>
      </c>
      <c r="B88" s="2">
        <v>42</v>
      </c>
      <c r="C88" s="3">
        <f t="shared" ca="1" si="4"/>
        <v>4</v>
      </c>
      <c r="D88" s="4">
        <f t="shared" ca="1" si="5"/>
        <v>40</v>
      </c>
      <c r="E88" s="5">
        <f t="shared" ca="1" si="6"/>
        <v>0.46511627906976744</v>
      </c>
      <c r="F88" s="2">
        <v>2</v>
      </c>
      <c r="G88" s="3">
        <f t="shared" si="7"/>
        <v>26</v>
      </c>
      <c r="H88" s="2" t="s">
        <v>12</v>
      </c>
      <c r="I88" s="3"/>
    </row>
    <row r="89" spans="1:9" x14ac:dyDescent="0.25">
      <c r="A89" s="2">
        <v>87</v>
      </c>
      <c r="B89" s="2">
        <v>56</v>
      </c>
      <c r="C89" s="3">
        <f t="shared" ca="1" si="4"/>
        <v>4</v>
      </c>
      <c r="D89" s="4">
        <f t="shared" ca="1" si="5"/>
        <v>27</v>
      </c>
      <c r="E89" s="5">
        <f t="shared" ca="1" si="6"/>
        <v>0.31034482758620691</v>
      </c>
      <c r="F89" s="2">
        <v>2</v>
      </c>
      <c r="G89" s="3">
        <f t="shared" si="7"/>
        <v>27</v>
      </c>
      <c r="H89" s="2" t="s">
        <v>12</v>
      </c>
      <c r="I89" s="3"/>
    </row>
    <row r="90" spans="1:9" x14ac:dyDescent="0.25">
      <c r="A90" s="2">
        <v>88</v>
      </c>
      <c r="B90" s="2">
        <v>40</v>
      </c>
      <c r="C90" s="3">
        <f t="shared" ca="1" si="4"/>
        <v>8</v>
      </c>
      <c r="D90" s="4">
        <f t="shared" ca="1" si="5"/>
        <v>40</v>
      </c>
      <c r="E90" s="5">
        <f t="shared" ca="1" si="6"/>
        <v>0.45454545454545453</v>
      </c>
      <c r="F90" s="2">
        <v>2</v>
      </c>
      <c r="G90" s="3">
        <f t="shared" si="7"/>
        <v>28</v>
      </c>
      <c r="H90" s="2" t="s">
        <v>12</v>
      </c>
      <c r="I90" s="3"/>
    </row>
    <row r="91" spans="1:9" x14ac:dyDescent="0.25">
      <c r="A91" s="2">
        <v>89</v>
      </c>
      <c r="B91" s="2">
        <v>88</v>
      </c>
      <c r="C91" s="3">
        <f t="shared" ca="1" si="4"/>
        <v>2</v>
      </c>
      <c r="D91" s="4">
        <f t="shared" ca="1" si="5"/>
        <v>-1</v>
      </c>
      <c r="E91" s="5">
        <f t="shared" ca="1" si="6"/>
        <v>-1.1235955056179775E-2</v>
      </c>
      <c r="F91" s="2">
        <v>1</v>
      </c>
      <c r="G91" s="3">
        <f t="shared" si="7"/>
        <v>29</v>
      </c>
      <c r="H91" s="2" t="s">
        <v>11</v>
      </c>
      <c r="I91" s="3">
        <v>-1</v>
      </c>
    </row>
    <row r="92" spans="1:9" x14ac:dyDescent="0.25">
      <c r="A92" s="2">
        <v>90</v>
      </c>
      <c r="B92" s="2">
        <v>24</v>
      </c>
      <c r="C92" s="3">
        <f t="shared" ca="1" si="4"/>
        <v>12</v>
      </c>
      <c r="D92" s="4">
        <f t="shared" ca="1" si="5"/>
        <v>54</v>
      </c>
      <c r="E92" s="5">
        <f t="shared" ca="1" si="6"/>
        <v>0.6</v>
      </c>
      <c r="F92" s="2">
        <v>3</v>
      </c>
      <c r="G92" s="3">
        <f t="shared" si="7"/>
        <v>0</v>
      </c>
      <c r="H92" s="2" t="s">
        <v>12</v>
      </c>
      <c r="I92" s="3"/>
    </row>
    <row r="93" spans="1:9" x14ac:dyDescent="0.25">
      <c r="A93" s="2">
        <v>91</v>
      </c>
      <c r="B93" s="2">
        <v>72</v>
      </c>
      <c r="C93" s="3">
        <f t="shared" ca="1" si="4"/>
        <v>4</v>
      </c>
      <c r="D93" s="4">
        <f t="shared" ca="1" si="5"/>
        <v>15</v>
      </c>
      <c r="E93" s="5">
        <f t="shared" ca="1" si="6"/>
        <v>0.16483516483516483</v>
      </c>
      <c r="F93" s="2">
        <v>2</v>
      </c>
      <c r="G93" s="3">
        <f t="shared" si="7"/>
        <v>1</v>
      </c>
      <c r="H93" s="2" t="s">
        <v>12</v>
      </c>
      <c r="I93" s="3"/>
    </row>
    <row r="94" spans="1:9" x14ac:dyDescent="0.25">
      <c r="A94" s="2">
        <v>92</v>
      </c>
      <c r="B94" s="2">
        <v>44</v>
      </c>
      <c r="C94" s="3">
        <f t="shared" ca="1" si="4"/>
        <v>6</v>
      </c>
      <c r="D94" s="4">
        <f t="shared" ca="1" si="5"/>
        <v>42</v>
      </c>
      <c r="E94" s="5">
        <f t="shared" ca="1" si="6"/>
        <v>0.45652173913043476</v>
      </c>
      <c r="F94" s="2">
        <v>2</v>
      </c>
      <c r="G94" s="3">
        <f t="shared" si="7"/>
        <v>2</v>
      </c>
      <c r="H94" s="2" t="s">
        <v>12</v>
      </c>
      <c r="I94" s="3"/>
    </row>
    <row r="95" spans="1:9" x14ac:dyDescent="0.25">
      <c r="A95" s="2">
        <v>93</v>
      </c>
      <c r="B95" s="2">
        <v>60</v>
      </c>
      <c r="C95" s="3">
        <f t="shared" ca="1" si="4"/>
        <v>4</v>
      </c>
      <c r="D95" s="4">
        <f t="shared" ca="1" si="5"/>
        <v>29</v>
      </c>
      <c r="E95" s="5">
        <f t="shared" ca="1" si="6"/>
        <v>0.31182795698924731</v>
      </c>
      <c r="F95" s="2">
        <v>2</v>
      </c>
      <c r="G95" s="3">
        <f t="shared" si="7"/>
        <v>3</v>
      </c>
      <c r="H95" s="2" t="s">
        <v>12</v>
      </c>
      <c r="I95" s="3"/>
    </row>
    <row r="96" spans="1:9" x14ac:dyDescent="0.25">
      <c r="A96" s="2">
        <v>94</v>
      </c>
      <c r="B96" s="2">
        <v>46</v>
      </c>
      <c r="C96" s="3">
        <f t="shared" ca="1" si="4"/>
        <v>4</v>
      </c>
      <c r="D96" s="4">
        <f t="shared" ca="1" si="5"/>
        <v>44</v>
      </c>
      <c r="E96" s="5">
        <f t="shared" ca="1" si="6"/>
        <v>0.46808510638297873</v>
      </c>
      <c r="F96" s="2">
        <v>2</v>
      </c>
      <c r="G96" s="3">
        <f t="shared" si="7"/>
        <v>4</v>
      </c>
      <c r="H96" s="2" t="s">
        <v>12</v>
      </c>
      <c r="I96" s="3"/>
    </row>
    <row r="97" spans="1:9" x14ac:dyDescent="0.25">
      <c r="A97" s="2">
        <v>95</v>
      </c>
      <c r="B97" s="2">
        <v>72</v>
      </c>
      <c r="C97" s="3">
        <f t="shared" ca="1" si="4"/>
        <v>4</v>
      </c>
      <c r="D97" s="4">
        <f t="shared" ca="1" si="5"/>
        <v>19</v>
      </c>
      <c r="E97" s="5">
        <f t="shared" ca="1" si="6"/>
        <v>0.2</v>
      </c>
      <c r="F97" s="2">
        <v>2</v>
      </c>
      <c r="G97" s="3">
        <f t="shared" si="7"/>
        <v>5</v>
      </c>
      <c r="H97" s="2" t="s">
        <v>12</v>
      </c>
      <c r="I97" s="3"/>
    </row>
    <row r="98" spans="1:9" x14ac:dyDescent="0.25">
      <c r="A98" s="2">
        <v>96</v>
      </c>
      <c r="B98" s="2">
        <v>32</v>
      </c>
      <c r="C98" s="3">
        <f t="shared" ca="1" si="4"/>
        <v>12</v>
      </c>
      <c r="D98" s="4">
        <f t="shared" ca="1" si="5"/>
        <v>52</v>
      </c>
      <c r="E98" s="5">
        <f t="shared" ca="1" si="6"/>
        <v>0.54166666666666663</v>
      </c>
      <c r="F98" s="2">
        <v>2</v>
      </c>
      <c r="G98" s="3">
        <f t="shared" si="7"/>
        <v>6</v>
      </c>
      <c r="H98" s="2" t="s">
        <v>12</v>
      </c>
      <c r="I98" s="3"/>
    </row>
    <row r="99" spans="1:9" x14ac:dyDescent="0.25">
      <c r="A99" s="2">
        <v>97</v>
      </c>
      <c r="B99" s="2">
        <v>96</v>
      </c>
      <c r="C99" s="3">
        <f t="shared" ca="1" si="4"/>
        <v>2</v>
      </c>
      <c r="D99" s="4">
        <f t="shared" ca="1" si="5"/>
        <v>-1</v>
      </c>
      <c r="E99" s="5">
        <f t="shared" ca="1" si="6"/>
        <v>-1.0309278350515464E-2</v>
      </c>
      <c r="F99" s="2">
        <v>1</v>
      </c>
      <c r="G99" s="3">
        <f t="shared" si="7"/>
        <v>7</v>
      </c>
      <c r="H99" s="2" t="s">
        <v>11</v>
      </c>
      <c r="I99" s="3">
        <v>-1</v>
      </c>
    </row>
    <row r="100" spans="1:9" x14ac:dyDescent="0.25">
      <c r="A100" s="2">
        <v>98</v>
      </c>
      <c r="B100" s="2">
        <v>42</v>
      </c>
      <c r="C100" s="3">
        <f t="shared" ca="1" si="4"/>
        <v>6</v>
      </c>
      <c r="D100" s="4">
        <f t="shared" ca="1" si="5"/>
        <v>50</v>
      </c>
      <c r="E100" s="5">
        <f t="shared" ca="1" si="6"/>
        <v>0.51020408163265307</v>
      </c>
      <c r="F100" s="2">
        <v>2</v>
      </c>
      <c r="G100" s="3">
        <f t="shared" si="7"/>
        <v>8</v>
      </c>
      <c r="H100" s="2" t="s">
        <v>12</v>
      </c>
      <c r="I100" s="3"/>
    </row>
    <row r="101" spans="1:9" x14ac:dyDescent="0.25">
      <c r="A101" s="2">
        <v>99</v>
      </c>
      <c r="B101" s="2">
        <v>60</v>
      </c>
      <c r="C101" s="3">
        <f t="shared" ca="1" si="4"/>
        <v>6</v>
      </c>
      <c r="D101" s="4">
        <f t="shared" ca="1" si="5"/>
        <v>33</v>
      </c>
      <c r="E101" s="5">
        <f t="shared" ca="1" si="6"/>
        <v>0.33333333333333331</v>
      </c>
      <c r="F101" s="2">
        <v>2</v>
      </c>
      <c r="G101" s="3">
        <f t="shared" si="7"/>
        <v>9</v>
      </c>
      <c r="H101" s="2" t="s">
        <v>12</v>
      </c>
      <c r="I101" s="3"/>
    </row>
    <row r="102" spans="1:9" x14ac:dyDescent="0.25">
      <c r="A102" s="2">
        <v>100</v>
      </c>
      <c r="B102" s="2">
        <v>40</v>
      </c>
      <c r="C102" s="3">
        <f t="shared" ca="1" si="4"/>
        <v>9</v>
      </c>
      <c r="D102" s="4">
        <f t="shared" ca="1" si="5"/>
        <v>51</v>
      </c>
      <c r="E102" s="5">
        <f t="shared" ca="1" si="6"/>
        <v>0.51</v>
      </c>
      <c r="F102" s="2">
        <v>2</v>
      </c>
      <c r="G102" s="3">
        <f t="shared" si="7"/>
        <v>10</v>
      </c>
      <c r="H102" s="2" t="s">
        <v>12</v>
      </c>
      <c r="I102" s="3"/>
    </row>
    <row r="103" spans="1:9" x14ac:dyDescent="0.25">
      <c r="A103" s="2">
        <v>101</v>
      </c>
      <c r="B103" s="2">
        <v>100</v>
      </c>
      <c r="C103" s="3">
        <f t="shared" ca="1" si="4"/>
        <v>2</v>
      </c>
      <c r="D103" s="4">
        <f t="shared" ca="1" si="5"/>
        <v>-1</v>
      </c>
      <c r="E103" s="5">
        <f t="shared" ca="1" si="6"/>
        <v>-9.9009900990099011E-3</v>
      </c>
      <c r="F103" s="2">
        <v>1</v>
      </c>
      <c r="G103" s="3">
        <f t="shared" si="7"/>
        <v>11</v>
      </c>
      <c r="H103" s="2" t="s">
        <v>11</v>
      </c>
      <c r="I103" s="3">
        <v>-1</v>
      </c>
    </row>
    <row r="104" spans="1:9" x14ac:dyDescent="0.25">
      <c r="A104" s="2">
        <v>102</v>
      </c>
      <c r="B104" s="2">
        <v>32</v>
      </c>
      <c r="C104" s="3">
        <f t="shared" ca="1" si="4"/>
        <v>8</v>
      </c>
      <c r="D104" s="4">
        <f t="shared" ca="1" si="5"/>
        <v>62</v>
      </c>
      <c r="E104" s="5">
        <f t="shared" ca="1" si="6"/>
        <v>0.60784313725490191</v>
      </c>
      <c r="F104" s="2">
        <v>3</v>
      </c>
      <c r="G104" s="3">
        <f t="shared" si="7"/>
        <v>12</v>
      </c>
      <c r="H104" s="2" t="s">
        <v>12</v>
      </c>
      <c r="I104" s="3"/>
    </row>
    <row r="105" spans="1:9" x14ac:dyDescent="0.25">
      <c r="A105" s="2">
        <v>103</v>
      </c>
      <c r="B105" s="2">
        <v>102</v>
      </c>
      <c r="C105" s="3">
        <f t="shared" ca="1" si="4"/>
        <v>2</v>
      </c>
      <c r="D105" s="4">
        <f t="shared" ca="1" si="5"/>
        <v>-1</v>
      </c>
      <c r="E105" s="5">
        <f t="shared" ca="1" si="6"/>
        <v>-9.7087378640776691E-3</v>
      </c>
      <c r="F105" s="2">
        <v>1</v>
      </c>
      <c r="G105" s="3">
        <f t="shared" si="7"/>
        <v>13</v>
      </c>
      <c r="H105" s="2" t="s">
        <v>11</v>
      </c>
      <c r="I105" s="3">
        <v>-1</v>
      </c>
    </row>
    <row r="106" spans="1:9" x14ac:dyDescent="0.25">
      <c r="A106" s="2">
        <v>104</v>
      </c>
      <c r="B106" s="2">
        <v>48</v>
      </c>
      <c r="C106" s="3">
        <f t="shared" ca="1" si="4"/>
        <v>8</v>
      </c>
      <c r="D106" s="4">
        <f t="shared" ca="1" si="5"/>
        <v>48</v>
      </c>
      <c r="E106" s="5">
        <f t="shared" ca="1" si="6"/>
        <v>0.46153846153846156</v>
      </c>
      <c r="F106" s="2">
        <v>2</v>
      </c>
      <c r="G106" s="3">
        <f t="shared" si="7"/>
        <v>14</v>
      </c>
      <c r="H106" s="2" t="s">
        <v>12</v>
      </c>
      <c r="I106" s="3"/>
    </row>
    <row r="107" spans="1:9" x14ac:dyDescent="0.25">
      <c r="A107" s="2">
        <v>105</v>
      </c>
      <c r="B107" s="2">
        <v>48</v>
      </c>
      <c r="C107" s="3">
        <f t="shared" ca="1" si="4"/>
        <v>8</v>
      </c>
      <c r="D107" s="4">
        <f t="shared" ca="1" si="5"/>
        <v>49</v>
      </c>
      <c r="E107" s="5">
        <f t="shared" ca="1" si="6"/>
        <v>0.46666666666666667</v>
      </c>
      <c r="F107" s="2">
        <v>3</v>
      </c>
      <c r="G107" s="3">
        <f t="shared" si="7"/>
        <v>15</v>
      </c>
      <c r="H107" s="2" t="s">
        <v>12</v>
      </c>
      <c r="I107" s="3"/>
    </row>
    <row r="108" spans="1:9" x14ac:dyDescent="0.25">
      <c r="A108" s="2">
        <v>106</v>
      </c>
      <c r="B108" s="2">
        <v>52</v>
      </c>
      <c r="C108" s="3">
        <f t="shared" ca="1" si="4"/>
        <v>4</v>
      </c>
      <c r="D108" s="4">
        <f t="shared" ca="1" si="5"/>
        <v>50</v>
      </c>
      <c r="E108" s="5">
        <f t="shared" ca="1" si="6"/>
        <v>0.47169811320754718</v>
      </c>
      <c r="F108" s="2">
        <v>2</v>
      </c>
      <c r="G108" s="3">
        <f t="shared" si="7"/>
        <v>16</v>
      </c>
      <c r="H108" s="2" t="s">
        <v>12</v>
      </c>
      <c r="I108" s="3"/>
    </row>
    <row r="109" spans="1:9" x14ac:dyDescent="0.25">
      <c r="A109" s="2">
        <v>107</v>
      </c>
      <c r="B109" s="2">
        <v>106</v>
      </c>
      <c r="C109" s="3">
        <f t="shared" ca="1" si="4"/>
        <v>2</v>
      </c>
      <c r="D109" s="4">
        <f t="shared" ca="1" si="5"/>
        <v>-1</v>
      </c>
      <c r="E109" s="5">
        <f t="shared" ca="1" si="6"/>
        <v>-9.3457943925233638E-3</v>
      </c>
      <c r="F109" s="2">
        <v>1</v>
      </c>
      <c r="G109" s="3">
        <f t="shared" si="7"/>
        <v>17</v>
      </c>
      <c r="H109" s="2" t="s">
        <v>11</v>
      </c>
      <c r="I109" s="3">
        <v>-1</v>
      </c>
    </row>
    <row r="110" spans="1:9" x14ac:dyDescent="0.25">
      <c r="A110" s="2">
        <v>108</v>
      </c>
      <c r="B110" s="2">
        <v>36</v>
      </c>
      <c r="C110" s="3">
        <f t="shared" ca="1" si="4"/>
        <v>12</v>
      </c>
      <c r="D110" s="4">
        <f t="shared" ca="1" si="5"/>
        <v>60</v>
      </c>
      <c r="E110" s="5">
        <f t="shared" ca="1" si="6"/>
        <v>0.55555555555555558</v>
      </c>
      <c r="F110" s="2">
        <v>2</v>
      </c>
      <c r="G110" s="3">
        <f t="shared" si="7"/>
        <v>18</v>
      </c>
      <c r="H110" s="2" t="s">
        <v>12</v>
      </c>
      <c r="I110" s="3"/>
    </row>
    <row r="111" spans="1:9" x14ac:dyDescent="0.25">
      <c r="A111" s="2">
        <v>109</v>
      </c>
      <c r="B111" s="2">
        <v>108</v>
      </c>
      <c r="C111" s="3">
        <f t="shared" ca="1" si="4"/>
        <v>2</v>
      </c>
      <c r="D111" s="4">
        <f t="shared" ca="1" si="5"/>
        <v>-1</v>
      </c>
      <c r="E111" s="5">
        <f t="shared" ca="1" si="6"/>
        <v>-9.1743119266055051E-3</v>
      </c>
      <c r="F111" s="2">
        <v>1</v>
      </c>
      <c r="G111" s="3">
        <f t="shared" si="7"/>
        <v>19</v>
      </c>
      <c r="H111" s="2" t="s">
        <v>11</v>
      </c>
      <c r="I111" s="3">
        <v>-1</v>
      </c>
    </row>
    <row r="112" spans="1:9" x14ac:dyDescent="0.25">
      <c r="A112" s="2">
        <v>110</v>
      </c>
      <c r="B112" s="2">
        <v>40</v>
      </c>
      <c r="C112" s="3">
        <f t="shared" ca="1" si="4"/>
        <v>8</v>
      </c>
      <c r="D112" s="4">
        <f t="shared" ca="1" si="5"/>
        <v>62</v>
      </c>
      <c r="E112" s="5">
        <f t="shared" ca="1" si="6"/>
        <v>0.5636363636363636</v>
      </c>
      <c r="F112" s="2">
        <v>3</v>
      </c>
      <c r="G112" s="3">
        <f t="shared" si="7"/>
        <v>20</v>
      </c>
      <c r="H112" s="2" t="s">
        <v>12</v>
      </c>
      <c r="I112" s="3"/>
    </row>
    <row r="113" spans="1:9" x14ac:dyDescent="0.25">
      <c r="A113" s="2">
        <v>111</v>
      </c>
      <c r="B113" s="2">
        <v>72</v>
      </c>
      <c r="C113" s="3">
        <f t="shared" ca="1" si="4"/>
        <v>4</v>
      </c>
      <c r="D113" s="4">
        <f t="shared" ca="1" si="5"/>
        <v>35</v>
      </c>
      <c r="E113" s="5">
        <f t="shared" ca="1" si="6"/>
        <v>0.31531531531531531</v>
      </c>
      <c r="F113" s="2">
        <v>2</v>
      </c>
      <c r="G113" s="3">
        <f t="shared" si="7"/>
        <v>21</v>
      </c>
      <c r="H113" s="2" t="s">
        <v>12</v>
      </c>
      <c r="I113" s="3"/>
    </row>
    <row r="114" spans="1:9" x14ac:dyDescent="0.25">
      <c r="A114" s="2">
        <v>112</v>
      </c>
      <c r="B114" s="2">
        <v>48</v>
      </c>
      <c r="C114" s="3">
        <f t="shared" ca="1" si="4"/>
        <v>10</v>
      </c>
      <c r="D114" s="4">
        <f t="shared" ca="1" si="5"/>
        <v>54</v>
      </c>
      <c r="E114" s="5">
        <f t="shared" ca="1" si="6"/>
        <v>0.48214285714285715</v>
      </c>
      <c r="F114" s="2">
        <v>2</v>
      </c>
      <c r="G114" s="3">
        <f t="shared" si="7"/>
        <v>22</v>
      </c>
      <c r="H114" s="2" t="s">
        <v>12</v>
      </c>
      <c r="I114" s="3"/>
    </row>
    <row r="115" spans="1:9" x14ac:dyDescent="0.25">
      <c r="A115" s="2">
        <v>113</v>
      </c>
      <c r="B115" s="2">
        <v>112</v>
      </c>
      <c r="C115" s="3">
        <f t="shared" ca="1" si="4"/>
        <v>2</v>
      </c>
      <c r="D115" s="4">
        <f t="shared" ca="1" si="5"/>
        <v>-1</v>
      </c>
      <c r="E115" s="5">
        <f t="shared" ca="1" si="6"/>
        <v>-8.8495575221238937E-3</v>
      </c>
      <c r="F115" s="2">
        <v>1</v>
      </c>
      <c r="G115" s="3">
        <f t="shared" si="7"/>
        <v>23</v>
      </c>
      <c r="H115" s="2" t="s">
        <v>11</v>
      </c>
      <c r="I115" s="3">
        <v>-1</v>
      </c>
    </row>
    <row r="116" spans="1:9" x14ac:dyDescent="0.25">
      <c r="A116" s="2">
        <v>114</v>
      </c>
      <c r="B116" s="2">
        <v>36</v>
      </c>
      <c r="C116" s="3">
        <f t="shared" ca="1" si="4"/>
        <v>8</v>
      </c>
      <c r="D116" s="4">
        <f t="shared" ca="1" si="5"/>
        <v>70</v>
      </c>
      <c r="E116" s="5">
        <f t="shared" ca="1" si="6"/>
        <v>0.61403508771929827</v>
      </c>
      <c r="F116" s="2">
        <v>3</v>
      </c>
      <c r="G116" s="3">
        <f t="shared" si="7"/>
        <v>24</v>
      </c>
      <c r="H116" s="2" t="s">
        <v>12</v>
      </c>
      <c r="I116" s="3"/>
    </row>
    <row r="117" spans="1:9" x14ac:dyDescent="0.25">
      <c r="A117" s="2">
        <v>115</v>
      </c>
      <c r="B117" s="2">
        <v>88</v>
      </c>
      <c r="C117" s="3">
        <f t="shared" ca="1" si="4"/>
        <v>4</v>
      </c>
      <c r="D117" s="4">
        <f t="shared" ca="1" si="5"/>
        <v>23</v>
      </c>
      <c r="E117" s="5">
        <f t="shared" ca="1" si="6"/>
        <v>0.2</v>
      </c>
      <c r="F117" s="2">
        <v>2</v>
      </c>
      <c r="G117" s="3">
        <f t="shared" si="7"/>
        <v>25</v>
      </c>
      <c r="H117" s="2" t="s">
        <v>12</v>
      </c>
      <c r="I117" s="3"/>
    </row>
    <row r="118" spans="1:9" x14ac:dyDescent="0.25">
      <c r="A118" s="2">
        <v>116</v>
      </c>
      <c r="B118" s="2">
        <v>56</v>
      </c>
      <c r="C118" s="3">
        <f t="shared" ca="1" si="4"/>
        <v>6</v>
      </c>
      <c r="D118" s="4">
        <f t="shared" ca="1" si="5"/>
        <v>54</v>
      </c>
      <c r="E118" s="5">
        <f t="shared" ca="1" si="6"/>
        <v>0.46551724137931033</v>
      </c>
      <c r="F118" s="2">
        <v>2</v>
      </c>
      <c r="G118" s="3">
        <f t="shared" si="7"/>
        <v>26</v>
      </c>
      <c r="H118" s="2" t="s">
        <v>12</v>
      </c>
      <c r="I118" s="3"/>
    </row>
    <row r="119" spans="1:9" x14ac:dyDescent="0.25">
      <c r="A119" s="2">
        <v>117</v>
      </c>
      <c r="B119" s="2">
        <v>72</v>
      </c>
      <c r="C119" s="3">
        <f t="shared" ca="1" si="4"/>
        <v>6</v>
      </c>
      <c r="D119" s="4">
        <f t="shared" ca="1" si="5"/>
        <v>39</v>
      </c>
      <c r="E119" s="5">
        <f t="shared" ca="1" si="6"/>
        <v>0.33333333333333331</v>
      </c>
      <c r="F119" s="2">
        <v>2</v>
      </c>
      <c r="G119" s="3">
        <f t="shared" si="7"/>
        <v>27</v>
      </c>
      <c r="H119" s="2" t="s">
        <v>12</v>
      </c>
      <c r="I119" s="3"/>
    </row>
    <row r="120" spans="1:9" x14ac:dyDescent="0.25">
      <c r="A120" s="2">
        <v>118</v>
      </c>
      <c r="B120" s="2">
        <v>58</v>
      </c>
      <c r="C120" s="3">
        <f t="shared" ca="1" si="4"/>
        <v>4</v>
      </c>
      <c r="D120" s="4">
        <f t="shared" ca="1" si="5"/>
        <v>56</v>
      </c>
      <c r="E120" s="5">
        <f t="shared" ca="1" si="6"/>
        <v>0.47457627118644069</v>
      </c>
      <c r="F120" s="2">
        <v>2</v>
      </c>
      <c r="G120" s="3">
        <f t="shared" si="7"/>
        <v>28</v>
      </c>
      <c r="H120" s="2" t="s">
        <v>12</v>
      </c>
      <c r="I120" s="3"/>
    </row>
    <row r="121" spans="1:9" x14ac:dyDescent="0.25">
      <c r="A121" s="2">
        <v>119</v>
      </c>
      <c r="B121" s="2">
        <v>96</v>
      </c>
      <c r="C121" s="3">
        <f t="shared" ca="1" si="4"/>
        <v>4</v>
      </c>
      <c r="D121" s="4">
        <f t="shared" ca="1" si="5"/>
        <v>19</v>
      </c>
      <c r="E121" s="5">
        <f t="shared" ca="1" si="6"/>
        <v>0.15966386554621848</v>
      </c>
      <c r="F121" s="2">
        <v>2</v>
      </c>
      <c r="G121" s="3">
        <f t="shared" si="7"/>
        <v>29</v>
      </c>
      <c r="H121" s="2" t="s">
        <v>12</v>
      </c>
      <c r="I121" s="3"/>
    </row>
    <row r="122" spans="1:9" x14ac:dyDescent="0.25">
      <c r="A122" s="2">
        <v>120</v>
      </c>
      <c r="B122" s="2">
        <v>32</v>
      </c>
      <c r="C122" s="3">
        <f t="shared" ca="1" si="4"/>
        <v>16</v>
      </c>
      <c r="D122" s="4">
        <f t="shared" ca="1" si="5"/>
        <v>72</v>
      </c>
      <c r="E122" s="5">
        <f t="shared" ca="1" si="6"/>
        <v>0.6</v>
      </c>
      <c r="F122" s="2">
        <v>3</v>
      </c>
      <c r="G122" s="3">
        <f t="shared" si="7"/>
        <v>0</v>
      </c>
      <c r="H122" s="2" t="s">
        <v>12</v>
      </c>
      <c r="I122" s="3"/>
    </row>
    <row r="123" spans="1:9" x14ac:dyDescent="0.25">
      <c r="A123" s="2">
        <v>121</v>
      </c>
      <c r="B123" s="2">
        <v>110</v>
      </c>
      <c r="C123" s="3">
        <f t="shared" ca="1" si="4"/>
        <v>3</v>
      </c>
      <c r="D123" s="4">
        <f t="shared" ca="1" si="5"/>
        <v>8</v>
      </c>
      <c r="E123" s="5">
        <f t="shared" ca="1" si="6"/>
        <v>6.6115702479338845E-2</v>
      </c>
      <c r="F123" s="2">
        <v>1</v>
      </c>
      <c r="G123" s="3">
        <f t="shared" si="7"/>
        <v>1</v>
      </c>
      <c r="H123" s="2" t="s">
        <v>12</v>
      </c>
      <c r="I123" s="3"/>
    </row>
    <row r="124" spans="1:9" x14ac:dyDescent="0.25">
      <c r="A124" s="2">
        <v>122</v>
      </c>
      <c r="B124" s="2">
        <v>60</v>
      </c>
      <c r="C124" s="3">
        <f t="shared" ca="1" si="4"/>
        <v>4</v>
      </c>
      <c r="D124" s="4">
        <f t="shared" ca="1" si="5"/>
        <v>58</v>
      </c>
      <c r="E124" s="5">
        <f t="shared" ca="1" si="6"/>
        <v>0.47540983606557374</v>
      </c>
      <c r="F124" s="2">
        <v>2</v>
      </c>
      <c r="G124" s="3">
        <f t="shared" si="7"/>
        <v>2</v>
      </c>
      <c r="H124" s="2" t="s">
        <v>12</v>
      </c>
      <c r="I124" s="3"/>
    </row>
    <row r="125" spans="1:9" x14ac:dyDescent="0.25">
      <c r="A125" s="2">
        <v>123</v>
      </c>
      <c r="B125" s="2">
        <v>80</v>
      </c>
      <c r="C125" s="3">
        <f t="shared" ca="1" si="4"/>
        <v>4</v>
      </c>
      <c r="D125" s="4">
        <f t="shared" ca="1" si="5"/>
        <v>39</v>
      </c>
      <c r="E125" s="5">
        <f t="shared" ca="1" si="6"/>
        <v>0.31707317073170732</v>
      </c>
      <c r="F125" s="2">
        <v>2</v>
      </c>
      <c r="G125" s="3">
        <f t="shared" si="7"/>
        <v>3</v>
      </c>
      <c r="H125" s="2" t="s">
        <v>12</v>
      </c>
      <c r="I125" s="3"/>
    </row>
    <row r="126" spans="1:9" x14ac:dyDescent="0.25">
      <c r="A126" s="2">
        <v>124</v>
      </c>
      <c r="B126" s="2">
        <v>60</v>
      </c>
      <c r="C126" s="3">
        <f t="shared" ca="1" si="4"/>
        <v>6</v>
      </c>
      <c r="D126" s="4">
        <f t="shared" ca="1" si="5"/>
        <v>58</v>
      </c>
      <c r="E126" s="5">
        <f t="shared" ca="1" si="6"/>
        <v>0.46774193548387094</v>
      </c>
      <c r="F126" s="2">
        <v>2</v>
      </c>
      <c r="G126" s="3">
        <f t="shared" si="7"/>
        <v>4</v>
      </c>
      <c r="H126" s="2" t="s">
        <v>12</v>
      </c>
      <c r="I126" s="3"/>
    </row>
    <row r="127" spans="1:9" x14ac:dyDescent="0.25">
      <c r="A127" s="2">
        <v>125</v>
      </c>
      <c r="B127" s="2">
        <v>100</v>
      </c>
      <c r="C127" s="3">
        <f t="shared" ca="1" si="4"/>
        <v>4</v>
      </c>
      <c r="D127" s="4">
        <f t="shared" ca="1" si="5"/>
        <v>21</v>
      </c>
      <c r="E127" s="5">
        <f t="shared" ca="1" si="6"/>
        <v>0.16800000000000001</v>
      </c>
      <c r="F127" s="2">
        <v>1</v>
      </c>
      <c r="G127" s="3">
        <f t="shared" si="7"/>
        <v>5</v>
      </c>
      <c r="H127" s="2" t="s">
        <v>12</v>
      </c>
      <c r="I127" s="3"/>
    </row>
    <row r="128" spans="1:9" x14ac:dyDescent="0.25">
      <c r="A128" s="2">
        <v>126</v>
      </c>
      <c r="B128" s="2">
        <v>36</v>
      </c>
      <c r="C128" s="3">
        <f t="shared" ca="1" si="4"/>
        <v>12</v>
      </c>
      <c r="D128" s="4">
        <f t="shared" ca="1" si="5"/>
        <v>78</v>
      </c>
      <c r="E128" s="5">
        <f t="shared" ca="1" si="6"/>
        <v>0.61904761904761907</v>
      </c>
      <c r="F128" s="2">
        <v>3</v>
      </c>
      <c r="G128" s="3">
        <f t="shared" si="7"/>
        <v>6</v>
      </c>
      <c r="H128" s="2" t="s">
        <v>12</v>
      </c>
      <c r="I128" s="3"/>
    </row>
    <row r="129" spans="1:9" x14ac:dyDescent="0.25">
      <c r="A129" s="2">
        <v>127</v>
      </c>
      <c r="B129" s="2">
        <v>126</v>
      </c>
      <c r="C129" s="3">
        <f t="shared" ca="1" si="4"/>
        <v>2</v>
      </c>
      <c r="D129" s="4">
        <f t="shared" ca="1" si="5"/>
        <v>-1</v>
      </c>
      <c r="E129" s="5">
        <f t="shared" ca="1" si="6"/>
        <v>-7.874015748031496E-3</v>
      </c>
      <c r="F129" s="2">
        <v>1</v>
      </c>
      <c r="G129" s="3">
        <f t="shared" si="7"/>
        <v>7</v>
      </c>
      <c r="H129" s="2" t="s">
        <v>11</v>
      </c>
      <c r="I129" s="3">
        <v>-1</v>
      </c>
    </row>
    <row r="130" spans="1:9" x14ac:dyDescent="0.25">
      <c r="A130" s="2">
        <v>128</v>
      </c>
      <c r="B130" s="2">
        <v>64</v>
      </c>
      <c r="C130" s="3">
        <f t="shared" ca="1" si="4"/>
        <v>8</v>
      </c>
      <c r="D130" s="4">
        <f t="shared" ca="1" si="5"/>
        <v>56</v>
      </c>
      <c r="E130" s="5">
        <f t="shared" ca="1" si="6"/>
        <v>0.4375</v>
      </c>
      <c r="F130" s="2">
        <v>1</v>
      </c>
      <c r="G130" s="3">
        <f t="shared" si="7"/>
        <v>8</v>
      </c>
      <c r="H130" s="2" t="s">
        <v>12</v>
      </c>
      <c r="I130" s="3"/>
    </row>
    <row r="131" spans="1:9" x14ac:dyDescent="0.25">
      <c r="A131" s="2">
        <v>129</v>
      </c>
      <c r="B131" s="2">
        <v>84</v>
      </c>
      <c r="C131" s="3">
        <f t="shared" ref="C131:C194" ca="1" si="8">SUMPRODUCT((MOD(A131,ROW(INDIRECT("1:"&amp;A131)))=0)*1)</f>
        <v>4</v>
      </c>
      <c r="D131" s="4">
        <f t="shared" ref="D131:D194" ca="1" si="9">A131-B131-C131</f>
        <v>41</v>
      </c>
      <c r="E131" s="5">
        <f t="shared" ref="E131:E194" ca="1" si="10">D131/A131</f>
        <v>0.31782945736434109</v>
      </c>
      <c r="F131" s="2">
        <v>2</v>
      </c>
      <c r="G131" s="3">
        <f t="shared" ref="G131:G194" si="11">MOD(A131,30)</f>
        <v>9</v>
      </c>
      <c r="H131" s="2" t="s">
        <v>12</v>
      </c>
      <c r="I131" s="3"/>
    </row>
    <row r="132" spans="1:9" x14ac:dyDescent="0.25">
      <c r="A132" s="2">
        <v>130</v>
      </c>
      <c r="B132" s="2">
        <v>48</v>
      </c>
      <c r="C132" s="3">
        <f t="shared" ca="1" si="8"/>
        <v>8</v>
      </c>
      <c r="D132" s="4">
        <f t="shared" ca="1" si="9"/>
        <v>74</v>
      </c>
      <c r="E132" s="5">
        <f t="shared" ca="1" si="10"/>
        <v>0.56923076923076921</v>
      </c>
      <c r="F132" s="2">
        <v>3</v>
      </c>
      <c r="G132" s="3">
        <f t="shared" si="11"/>
        <v>10</v>
      </c>
      <c r="H132" s="2" t="s">
        <v>12</v>
      </c>
      <c r="I132" s="3"/>
    </row>
    <row r="133" spans="1:9" x14ac:dyDescent="0.25">
      <c r="A133" s="2">
        <v>131</v>
      </c>
      <c r="B133" s="2">
        <v>130</v>
      </c>
      <c r="C133" s="3">
        <f t="shared" ca="1" si="8"/>
        <v>2</v>
      </c>
      <c r="D133" s="4">
        <f t="shared" ca="1" si="9"/>
        <v>-1</v>
      </c>
      <c r="E133" s="5">
        <f t="shared" ca="1" si="10"/>
        <v>-7.6335877862595417E-3</v>
      </c>
      <c r="F133" s="2">
        <v>1</v>
      </c>
      <c r="G133" s="3">
        <f t="shared" si="11"/>
        <v>11</v>
      </c>
      <c r="H133" s="2" t="s">
        <v>11</v>
      </c>
      <c r="I133" s="3">
        <v>-1</v>
      </c>
    </row>
    <row r="134" spans="1:9" x14ac:dyDescent="0.25">
      <c r="A134" s="2">
        <v>132</v>
      </c>
      <c r="B134" s="2">
        <v>40</v>
      </c>
      <c r="C134" s="3">
        <f t="shared" ca="1" si="8"/>
        <v>12</v>
      </c>
      <c r="D134" s="4">
        <f t="shared" ca="1" si="9"/>
        <v>80</v>
      </c>
      <c r="E134" s="5">
        <f t="shared" ca="1" si="10"/>
        <v>0.60606060606060608</v>
      </c>
      <c r="F134" s="2">
        <v>3</v>
      </c>
      <c r="G134" s="3">
        <f t="shared" si="11"/>
        <v>12</v>
      </c>
      <c r="H134" s="2" t="s">
        <v>12</v>
      </c>
      <c r="I134" s="3"/>
    </row>
    <row r="135" spans="1:9" x14ac:dyDescent="0.25">
      <c r="A135" s="2">
        <v>133</v>
      </c>
      <c r="B135" s="2">
        <v>108</v>
      </c>
      <c r="C135" s="3">
        <f t="shared" ca="1" si="8"/>
        <v>4</v>
      </c>
      <c r="D135" s="4">
        <f t="shared" ca="1" si="9"/>
        <v>21</v>
      </c>
      <c r="E135" s="5">
        <f t="shared" ca="1" si="10"/>
        <v>0.15789473684210525</v>
      </c>
      <c r="F135" s="2">
        <v>2</v>
      </c>
      <c r="G135" s="3">
        <f t="shared" si="11"/>
        <v>13</v>
      </c>
      <c r="H135" s="2" t="s">
        <v>12</v>
      </c>
      <c r="I135" s="3"/>
    </row>
    <row r="136" spans="1:9" x14ac:dyDescent="0.25">
      <c r="A136" s="2">
        <v>134</v>
      </c>
      <c r="B136" s="2">
        <v>66</v>
      </c>
      <c r="C136" s="3">
        <f t="shared" ca="1" si="8"/>
        <v>4</v>
      </c>
      <c r="D136" s="4">
        <f t="shared" ca="1" si="9"/>
        <v>64</v>
      </c>
      <c r="E136" s="5">
        <f t="shared" ca="1" si="10"/>
        <v>0.47761194029850745</v>
      </c>
      <c r="F136" s="2">
        <v>2</v>
      </c>
      <c r="G136" s="3">
        <f t="shared" si="11"/>
        <v>14</v>
      </c>
      <c r="H136" s="2" t="s">
        <v>12</v>
      </c>
      <c r="I136" s="3"/>
    </row>
    <row r="137" spans="1:9" x14ac:dyDescent="0.25">
      <c r="A137" s="2">
        <v>135</v>
      </c>
      <c r="B137" s="2">
        <v>72</v>
      </c>
      <c r="C137" s="3">
        <f t="shared" ca="1" si="8"/>
        <v>8</v>
      </c>
      <c r="D137" s="4">
        <f t="shared" ca="1" si="9"/>
        <v>55</v>
      </c>
      <c r="E137" s="5">
        <f t="shared" ca="1" si="10"/>
        <v>0.40740740740740738</v>
      </c>
      <c r="F137" s="2">
        <v>2</v>
      </c>
      <c r="G137" s="3">
        <f t="shared" si="11"/>
        <v>15</v>
      </c>
      <c r="H137" s="2" t="s">
        <v>12</v>
      </c>
      <c r="I137" s="3"/>
    </row>
    <row r="138" spans="1:9" x14ac:dyDescent="0.25">
      <c r="A138" s="2">
        <v>136</v>
      </c>
      <c r="B138" s="2">
        <v>64</v>
      </c>
      <c r="C138" s="3">
        <f t="shared" ca="1" si="8"/>
        <v>8</v>
      </c>
      <c r="D138" s="4">
        <f t="shared" ca="1" si="9"/>
        <v>64</v>
      </c>
      <c r="E138" s="5">
        <f t="shared" ca="1" si="10"/>
        <v>0.47058823529411764</v>
      </c>
      <c r="F138" s="2">
        <v>2</v>
      </c>
      <c r="G138" s="3">
        <f t="shared" si="11"/>
        <v>16</v>
      </c>
      <c r="H138" s="2" t="s">
        <v>12</v>
      </c>
      <c r="I138" s="3"/>
    </row>
    <row r="139" spans="1:9" x14ac:dyDescent="0.25">
      <c r="A139" s="2">
        <v>137</v>
      </c>
      <c r="B139" s="2">
        <v>136</v>
      </c>
      <c r="C139" s="3">
        <f t="shared" ca="1" si="8"/>
        <v>2</v>
      </c>
      <c r="D139" s="4">
        <f t="shared" ca="1" si="9"/>
        <v>-1</v>
      </c>
      <c r="E139" s="5">
        <f t="shared" ca="1" si="10"/>
        <v>-7.2992700729927005E-3</v>
      </c>
      <c r="F139" s="2">
        <v>1</v>
      </c>
      <c r="G139" s="3">
        <f t="shared" si="11"/>
        <v>17</v>
      </c>
      <c r="H139" s="2" t="s">
        <v>11</v>
      </c>
      <c r="I139" s="3">
        <v>-1</v>
      </c>
    </row>
    <row r="140" spans="1:9" x14ac:dyDescent="0.25">
      <c r="A140" s="2">
        <v>138</v>
      </c>
      <c r="B140" s="2">
        <v>44</v>
      </c>
      <c r="C140" s="3">
        <f t="shared" ca="1" si="8"/>
        <v>8</v>
      </c>
      <c r="D140" s="4">
        <f t="shared" ca="1" si="9"/>
        <v>86</v>
      </c>
      <c r="E140" s="5">
        <f t="shared" ca="1" si="10"/>
        <v>0.62318840579710144</v>
      </c>
      <c r="F140" s="2">
        <v>3</v>
      </c>
      <c r="G140" s="3">
        <f t="shared" si="11"/>
        <v>18</v>
      </c>
      <c r="H140" s="2" t="s">
        <v>12</v>
      </c>
      <c r="I140" s="3"/>
    </row>
    <row r="141" spans="1:9" x14ac:dyDescent="0.25">
      <c r="A141" s="2">
        <v>139</v>
      </c>
      <c r="B141" s="2">
        <v>138</v>
      </c>
      <c r="C141" s="3">
        <f t="shared" ca="1" si="8"/>
        <v>2</v>
      </c>
      <c r="D141" s="4">
        <f t="shared" ca="1" si="9"/>
        <v>-1</v>
      </c>
      <c r="E141" s="5">
        <f t="shared" ca="1" si="10"/>
        <v>-7.1942446043165471E-3</v>
      </c>
      <c r="F141" s="2">
        <v>1</v>
      </c>
      <c r="G141" s="3">
        <f t="shared" si="11"/>
        <v>19</v>
      </c>
      <c r="H141" s="2" t="s">
        <v>11</v>
      </c>
      <c r="I141" s="3">
        <v>-1</v>
      </c>
    </row>
    <row r="142" spans="1:9" x14ac:dyDescent="0.25">
      <c r="A142" s="2">
        <v>140</v>
      </c>
      <c r="B142" s="2">
        <v>48</v>
      </c>
      <c r="C142" s="3">
        <f t="shared" ca="1" si="8"/>
        <v>12</v>
      </c>
      <c r="D142" s="4">
        <f t="shared" ca="1" si="9"/>
        <v>80</v>
      </c>
      <c r="E142" s="5">
        <f t="shared" ca="1" si="10"/>
        <v>0.5714285714285714</v>
      </c>
      <c r="F142" s="2">
        <v>3</v>
      </c>
      <c r="G142" s="3">
        <f t="shared" si="11"/>
        <v>20</v>
      </c>
      <c r="H142" s="2" t="s">
        <v>12</v>
      </c>
      <c r="I142" s="3"/>
    </row>
    <row r="143" spans="1:9" x14ac:dyDescent="0.25">
      <c r="A143" s="2">
        <v>141</v>
      </c>
      <c r="B143" s="2">
        <v>92</v>
      </c>
      <c r="C143" s="3">
        <f t="shared" ca="1" si="8"/>
        <v>4</v>
      </c>
      <c r="D143" s="4">
        <f t="shared" ca="1" si="9"/>
        <v>45</v>
      </c>
      <c r="E143" s="5">
        <f t="shared" ca="1" si="10"/>
        <v>0.31914893617021278</v>
      </c>
      <c r="F143" s="2">
        <v>2</v>
      </c>
      <c r="G143" s="3">
        <f t="shared" si="11"/>
        <v>21</v>
      </c>
      <c r="H143" s="2" t="s">
        <v>12</v>
      </c>
      <c r="I143" s="3"/>
    </row>
    <row r="144" spans="1:9" x14ac:dyDescent="0.25">
      <c r="A144" s="2">
        <v>142</v>
      </c>
      <c r="B144" s="2">
        <v>70</v>
      </c>
      <c r="C144" s="3">
        <f t="shared" ca="1" si="8"/>
        <v>4</v>
      </c>
      <c r="D144" s="4">
        <f t="shared" ca="1" si="9"/>
        <v>68</v>
      </c>
      <c r="E144" s="5">
        <f t="shared" ca="1" si="10"/>
        <v>0.47887323943661969</v>
      </c>
      <c r="F144" s="2">
        <v>2</v>
      </c>
      <c r="G144" s="3">
        <f t="shared" si="11"/>
        <v>22</v>
      </c>
      <c r="H144" s="2" t="s">
        <v>12</v>
      </c>
      <c r="I144" s="3"/>
    </row>
    <row r="145" spans="1:9" x14ac:dyDescent="0.25">
      <c r="A145" s="2">
        <v>143</v>
      </c>
      <c r="B145" s="2">
        <v>120</v>
      </c>
      <c r="C145" s="3">
        <f t="shared" ca="1" si="8"/>
        <v>4</v>
      </c>
      <c r="D145" s="4">
        <f t="shared" ca="1" si="9"/>
        <v>19</v>
      </c>
      <c r="E145" s="5">
        <f t="shared" ca="1" si="10"/>
        <v>0.13286713286713286</v>
      </c>
      <c r="F145" s="2">
        <v>2</v>
      </c>
      <c r="G145" s="3">
        <f t="shared" si="11"/>
        <v>23</v>
      </c>
      <c r="H145" s="2" t="s">
        <v>12</v>
      </c>
      <c r="I145" s="3"/>
    </row>
    <row r="146" spans="1:9" x14ac:dyDescent="0.25">
      <c r="A146" s="2">
        <v>144</v>
      </c>
      <c r="B146" s="2">
        <v>48</v>
      </c>
      <c r="C146" s="3">
        <f t="shared" ca="1" si="8"/>
        <v>15</v>
      </c>
      <c r="D146" s="4">
        <f t="shared" ca="1" si="9"/>
        <v>81</v>
      </c>
      <c r="E146" s="5">
        <f t="shared" ca="1" si="10"/>
        <v>0.5625</v>
      </c>
      <c r="F146" s="2">
        <v>2</v>
      </c>
      <c r="G146" s="3">
        <f t="shared" si="11"/>
        <v>24</v>
      </c>
      <c r="H146" s="2" t="s">
        <v>12</v>
      </c>
      <c r="I146" s="3"/>
    </row>
    <row r="147" spans="1:9" x14ac:dyDescent="0.25">
      <c r="A147" s="2">
        <v>145</v>
      </c>
      <c r="B147" s="2">
        <v>112</v>
      </c>
      <c r="C147" s="3">
        <f t="shared" ca="1" si="8"/>
        <v>4</v>
      </c>
      <c r="D147" s="4">
        <f t="shared" ca="1" si="9"/>
        <v>29</v>
      </c>
      <c r="E147" s="5">
        <f t="shared" ca="1" si="10"/>
        <v>0.2</v>
      </c>
      <c r="F147" s="2">
        <v>2</v>
      </c>
      <c r="G147" s="3">
        <f t="shared" si="11"/>
        <v>25</v>
      </c>
      <c r="H147" s="2" t="s">
        <v>12</v>
      </c>
      <c r="I147" s="3"/>
    </row>
    <row r="148" spans="1:9" x14ac:dyDescent="0.25">
      <c r="A148" s="2">
        <v>146</v>
      </c>
      <c r="B148" s="2">
        <v>72</v>
      </c>
      <c r="C148" s="3">
        <f t="shared" ca="1" si="8"/>
        <v>4</v>
      </c>
      <c r="D148" s="4">
        <f t="shared" ca="1" si="9"/>
        <v>70</v>
      </c>
      <c r="E148" s="5">
        <f t="shared" ca="1" si="10"/>
        <v>0.47945205479452052</v>
      </c>
      <c r="F148" s="2">
        <v>2</v>
      </c>
      <c r="G148" s="3">
        <f t="shared" si="11"/>
        <v>26</v>
      </c>
      <c r="H148" s="2" t="s">
        <v>12</v>
      </c>
      <c r="I148" s="3"/>
    </row>
    <row r="149" spans="1:9" x14ac:dyDescent="0.25">
      <c r="A149" s="2">
        <v>147</v>
      </c>
      <c r="B149" s="2">
        <v>84</v>
      </c>
      <c r="C149" s="3">
        <f t="shared" ca="1" si="8"/>
        <v>6</v>
      </c>
      <c r="D149" s="4">
        <f t="shared" ca="1" si="9"/>
        <v>57</v>
      </c>
      <c r="E149" s="5">
        <f t="shared" ca="1" si="10"/>
        <v>0.38775510204081631</v>
      </c>
      <c r="F149" s="2">
        <v>2</v>
      </c>
      <c r="G149" s="3">
        <f t="shared" si="11"/>
        <v>27</v>
      </c>
      <c r="H149" s="2" t="s">
        <v>12</v>
      </c>
      <c r="I149" s="3"/>
    </row>
    <row r="150" spans="1:9" x14ac:dyDescent="0.25">
      <c r="A150" s="2">
        <v>148</v>
      </c>
      <c r="B150" s="2">
        <v>72</v>
      </c>
      <c r="C150" s="3">
        <f t="shared" ca="1" si="8"/>
        <v>6</v>
      </c>
      <c r="D150" s="4">
        <f t="shared" ca="1" si="9"/>
        <v>70</v>
      </c>
      <c r="E150" s="5">
        <f t="shared" ca="1" si="10"/>
        <v>0.47297297297297297</v>
      </c>
      <c r="F150" s="2">
        <v>2</v>
      </c>
      <c r="G150" s="3">
        <f t="shared" si="11"/>
        <v>28</v>
      </c>
      <c r="H150" s="2" t="s">
        <v>12</v>
      </c>
      <c r="I150" s="3"/>
    </row>
    <row r="151" spans="1:9" x14ac:dyDescent="0.25">
      <c r="A151" s="2">
        <v>149</v>
      </c>
      <c r="B151" s="2">
        <v>148</v>
      </c>
      <c r="C151" s="3">
        <f t="shared" ca="1" si="8"/>
        <v>2</v>
      </c>
      <c r="D151" s="4">
        <f t="shared" ca="1" si="9"/>
        <v>-1</v>
      </c>
      <c r="E151" s="5">
        <f t="shared" ca="1" si="10"/>
        <v>-6.7114093959731542E-3</v>
      </c>
      <c r="F151" s="2">
        <v>1</v>
      </c>
      <c r="G151" s="3">
        <f t="shared" si="11"/>
        <v>29</v>
      </c>
      <c r="H151" s="2" t="s">
        <v>11</v>
      </c>
      <c r="I151" s="3">
        <v>-1</v>
      </c>
    </row>
    <row r="152" spans="1:9" x14ac:dyDescent="0.25">
      <c r="A152" s="2">
        <v>150</v>
      </c>
      <c r="B152" s="2">
        <v>40</v>
      </c>
      <c r="C152" s="3">
        <f t="shared" ca="1" si="8"/>
        <v>12</v>
      </c>
      <c r="D152" s="4">
        <f t="shared" ca="1" si="9"/>
        <v>98</v>
      </c>
      <c r="E152" s="5">
        <f t="shared" ca="1" si="10"/>
        <v>0.65333333333333332</v>
      </c>
      <c r="F152" s="2">
        <v>3</v>
      </c>
      <c r="G152" s="3">
        <f t="shared" si="11"/>
        <v>0</v>
      </c>
      <c r="H152" s="2" t="s">
        <v>12</v>
      </c>
      <c r="I152" s="3"/>
    </row>
    <row r="153" spans="1:9" x14ac:dyDescent="0.25">
      <c r="A153" s="2">
        <v>151</v>
      </c>
      <c r="B153" s="2">
        <v>150</v>
      </c>
      <c r="C153" s="3">
        <f t="shared" ca="1" si="8"/>
        <v>2</v>
      </c>
      <c r="D153" s="4">
        <f t="shared" ca="1" si="9"/>
        <v>-1</v>
      </c>
      <c r="E153" s="5">
        <f t="shared" ca="1" si="10"/>
        <v>-6.6225165562913907E-3</v>
      </c>
      <c r="F153" s="2">
        <v>1</v>
      </c>
      <c r="G153" s="3">
        <f t="shared" si="11"/>
        <v>1</v>
      </c>
      <c r="H153" s="2" t="s">
        <v>11</v>
      </c>
      <c r="I153" s="3">
        <v>-1</v>
      </c>
    </row>
    <row r="154" spans="1:9" x14ac:dyDescent="0.25">
      <c r="A154" s="2">
        <v>152</v>
      </c>
      <c r="B154" s="2">
        <v>72</v>
      </c>
      <c r="C154" s="3">
        <f t="shared" ca="1" si="8"/>
        <v>8</v>
      </c>
      <c r="D154" s="4">
        <f t="shared" ca="1" si="9"/>
        <v>72</v>
      </c>
      <c r="E154" s="5">
        <f t="shared" ca="1" si="10"/>
        <v>0.47368421052631576</v>
      </c>
      <c r="F154" s="2">
        <v>2</v>
      </c>
      <c r="G154" s="3">
        <f t="shared" si="11"/>
        <v>2</v>
      </c>
      <c r="H154" s="2" t="s">
        <v>12</v>
      </c>
      <c r="I154" s="3"/>
    </row>
    <row r="155" spans="1:9" x14ac:dyDescent="0.25">
      <c r="A155" s="2">
        <v>153</v>
      </c>
      <c r="B155" s="2">
        <v>96</v>
      </c>
      <c r="C155" s="3">
        <f t="shared" ca="1" si="8"/>
        <v>6</v>
      </c>
      <c r="D155" s="4">
        <f t="shared" ca="1" si="9"/>
        <v>51</v>
      </c>
      <c r="E155" s="5">
        <f t="shared" ca="1" si="10"/>
        <v>0.33333333333333331</v>
      </c>
      <c r="F155" s="2">
        <v>2</v>
      </c>
      <c r="G155" s="3">
        <f t="shared" si="11"/>
        <v>3</v>
      </c>
      <c r="H155" s="2" t="s">
        <v>12</v>
      </c>
      <c r="I155" s="3"/>
    </row>
    <row r="156" spans="1:9" x14ac:dyDescent="0.25">
      <c r="A156" s="2">
        <v>154</v>
      </c>
      <c r="B156" s="2">
        <v>60</v>
      </c>
      <c r="C156" s="3">
        <f t="shared" ca="1" si="8"/>
        <v>8</v>
      </c>
      <c r="D156" s="4">
        <f t="shared" ca="1" si="9"/>
        <v>86</v>
      </c>
      <c r="E156" s="5">
        <f t="shared" ca="1" si="10"/>
        <v>0.55844155844155841</v>
      </c>
      <c r="F156" s="2">
        <v>3</v>
      </c>
      <c r="G156" s="3">
        <f t="shared" si="11"/>
        <v>4</v>
      </c>
      <c r="H156" s="2" t="s">
        <v>12</v>
      </c>
      <c r="I156" s="3"/>
    </row>
    <row r="157" spans="1:9" x14ac:dyDescent="0.25">
      <c r="A157" s="2">
        <v>155</v>
      </c>
      <c r="B157" s="2">
        <v>120</v>
      </c>
      <c r="C157" s="3">
        <f t="shared" ca="1" si="8"/>
        <v>4</v>
      </c>
      <c r="D157" s="4">
        <f t="shared" ca="1" si="9"/>
        <v>31</v>
      </c>
      <c r="E157" s="5">
        <f t="shared" ca="1" si="10"/>
        <v>0.2</v>
      </c>
      <c r="F157" s="2">
        <v>2</v>
      </c>
      <c r="G157" s="3">
        <f t="shared" si="11"/>
        <v>5</v>
      </c>
      <c r="H157" s="2" t="s">
        <v>12</v>
      </c>
      <c r="I157" s="3"/>
    </row>
    <row r="158" spans="1:9" x14ac:dyDescent="0.25">
      <c r="A158" s="2">
        <v>156</v>
      </c>
      <c r="B158" s="2">
        <v>48</v>
      </c>
      <c r="C158" s="3">
        <f t="shared" ca="1" si="8"/>
        <v>12</v>
      </c>
      <c r="D158" s="4">
        <f t="shared" ca="1" si="9"/>
        <v>96</v>
      </c>
      <c r="E158" s="5">
        <f t="shared" ca="1" si="10"/>
        <v>0.61538461538461542</v>
      </c>
      <c r="F158" s="2">
        <v>3</v>
      </c>
      <c r="G158" s="3">
        <f t="shared" si="11"/>
        <v>6</v>
      </c>
      <c r="H158" s="2" t="s">
        <v>12</v>
      </c>
      <c r="I158" s="3"/>
    </row>
    <row r="159" spans="1:9" x14ac:dyDescent="0.25">
      <c r="A159" s="2">
        <v>157</v>
      </c>
      <c r="B159" s="2">
        <v>156</v>
      </c>
      <c r="C159" s="3">
        <f t="shared" ca="1" si="8"/>
        <v>2</v>
      </c>
      <c r="D159" s="4">
        <f t="shared" ca="1" si="9"/>
        <v>-1</v>
      </c>
      <c r="E159" s="5">
        <f t="shared" ca="1" si="10"/>
        <v>-6.369426751592357E-3</v>
      </c>
      <c r="F159" s="2">
        <v>1</v>
      </c>
      <c r="G159" s="3">
        <f t="shared" si="11"/>
        <v>7</v>
      </c>
      <c r="H159" s="2" t="s">
        <v>11</v>
      </c>
      <c r="I159" s="3">
        <v>-1</v>
      </c>
    </row>
    <row r="160" spans="1:9" x14ac:dyDescent="0.25">
      <c r="A160" s="2">
        <v>158</v>
      </c>
      <c r="B160" s="2">
        <v>78</v>
      </c>
      <c r="C160" s="3">
        <f t="shared" ca="1" si="8"/>
        <v>4</v>
      </c>
      <c r="D160" s="4">
        <f t="shared" ca="1" si="9"/>
        <v>76</v>
      </c>
      <c r="E160" s="5">
        <f t="shared" ca="1" si="10"/>
        <v>0.48101265822784811</v>
      </c>
      <c r="F160" s="2">
        <v>2</v>
      </c>
      <c r="G160" s="3">
        <f t="shared" si="11"/>
        <v>8</v>
      </c>
      <c r="H160" s="2" t="s">
        <v>12</v>
      </c>
      <c r="I160" s="3"/>
    </row>
    <row r="161" spans="1:9" x14ac:dyDescent="0.25">
      <c r="A161" s="2">
        <v>159</v>
      </c>
      <c r="B161" s="2">
        <v>104</v>
      </c>
      <c r="C161" s="3">
        <f t="shared" ca="1" si="8"/>
        <v>4</v>
      </c>
      <c r="D161" s="4">
        <f t="shared" ca="1" si="9"/>
        <v>51</v>
      </c>
      <c r="E161" s="5">
        <f t="shared" ca="1" si="10"/>
        <v>0.32075471698113206</v>
      </c>
      <c r="F161" s="2">
        <v>2</v>
      </c>
      <c r="G161" s="3">
        <f t="shared" si="11"/>
        <v>9</v>
      </c>
      <c r="H161" s="2" t="s">
        <v>12</v>
      </c>
      <c r="I161" s="3"/>
    </row>
    <row r="162" spans="1:9" x14ac:dyDescent="0.25">
      <c r="A162" s="2">
        <v>160</v>
      </c>
      <c r="B162" s="2">
        <v>64</v>
      </c>
      <c r="C162" s="3">
        <f t="shared" ca="1" si="8"/>
        <v>12</v>
      </c>
      <c r="D162" s="4">
        <f t="shared" ca="1" si="9"/>
        <v>84</v>
      </c>
      <c r="E162" s="5">
        <f t="shared" ca="1" si="10"/>
        <v>0.52500000000000002</v>
      </c>
      <c r="F162" s="2">
        <v>2</v>
      </c>
      <c r="G162" s="3">
        <f t="shared" si="11"/>
        <v>10</v>
      </c>
      <c r="H162" s="2" t="s">
        <v>12</v>
      </c>
      <c r="I162" s="3"/>
    </row>
    <row r="163" spans="1:9" x14ac:dyDescent="0.25">
      <c r="A163" s="2">
        <v>161</v>
      </c>
      <c r="B163" s="2">
        <v>132</v>
      </c>
      <c r="C163" s="3">
        <f t="shared" ca="1" si="8"/>
        <v>4</v>
      </c>
      <c r="D163" s="4">
        <f t="shared" ca="1" si="9"/>
        <v>25</v>
      </c>
      <c r="E163" s="5">
        <f t="shared" ca="1" si="10"/>
        <v>0.15527950310559005</v>
      </c>
      <c r="F163" s="2">
        <v>2</v>
      </c>
      <c r="G163" s="3">
        <f t="shared" si="11"/>
        <v>11</v>
      </c>
      <c r="H163" s="2" t="s">
        <v>12</v>
      </c>
      <c r="I163" s="3"/>
    </row>
    <row r="164" spans="1:9" x14ac:dyDescent="0.25">
      <c r="A164" s="2">
        <v>162</v>
      </c>
      <c r="B164" s="2">
        <v>54</v>
      </c>
      <c r="C164" s="3">
        <f t="shared" ca="1" si="8"/>
        <v>10</v>
      </c>
      <c r="D164" s="4">
        <f t="shared" ca="1" si="9"/>
        <v>98</v>
      </c>
      <c r="E164" s="5">
        <f t="shared" ca="1" si="10"/>
        <v>0.60493827160493829</v>
      </c>
      <c r="F164" s="2">
        <v>2</v>
      </c>
      <c r="G164" s="3">
        <f t="shared" si="11"/>
        <v>12</v>
      </c>
      <c r="H164" s="2" t="s">
        <v>12</v>
      </c>
      <c r="I164" s="3"/>
    </row>
    <row r="165" spans="1:9" x14ac:dyDescent="0.25">
      <c r="A165" s="2">
        <v>163</v>
      </c>
      <c r="B165" s="2">
        <v>162</v>
      </c>
      <c r="C165" s="3">
        <f t="shared" ca="1" si="8"/>
        <v>2</v>
      </c>
      <c r="D165" s="4">
        <f t="shared" ca="1" si="9"/>
        <v>-1</v>
      </c>
      <c r="E165" s="5">
        <f t="shared" ca="1" si="10"/>
        <v>-6.1349693251533744E-3</v>
      </c>
      <c r="F165" s="2">
        <v>1</v>
      </c>
      <c r="G165" s="3">
        <f t="shared" si="11"/>
        <v>13</v>
      </c>
      <c r="H165" s="2" t="s">
        <v>11</v>
      </c>
      <c r="I165" s="3">
        <v>-1</v>
      </c>
    </row>
    <row r="166" spans="1:9" x14ac:dyDescent="0.25">
      <c r="A166" s="2">
        <v>164</v>
      </c>
      <c r="B166" s="2">
        <v>80</v>
      </c>
      <c r="C166" s="3">
        <f t="shared" ca="1" si="8"/>
        <v>6</v>
      </c>
      <c r="D166" s="4">
        <f t="shared" ca="1" si="9"/>
        <v>78</v>
      </c>
      <c r="E166" s="5">
        <f t="shared" ca="1" si="10"/>
        <v>0.47560975609756095</v>
      </c>
      <c r="F166" s="2">
        <v>2</v>
      </c>
      <c r="G166" s="3">
        <f t="shared" si="11"/>
        <v>14</v>
      </c>
      <c r="H166" s="2" t="s">
        <v>12</v>
      </c>
      <c r="I166" s="3"/>
    </row>
    <row r="167" spans="1:9" x14ac:dyDescent="0.25">
      <c r="A167" s="2">
        <v>165</v>
      </c>
      <c r="B167" s="2">
        <v>80</v>
      </c>
      <c r="C167" s="3">
        <f t="shared" ca="1" si="8"/>
        <v>8</v>
      </c>
      <c r="D167" s="4">
        <f t="shared" ca="1" si="9"/>
        <v>77</v>
      </c>
      <c r="E167" s="5">
        <f t="shared" ca="1" si="10"/>
        <v>0.46666666666666667</v>
      </c>
      <c r="F167" s="2">
        <v>3</v>
      </c>
      <c r="G167" s="3">
        <f t="shared" si="11"/>
        <v>15</v>
      </c>
      <c r="H167" s="2" t="s">
        <v>12</v>
      </c>
      <c r="I167" s="3"/>
    </row>
    <row r="168" spans="1:9" x14ac:dyDescent="0.25">
      <c r="A168" s="2">
        <v>166</v>
      </c>
      <c r="B168" s="2">
        <v>82</v>
      </c>
      <c r="C168" s="3">
        <f t="shared" ca="1" si="8"/>
        <v>4</v>
      </c>
      <c r="D168" s="4">
        <f t="shared" ca="1" si="9"/>
        <v>80</v>
      </c>
      <c r="E168" s="5">
        <f t="shared" ca="1" si="10"/>
        <v>0.48192771084337349</v>
      </c>
      <c r="F168" s="2">
        <v>2</v>
      </c>
      <c r="G168" s="3">
        <f t="shared" si="11"/>
        <v>16</v>
      </c>
      <c r="H168" s="2" t="s">
        <v>12</v>
      </c>
      <c r="I168" s="3"/>
    </row>
    <row r="169" spans="1:9" x14ac:dyDescent="0.25">
      <c r="A169" s="2">
        <v>167</v>
      </c>
      <c r="B169" s="2">
        <v>166</v>
      </c>
      <c r="C169" s="3">
        <f t="shared" ca="1" si="8"/>
        <v>2</v>
      </c>
      <c r="D169" s="4">
        <f t="shared" ca="1" si="9"/>
        <v>-1</v>
      </c>
      <c r="E169" s="5">
        <f t="shared" ca="1" si="10"/>
        <v>-5.9880239520958087E-3</v>
      </c>
      <c r="F169" s="2">
        <v>1</v>
      </c>
      <c r="G169" s="3">
        <f t="shared" si="11"/>
        <v>17</v>
      </c>
      <c r="H169" s="2" t="s">
        <v>11</v>
      </c>
      <c r="I169" s="3">
        <v>-1</v>
      </c>
    </row>
    <row r="170" spans="1:9" x14ac:dyDescent="0.25">
      <c r="A170" s="2">
        <v>168</v>
      </c>
      <c r="B170" s="2">
        <v>48</v>
      </c>
      <c r="C170" s="3">
        <f t="shared" ca="1" si="8"/>
        <v>16</v>
      </c>
      <c r="D170" s="4">
        <f t="shared" ca="1" si="9"/>
        <v>104</v>
      </c>
      <c r="E170" s="5">
        <f t="shared" ca="1" si="10"/>
        <v>0.61904761904761907</v>
      </c>
      <c r="F170" s="2">
        <v>3</v>
      </c>
      <c r="G170" s="3">
        <f t="shared" si="11"/>
        <v>18</v>
      </c>
      <c r="H170" s="2" t="s">
        <v>12</v>
      </c>
      <c r="I170" s="3"/>
    </row>
    <row r="171" spans="1:9" x14ac:dyDescent="0.25">
      <c r="A171" s="2">
        <v>169</v>
      </c>
      <c r="B171" s="2">
        <v>156</v>
      </c>
      <c r="C171" s="3">
        <f t="shared" ca="1" si="8"/>
        <v>3</v>
      </c>
      <c r="D171" s="4">
        <f t="shared" ca="1" si="9"/>
        <v>10</v>
      </c>
      <c r="E171" s="5">
        <f t="shared" ca="1" si="10"/>
        <v>5.9171597633136092E-2</v>
      </c>
      <c r="F171" s="2">
        <v>1</v>
      </c>
      <c r="G171" s="3">
        <f t="shared" si="11"/>
        <v>19</v>
      </c>
      <c r="H171" s="2" t="s">
        <v>12</v>
      </c>
      <c r="I171" s="3"/>
    </row>
    <row r="172" spans="1:9" x14ac:dyDescent="0.25">
      <c r="A172" s="2">
        <v>170</v>
      </c>
      <c r="B172" s="2">
        <v>64</v>
      </c>
      <c r="C172" s="3">
        <f t="shared" ca="1" si="8"/>
        <v>8</v>
      </c>
      <c r="D172" s="4">
        <f t="shared" ca="1" si="9"/>
        <v>98</v>
      </c>
      <c r="E172" s="5">
        <f t="shared" ca="1" si="10"/>
        <v>0.57647058823529407</v>
      </c>
      <c r="F172" s="2">
        <v>3</v>
      </c>
      <c r="G172" s="3">
        <f t="shared" si="11"/>
        <v>20</v>
      </c>
      <c r="H172" s="2" t="s">
        <v>12</v>
      </c>
      <c r="I172" s="3"/>
    </row>
    <row r="173" spans="1:9" x14ac:dyDescent="0.25">
      <c r="A173" s="2">
        <v>171</v>
      </c>
      <c r="B173" s="2">
        <v>108</v>
      </c>
      <c r="C173" s="3">
        <f t="shared" ca="1" si="8"/>
        <v>6</v>
      </c>
      <c r="D173" s="4">
        <f t="shared" ca="1" si="9"/>
        <v>57</v>
      </c>
      <c r="E173" s="5">
        <f t="shared" ca="1" si="10"/>
        <v>0.33333333333333331</v>
      </c>
      <c r="F173" s="2">
        <v>2</v>
      </c>
      <c r="G173" s="3">
        <f t="shared" si="11"/>
        <v>21</v>
      </c>
      <c r="H173" s="2" t="s">
        <v>12</v>
      </c>
      <c r="I173" s="3"/>
    </row>
    <row r="174" spans="1:9" x14ac:dyDescent="0.25">
      <c r="A174" s="2">
        <v>172</v>
      </c>
      <c r="B174" s="2">
        <v>84</v>
      </c>
      <c r="C174" s="3">
        <f t="shared" ca="1" si="8"/>
        <v>6</v>
      </c>
      <c r="D174" s="4">
        <f t="shared" ca="1" si="9"/>
        <v>82</v>
      </c>
      <c r="E174" s="5">
        <f t="shared" ca="1" si="10"/>
        <v>0.47674418604651164</v>
      </c>
      <c r="F174" s="2">
        <v>2</v>
      </c>
      <c r="G174" s="3">
        <f t="shared" si="11"/>
        <v>22</v>
      </c>
      <c r="H174" s="2" t="s">
        <v>12</v>
      </c>
      <c r="I174" s="3"/>
    </row>
    <row r="175" spans="1:9" x14ac:dyDescent="0.25">
      <c r="A175" s="2">
        <v>173</v>
      </c>
      <c r="B175" s="2">
        <v>172</v>
      </c>
      <c r="C175" s="3">
        <f t="shared" ca="1" si="8"/>
        <v>2</v>
      </c>
      <c r="D175" s="4">
        <f t="shared" ca="1" si="9"/>
        <v>-1</v>
      </c>
      <c r="E175" s="5">
        <f t="shared" ca="1" si="10"/>
        <v>-5.7803468208092483E-3</v>
      </c>
      <c r="F175" s="2">
        <v>1</v>
      </c>
      <c r="G175" s="3">
        <f t="shared" si="11"/>
        <v>23</v>
      </c>
      <c r="H175" s="2" t="s">
        <v>11</v>
      </c>
      <c r="I175" s="3">
        <v>-1</v>
      </c>
    </row>
    <row r="176" spans="1:9" x14ac:dyDescent="0.25">
      <c r="A176" s="2">
        <v>174</v>
      </c>
      <c r="B176" s="2">
        <v>56</v>
      </c>
      <c r="C176" s="3">
        <f t="shared" ca="1" si="8"/>
        <v>8</v>
      </c>
      <c r="D176" s="4">
        <f t="shared" ca="1" si="9"/>
        <v>110</v>
      </c>
      <c r="E176" s="5">
        <f t="shared" ca="1" si="10"/>
        <v>0.63218390804597702</v>
      </c>
      <c r="F176" s="2">
        <v>3</v>
      </c>
      <c r="G176" s="3">
        <f t="shared" si="11"/>
        <v>24</v>
      </c>
      <c r="H176" s="2" t="s">
        <v>12</v>
      </c>
      <c r="I176" s="3"/>
    </row>
    <row r="177" spans="1:9" x14ac:dyDescent="0.25">
      <c r="A177" s="2">
        <v>175</v>
      </c>
      <c r="B177" s="2">
        <v>120</v>
      </c>
      <c r="C177" s="3">
        <f t="shared" ca="1" si="8"/>
        <v>6</v>
      </c>
      <c r="D177" s="4">
        <f t="shared" ca="1" si="9"/>
        <v>49</v>
      </c>
      <c r="E177" s="5">
        <f t="shared" ca="1" si="10"/>
        <v>0.28000000000000003</v>
      </c>
      <c r="F177" s="2">
        <v>2</v>
      </c>
      <c r="G177" s="3">
        <f t="shared" si="11"/>
        <v>25</v>
      </c>
      <c r="H177" s="2" t="s">
        <v>12</v>
      </c>
      <c r="I177" s="3"/>
    </row>
    <row r="178" spans="1:9" x14ac:dyDescent="0.25">
      <c r="A178" s="2">
        <v>176</v>
      </c>
      <c r="B178" s="2">
        <v>80</v>
      </c>
      <c r="C178" s="3">
        <f t="shared" ca="1" si="8"/>
        <v>10</v>
      </c>
      <c r="D178" s="4">
        <f t="shared" ca="1" si="9"/>
        <v>86</v>
      </c>
      <c r="E178" s="5">
        <f t="shared" ca="1" si="10"/>
        <v>0.48863636363636365</v>
      </c>
      <c r="F178" s="2">
        <v>2</v>
      </c>
      <c r="G178" s="3">
        <f t="shared" si="11"/>
        <v>26</v>
      </c>
      <c r="H178" s="2" t="s">
        <v>12</v>
      </c>
      <c r="I178" s="3"/>
    </row>
    <row r="179" spans="1:9" x14ac:dyDescent="0.25">
      <c r="A179" s="2">
        <v>177</v>
      </c>
      <c r="B179" s="2">
        <v>116</v>
      </c>
      <c r="C179" s="3">
        <f t="shared" ca="1" si="8"/>
        <v>4</v>
      </c>
      <c r="D179" s="4">
        <f t="shared" ca="1" si="9"/>
        <v>57</v>
      </c>
      <c r="E179" s="5">
        <f t="shared" ca="1" si="10"/>
        <v>0.32203389830508472</v>
      </c>
      <c r="F179" s="2">
        <v>2</v>
      </c>
      <c r="G179" s="3">
        <f t="shared" si="11"/>
        <v>27</v>
      </c>
      <c r="H179" s="2" t="s">
        <v>12</v>
      </c>
      <c r="I179" s="3"/>
    </row>
    <row r="180" spans="1:9" x14ac:dyDescent="0.25">
      <c r="A180" s="2">
        <v>178</v>
      </c>
      <c r="B180" s="2">
        <v>88</v>
      </c>
      <c r="C180" s="3">
        <f t="shared" ca="1" si="8"/>
        <v>4</v>
      </c>
      <c r="D180" s="4">
        <f t="shared" ca="1" si="9"/>
        <v>86</v>
      </c>
      <c r="E180" s="5">
        <f t="shared" ca="1" si="10"/>
        <v>0.48314606741573035</v>
      </c>
      <c r="F180" s="2">
        <v>2</v>
      </c>
      <c r="G180" s="3">
        <f t="shared" si="11"/>
        <v>28</v>
      </c>
      <c r="H180" s="2" t="s">
        <v>12</v>
      </c>
      <c r="I180" s="3"/>
    </row>
    <row r="181" spans="1:9" x14ac:dyDescent="0.25">
      <c r="A181" s="2">
        <v>179</v>
      </c>
      <c r="B181" s="2">
        <v>178</v>
      </c>
      <c r="C181" s="3">
        <f t="shared" ca="1" si="8"/>
        <v>2</v>
      </c>
      <c r="D181" s="4">
        <f t="shared" ca="1" si="9"/>
        <v>-1</v>
      </c>
      <c r="E181" s="5">
        <f t="shared" ca="1" si="10"/>
        <v>-5.5865921787709499E-3</v>
      </c>
      <c r="F181" s="2">
        <v>1</v>
      </c>
      <c r="G181" s="3">
        <f t="shared" si="11"/>
        <v>29</v>
      </c>
      <c r="H181" s="2" t="s">
        <v>11</v>
      </c>
      <c r="I181" s="3">
        <v>-1</v>
      </c>
    </row>
    <row r="182" spans="1:9" x14ac:dyDescent="0.25">
      <c r="A182" s="2">
        <v>180</v>
      </c>
      <c r="B182" s="2">
        <v>48</v>
      </c>
      <c r="C182" s="3">
        <f t="shared" ca="1" si="8"/>
        <v>18</v>
      </c>
      <c r="D182" s="4">
        <f t="shared" ca="1" si="9"/>
        <v>114</v>
      </c>
      <c r="E182" s="5">
        <f t="shared" ca="1" si="10"/>
        <v>0.6333333333333333</v>
      </c>
      <c r="F182" s="2">
        <v>3</v>
      </c>
      <c r="G182" s="3">
        <f t="shared" si="11"/>
        <v>0</v>
      </c>
      <c r="H182" s="2" t="s">
        <v>12</v>
      </c>
      <c r="I182" s="3"/>
    </row>
    <row r="183" spans="1:9" x14ac:dyDescent="0.25">
      <c r="A183" s="2">
        <v>181</v>
      </c>
      <c r="B183" s="2">
        <v>180</v>
      </c>
      <c r="C183" s="3">
        <f t="shared" ca="1" si="8"/>
        <v>2</v>
      </c>
      <c r="D183" s="4">
        <f t="shared" ca="1" si="9"/>
        <v>-1</v>
      </c>
      <c r="E183" s="5">
        <f t="shared" ca="1" si="10"/>
        <v>-5.5248618784530384E-3</v>
      </c>
      <c r="F183" s="2">
        <v>1</v>
      </c>
      <c r="G183" s="3">
        <f t="shared" si="11"/>
        <v>1</v>
      </c>
      <c r="H183" s="2" t="s">
        <v>11</v>
      </c>
      <c r="I183" s="3">
        <v>-1</v>
      </c>
    </row>
    <row r="184" spans="1:9" x14ac:dyDescent="0.25">
      <c r="A184" s="2">
        <v>182</v>
      </c>
      <c r="B184" s="2">
        <v>72</v>
      </c>
      <c r="C184" s="3">
        <f t="shared" ca="1" si="8"/>
        <v>8</v>
      </c>
      <c r="D184" s="4">
        <f t="shared" ca="1" si="9"/>
        <v>102</v>
      </c>
      <c r="E184" s="5">
        <f t="shared" ca="1" si="10"/>
        <v>0.56043956043956045</v>
      </c>
      <c r="F184" s="2">
        <v>3</v>
      </c>
      <c r="G184" s="3">
        <f t="shared" si="11"/>
        <v>2</v>
      </c>
      <c r="H184" s="2" t="s">
        <v>12</v>
      </c>
      <c r="I184" s="3"/>
    </row>
    <row r="185" spans="1:9" x14ac:dyDescent="0.25">
      <c r="A185" s="2">
        <v>183</v>
      </c>
      <c r="B185" s="2">
        <v>120</v>
      </c>
      <c r="C185" s="3">
        <f t="shared" ca="1" si="8"/>
        <v>4</v>
      </c>
      <c r="D185" s="4">
        <f t="shared" ca="1" si="9"/>
        <v>59</v>
      </c>
      <c r="E185" s="5">
        <f t="shared" ca="1" si="10"/>
        <v>0.32240437158469948</v>
      </c>
      <c r="F185" s="2">
        <v>2</v>
      </c>
      <c r="G185" s="3">
        <f t="shared" si="11"/>
        <v>3</v>
      </c>
      <c r="H185" s="2" t="s">
        <v>12</v>
      </c>
      <c r="I185" s="3"/>
    </row>
    <row r="186" spans="1:9" x14ac:dyDescent="0.25">
      <c r="A186" s="2">
        <v>184</v>
      </c>
      <c r="B186" s="2">
        <v>88</v>
      </c>
      <c r="C186" s="3">
        <f t="shared" ca="1" si="8"/>
        <v>8</v>
      </c>
      <c r="D186" s="4">
        <f t="shared" ca="1" si="9"/>
        <v>88</v>
      </c>
      <c r="E186" s="5">
        <f t="shared" ca="1" si="10"/>
        <v>0.47826086956521741</v>
      </c>
      <c r="F186" s="2">
        <v>2</v>
      </c>
      <c r="G186" s="3">
        <f t="shared" si="11"/>
        <v>4</v>
      </c>
      <c r="H186" s="2" t="s">
        <v>12</v>
      </c>
      <c r="I186" s="3"/>
    </row>
    <row r="187" spans="1:9" x14ac:dyDescent="0.25">
      <c r="A187" s="2">
        <v>185</v>
      </c>
      <c r="B187" s="2">
        <v>144</v>
      </c>
      <c r="C187" s="3">
        <f t="shared" ca="1" si="8"/>
        <v>4</v>
      </c>
      <c r="D187" s="4">
        <f t="shared" ca="1" si="9"/>
        <v>37</v>
      </c>
      <c r="E187" s="5">
        <f t="shared" ca="1" si="10"/>
        <v>0.2</v>
      </c>
      <c r="F187" s="2">
        <v>2</v>
      </c>
      <c r="G187" s="3">
        <f t="shared" si="11"/>
        <v>5</v>
      </c>
      <c r="H187" s="2" t="s">
        <v>12</v>
      </c>
      <c r="I187" s="3"/>
    </row>
    <row r="188" spans="1:9" x14ac:dyDescent="0.25">
      <c r="A188" s="2">
        <v>186</v>
      </c>
      <c r="B188" s="2">
        <v>60</v>
      </c>
      <c r="C188" s="3">
        <f t="shared" ca="1" si="8"/>
        <v>8</v>
      </c>
      <c r="D188" s="4">
        <f t="shared" ca="1" si="9"/>
        <v>118</v>
      </c>
      <c r="E188" s="5">
        <f t="shared" ca="1" si="10"/>
        <v>0.63440860215053763</v>
      </c>
      <c r="F188" s="2">
        <v>3</v>
      </c>
      <c r="G188" s="3">
        <f t="shared" si="11"/>
        <v>6</v>
      </c>
      <c r="H188" s="2" t="s">
        <v>12</v>
      </c>
      <c r="I188" s="3"/>
    </row>
    <row r="189" spans="1:9" x14ac:dyDescent="0.25">
      <c r="A189" s="2">
        <v>187</v>
      </c>
      <c r="B189" s="2">
        <v>160</v>
      </c>
      <c r="C189" s="3">
        <f t="shared" ca="1" si="8"/>
        <v>4</v>
      </c>
      <c r="D189" s="4">
        <f t="shared" ca="1" si="9"/>
        <v>23</v>
      </c>
      <c r="E189" s="5">
        <f t="shared" ca="1" si="10"/>
        <v>0.12299465240641712</v>
      </c>
      <c r="F189" s="2">
        <v>2</v>
      </c>
      <c r="G189" s="3">
        <f t="shared" si="11"/>
        <v>7</v>
      </c>
      <c r="H189" s="2" t="s">
        <v>12</v>
      </c>
      <c r="I189" s="3"/>
    </row>
    <row r="190" spans="1:9" x14ac:dyDescent="0.25">
      <c r="A190" s="2">
        <v>188</v>
      </c>
      <c r="B190" s="2">
        <v>92</v>
      </c>
      <c r="C190" s="3">
        <f t="shared" ca="1" si="8"/>
        <v>6</v>
      </c>
      <c r="D190" s="4">
        <f t="shared" ca="1" si="9"/>
        <v>90</v>
      </c>
      <c r="E190" s="5">
        <f t="shared" ca="1" si="10"/>
        <v>0.47872340425531917</v>
      </c>
      <c r="F190" s="2">
        <v>2</v>
      </c>
      <c r="G190" s="3">
        <f t="shared" si="11"/>
        <v>8</v>
      </c>
      <c r="H190" s="2" t="s">
        <v>12</v>
      </c>
      <c r="I190" s="3"/>
    </row>
    <row r="191" spans="1:9" x14ac:dyDescent="0.25">
      <c r="A191" s="2">
        <v>189</v>
      </c>
      <c r="B191" s="2">
        <v>108</v>
      </c>
      <c r="C191" s="3">
        <f t="shared" ca="1" si="8"/>
        <v>8</v>
      </c>
      <c r="D191" s="4">
        <f t="shared" ca="1" si="9"/>
        <v>73</v>
      </c>
      <c r="E191" s="5">
        <f t="shared" ca="1" si="10"/>
        <v>0.38624338624338622</v>
      </c>
      <c r="F191" s="2">
        <v>2</v>
      </c>
      <c r="G191" s="3">
        <f t="shared" si="11"/>
        <v>9</v>
      </c>
      <c r="H191" s="2" t="s">
        <v>12</v>
      </c>
      <c r="I191" s="3"/>
    </row>
    <row r="192" spans="1:9" x14ac:dyDescent="0.25">
      <c r="A192" s="2">
        <v>190</v>
      </c>
      <c r="B192" s="2">
        <v>72</v>
      </c>
      <c r="C192" s="3">
        <f t="shared" ca="1" si="8"/>
        <v>8</v>
      </c>
      <c r="D192" s="4">
        <f t="shared" ca="1" si="9"/>
        <v>110</v>
      </c>
      <c r="E192" s="5">
        <f t="shared" ca="1" si="10"/>
        <v>0.57894736842105265</v>
      </c>
      <c r="F192" s="2">
        <v>3</v>
      </c>
      <c r="G192" s="3">
        <f t="shared" si="11"/>
        <v>10</v>
      </c>
      <c r="H192" s="2" t="s">
        <v>12</v>
      </c>
      <c r="I192" s="3"/>
    </row>
    <row r="193" spans="1:9" x14ac:dyDescent="0.25">
      <c r="A193" s="2">
        <v>191</v>
      </c>
      <c r="B193" s="2">
        <v>190</v>
      </c>
      <c r="C193" s="3">
        <f t="shared" ca="1" si="8"/>
        <v>2</v>
      </c>
      <c r="D193" s="4">
        <f t="shared" ca="1" si="9"/>
        <v>-1</v>
      </c>
      <c r="E193" s="5">
        <f t="shared" ca="1" si="10"/>
        <v>-5.235602094240838E-3</v>
      </c>
      <c r="F193" s="2">
        <v>1</v>
      </c>
      <c r="G193" s="3">
        <f t="shared" si="11"/>
        <v>11</v>
      </c>
      <c r="H193" s="2" t="s">
        <v>11</v>
      </c>
      <c r="I193" s="3">
        <v>-1</v>
      </c>
    </row>
    <row r="194" spans="1:9" x14ac:dyDescent="0.25">
      <c r="A194" s="2">
        <v>192</v>
      </c>
      <c r="B194" s="2">
        <v>64</v>
      </c>
      <c r="C194" s="3">
        <f t="shared" ca="1" si="8"/>
        <v>14</v>
      </c>
      <c r="D194" s="4">
        <f t="shared" ca="1" si="9"/>
        <v>114</v>
      </c>
      <c r="E194" s="5">
        <f t="shared" ca="1" si="10"/>
        <v>0.59375</v>
      </c>
      <c r="F194" s="2">
        <v>2</v>
      </c>
      <c r="G194" s="3">
        <f t="shared" si="11"/>
        <v>12</v>
      </c>
      <c r="H194" s="2" t="s">
        <v>12</v>
      </c>
      <c r="I194" s="3"/>
    </row>
    <row r="195" spans="1:9" x14ac:dyDescent="0.25">
      <c r="A195" s="2">
        <v>193</v>
      </c>
      <c r="B195" s="2">
        <v>192</v>
      </c>
      <c r="C195" s="3">
        <f t="shared" ref="C195:C258" ca="1" si="12">SUMPRODUCT((MOD(A195,ROW(INDIRECT("1:"&amp;A195)))=0)*1)</f>
        <v>2</v>
      </c>
      <c r="D195" s="4">
        <f t="shared" ref="D195:D258" ca="1" si="13">A195-B195-C195</f>
        <v>-1</v>
      </c>
      <c r="E195" s="5">
        <f t="shared" ref="E195:E258" ca="1" si="14">D195/A195</f>
        <v>-5.1813471502590676E-3</v>
      </c>
      <c r="F195" s="2">
        <v>1</v>
      </c>
      <c r="G195" s="3">
        <f t="shared" ref="G195:G258" si="15">MOD(A195,30)</f>
        <v>13</v>
      </c>
      <c r="H195" s="2" t="s">
        <v>11</v>
      </c>
      <c r="I195" s="3">
        <v>-1</v>
      </c>
    </row>
    <row r="196" spans="1:9" x14ac:dyDescent="0.25">
      <c r="A196" s="2">
        <v>194</v>
      </c>
      <c r="B196" s="2">
        <v>96</v>
      </c>
      <c r="C196" s="3">
        <f t="shared" ca="1" si="12"/>
        <v>4</v>
      </c>
      <c r="D196" s="4">
        <f t="shared" ca="1" si="13"/>
        <v>94</v>
      </c>
      <c r="E196" s="5">
        <f t="shared" ca="1" si="14"/>
        <v>0.4845360824742268</v>
      </c>
      <c r="F196" s="2">
        <v>2</v>
      </c>
      <c r="G196" s="3">
        <f t="shared" si="15"/>
        <v>14</v>
      </c>
      <c r="H196" s="2" t="s">
        <v>12</v>
      </c>
      <c r="I196" s="3"/>
    </row>
    <row r="197" spans="1:9" x14ac:dyDescent="0.25">
      <c r="A197" s="2">
        <v>195</v>
      </c>
      <c r="B197" s="2">
        <v>96</v>
      </c>
      <c r="C197" s="3">
        <f t="shared" ca="1" si="12"/>
        <v>8</v>
      </c>
      <c r="D197" s="4">
        <f t="shared" ca="1" si="13"/>
        <v>91</v>
      </c>
      <c r="E197" s="5">
        <f t="shared" ca="1" si="14"/>
        <v>0.46666666666666667</v>
      </c>
      <c r="F197" s="2">
        <v>3</v>
      </c>
      <c r="G197" s="3">
        <f t="shared" si="15"/>
        <v>15</v>
      </c>
      <c r="H197" s="2" t="s">
        <v>12</v>
      </c>
      <c r="I197" s="3"/>
    </row>
    <row r="198" spans="1:9" x14ac:dyDescent="0.25">
      <c r="A198" s="2">
        <v>196</v>
      </c>
      <c r="B198" s="2">
        <v>84</v>
      </c>
      <c r="C198" s="3">
        <f t="shared" ca="1" si="12"/>
        <v>9</v>
      </c>
      <c r="D198" s="4">
        <f t="shared" ca="1" si="13"/>
        <v>103</v>
      </c>
      <c r="E198" s="5">
        <f t="shared" ca="1" si="14"/>
        <v>0.52551020408163263</v>
      </c>
      <c r="F198" s="2">
        <v>2</v>
      </c>
      <c r="G198" s="3">
        <f t="shared" si="15"/>
        <v>16</v>
      </c>
      <c r="H198" s="2" t="s">
        <v>12</v>
      </c>
      <c r="I198" s="3"/>
    </row>
    <row r="199" spans="1:9" x14ac:dyDescent="0.25">
      <c r="A199" s="2">
        <v>197</v>
      </c>
      <c r="B199" s="2">
        <v>196</v>
      </c>
      <c r="C199" s="3">
        <f t="shared" ca="1" si="12"/>
        <v>2</v>
      </c>
      <c r="D199" s="4">
        <f t="shared" ca="1" si="13"/>
        <v>-1</v>
      </c>
      <c r="E199" s="5">
        <f t="shared" ca="1" si="14"/>
        <v>-5.076142131979695E-3</v>
      </c>
      <c r="F199" s="2">
        <v>1</v>
      </c>
      <c r="G199" s="3">
        <f t="shared" si="15"/>
        <v>17</v>
      </c>
      <c r="H199" s="2" t="s">
        <v>11</v>
      </c>
      <c r="I199" s="3">
        <v>-1</v>
      </c>
    </row>
    <row r="200" spans="1:9" x14ac:dyDescent="0.25">
      <c r="A200" s="2">
        <v>198</v>
      </c>
      <c r="B200" s="2">
        <v>60</v>
      </c>
      <c r="C200" s="3">
        <f t="shared" ca="1" si="12"/>
        <v>12</v>
      </c>
      <c r="D200" s="4">
        <f t="shared" ca="1" si="13"/>
        <v>126</v>
      </c>
      <c r="E200" s="5">
        <f t="shared" ca="1" si="14"/>
        <v>0.63636363636363635</v>
      </c>
      <c r="F200" s="2">
        <v>3</v>
      </c>
      <c r="G200" s="3">
        <f t="shared" si="15"/>
        <v>18</v>
      </c>
      <c r="H200" s="2" t="s">
        <v>12</v>
      </c>
      <c r="I200" s="3"/>
    </row>
    <row r="201" spans="1:9" x14ac:dyDescent="0.25">
      <c r="A201" s="2">
        <v>199</v>
      </c>
      <c r="B201" s="2">
        <v>198</v>
      </c>
      <c r="C201" s="3">
        <f t="shared" ca="1" si="12"/>
        <v>2</v>
      </c>
      <c r="D201" s="4">
        <f t="shared" ca="1" si="13"/>
        <v>-1</v>
      </c>
      <c r="E201" s="5">
        <f t="shared" ca="1" si="14"/>
        <v>-5.0251256281407036E-3</v>
      </c>
      <c r="F201" s="2">
        <v>1</v>
      </c>
      <c r="G201" s="3">
        <f t="shared" si="15"/>
        <v>19</v>
      </c>
      <c r="H201" s="2" t="s">
        <v>11</v>
      </c>
      <c r="I201" s="3">
        <v>-1</v>
      </c>
    </row>
    <row r="202" spans="1:9" x14ac:dyDescent="0.25">
      <c r="A202" s="2">
        <v>200</v>
      </c>
      <c r="B202" s="2">
        <v>80</v>
      </c>
      <c r="C202" s="3">
        <f t="shared" ca="1" si="12"/>
        <v>12</v>
      </c>
      <c r="D202" s="4">
        <f t="shared" ca="1" si="13"/>
        <v>108</v>
      </c>
      <c r="E202" s="5">
        <f t="shared" ca="1" si="14"/>
        <v>0.54</v>
      </c>
      <c r="F202" s="2">
        <v>2</v>
      </c>
      <c r="G202" s="3">
        <f t="shared" si="15"/>
        <v>20</v>
      </c>
      <c r="H202" s="2" t="s">
        <v>12</v>
      </c>
      <c r="I202" s="3"/>
    </row>
    <row r="203" spans="1:9" x14ac:dyDescent="0.25">
      <c r="A203" s="2">
        <v>201</v>
      </c>
      <c r="B203" s="2">
        <v>132</v>
      </c>
      <c r="C203" s="3">
        <f t="shared" ca="1" si="12"/>
        <v>4</v>
      </c>
      <c r="D203" s="4">
        <f t="shared" ca="1" si="13"/>
        <v>65</v>
      </c>
      <c r="E203" s="5">
        <f t="shared" ca="1" si="14"/>
        <v>0.32338308457711445</v>
      </c>
      <c r="F203" s="2">
        <v>2</v>
      </c>
      <c r="G203" s="3">
        <f t="shared" si="15"/>
        <v>21</v>
      </c>
      <c r="H203" s="2" t="s">
        <v>12</v>
      </c>
      <c r="I203" s="3"/>
    </row>
    <row r="204" spans="1:9" x14ac:dyDescent="0.25">
      <c r="A204" s="2">
        <v>202</v>
      </c>
      <c r="B204" s="2">
        <v>100</v>
      </c>
      <c r="C204" s="3">
        <f t="shared" ca="1" si="12"/>
        <v>4</v>
      </c>
      <c r="D204" s="4">
        <f t="shared" ca="1" si="13"/>
        <v>98</v>
      </c>
      <c r="E204" s="5">
        <f t="shared" ca="1" si="14"/>
        <v>0.48514851485148514</v>
      </c>
      <c r="F204" s="2">
        <v>2</v>
      </c>
      <c r="G204" s="3">
        <f t="shared" si="15"/>
        <v>22</v>
      </c>
      <c r="H204" s="2" t="s">
        <v>12</v>
      </c>
      <c r="I204" s="3"/>
    </row>
    <row r="205" spans="1:9" x14ac:dyDescent="0.25">
      <c r="A205" s="2">
        <v>203</v>
      </c>
      <c r="B205" s="2">
        <v>168</v>
      </c>
      <c r="C205" s="3">
        <f t="shared" ca="1" si="12"/>
        <v>4</v>
      </c>
      <c r="D205" s="4">
        <f t="shared" ca="1" si="13"/>
        <v>31</v>
      </c>
      <c r="E205" s="5">
        <f t="shared" ca="1" si="14"/>
        <v>0.15270935960591134</v>
      </c>
      <c r="F205" s="2">
        <v>2</v>
      </c>
      <c r="G205" s="3">
        <f t="shared" si="15"/>
        <v>23</v>
      </c>
      <c r="H205" s="2" t="s">
        <v>12</v>
      </c>
      <c r="I205" s="3"/>
    </row>
    <row r="206" spans="1:9" x14ac:dyDescent="0.25">
      <c r="A206" s="2">
        <v>204</v>
      </c>
      <c r="B206" s="2">
        <v>64</v>
      </c>
      <c r="C206" s="3">
        <f t="shared" ca="1" si="12"/>
        <v>12</v>
      </c>
      <c r="D206" s="4">
        <f t="shared" ca="1" si="13"/>
        <v>128</v>
      </c>
      <c r="E206" s="5">
        <f t="shared" ca="1" si="14"/>
        <v>0.62745098039215685</v>
      </c>
      <c r="F206" s="2">
        <v>3</v>
      </c>
      <c r="G206" s="3">
        <f t="shared" si="15"/>
        <v>24</v>
      </c>
      <c r="H206" s="2" t="s">
        <v>12</v>
      </c>
      <c r="I206" s="3"/>
    </row>
    <row r="207" spans="1:9" x14ac:dyDescent="0.25">
      <c r="A207" s="2">
        <v>205</v>
      </c>
      <c r="B207" s="2">
        <v>160</v>
      </c>
      <c r="C207" s="3">
        <f t="shared" ca="1" si="12"/>
        <v>4</v>
      </c>
      <c r="D207" s="4">
        <f t="shared" ca="1" si="13"/>
        <v>41</v>
      </c>
      <c r="E207" s="5">
        <f t="shared" ca="1" si="14"/>
        <v>0.2</v>
      </c>
      <c r="F207" s="2">
        <v>2</v>
      </c>
      <c r="G207" s="3">
        <f t="shared" si="15"/>
        <v>25</v>
      </c>
      <c r="H207" s="2" t="s">
        <v>12</v>
      </c>
      <c r="I207" s="3"/>
    </row>
    <row r="208" spans="1:9" x14ac:dyDescent="0.25">
      <c r="A208" s="2">
        <v>206</v>
      </c>
      <c r="B208" s="2">
        <v>102</v>
      </c>
      <c r="C208" s="3">
        <f t="shared" ca="1" si="12"/>
        <v>4</v>
      </c>
      <c r="D208" s="4">
        <f t="shared" ca="1" si="13"/>
        <v>100</v>
      </c>
      <c r="E208" s="5">
        <f t="shared" ca="1" si="14"/>
        <v>0.4854368932038835</v>
      </c>
      <c r="F208" s="2">
        <v>2</v>
      </c>
      <c r="G208" s="3">
        <f t="shared" si="15"/>
        <v>26</v>
      </c>
      <c r="H208" s="2" t="s">
        <v>12</v>
      </c>
      <c r="I208" s="3"/>
    </row>
    <row r="209" spans="1:9" x14ac:dyDescent="0.25">
      <c r="A209" s="2">
        <v>207</v>
      </c>
      <c r="B209" s="2">
        <v>132</v>
      </c>
      <c r="C209" s="3">
        <f t="shared" ca="1" si="12"/>
        <v>6</v>
      </c>
      <c r="D209" s="4">
        <f t="shared" ca="1" si="13"/>
        <v>69</v>
      </c>
      <c r="E209" s="5">
        <f t="shared" ca="1" si="14"/>
        <v>0.33333333333333331</v>
      </c>
      <c r="F209" s="2">
        <v>2</v>
      </c>
      <c r="G209" s="3">
        <f t="shared" si="15"/>
        <v>27</v>
      </c>
      <c r="H209" s="2" t="s">
        <v>12</v>
      </c>
      <c r="I209" s="3"/>
    </row>
    <row r="210" spans="1:9" x14ac:dyDescent="0.25">
      <c r="A210" s="2">
        <v>208</v>
      </c>
      <c r="B210" s="2">
        <v>96</v>
      </c>
      <c r="C210" s="3">
        <f t="shared" ca="1" si="12"/>
        <v>10</v>
      </c>
      <c r="D210" s="4">
        <f t="shared" ca="1" si="13"/>
        <v>102</v>
      </c>
      <c r="E210" s="5">
        <f t="shared" ca="1" si="14"/>
        <v>0.49038461538461536</v>
      </c>
      <c r="F210" s="2">
        <v>2</v>
      </c>
      <c r="G210" s="3">
        <f t="shared" si="15"/>
        <v>28</v>
      </c>
      <c r="H210" s="2" t="s">
        <v>12</v>
      </c>
      <c r="I210" s="3"/>
    </row>
    <row r="211" spans="1:9" x14ac:dyDescent="0.25">
      <c r="A211" s="2">
        <v>209</v>
      </c>
      <c r="B211" s="2">
        <v>180</v>
      </c>
      <c r="C211" s="3">
        <f t="shared" ca="1" si="12"/>
        <v>4</v>
      </c>
      <c r="D211" s="4">
        <f t="shared" ca="1" si="13"/>
        <v>25</v>
      </c>
      <c r="E211" s="5">
        <f t="shared" ca="1" si="14"/>
        <v>0.11961722488038277</v>
      </c>
      <c r="F211" s="2">
        <v>2</v>
      </c>
      <c r="G211" s="3">
        <f t="shared" si="15"/>
        <v>29</v>
      </c>
      <c r="H211" s="2" t="s">
        <v>12</v>
      </c>
      <c r="I211" s="3"/>
    </row>
    <row r="212" spans="1:9" x14ac:dyDescent="0.25">
      <c r="A212" s="2">
        <v>210</v>
      </c>
      <c r="B212" s="2">
        <v>48</v>
      </c>
      <c r="C212" s="3">
        <f t="shared" ca="1" si="12"/>
        <v>16</v>
      </c>
      <c r="D212" s="4">
        <f t="shared" ca="1" si="13"/>
        <v>146</v>
      </c>
      <c r="E212" s="5">
        <f t="shared" ca="1" si="14"/>
        <v>0.69523809523809521</v>
      </c>
      <c r="F212" s="2">
        <v>4</v>
      </c>
      <c r="G212" s="3">
        <f t="shared" si="15"/>
        <v>0</v>
      </c>
      <c r="H212" s="2" t="s">
        <v>12</v>
      </c>
      <c r="I212" s="3"/>
    </row>
    <row r="213" spans="1:9" x14ac:dyDescent="0.25">
      <c r="A213" s="2">
        <v>211</v>
      </c>
      <c r="B213" s="2">
        <v>210</v>
      </c>
      <c r="C213" s="3">
        <f t="shared" ca="1" si="12"/>
        <v>2</v>
      </c>
      <c r="D213" s="4">
        <f t="shared" ca="1" si="13"/>
        <v>-1</v>
      </c>
      <c r="E213" s="5">
        <f t="shared" ca="1" si="14"/>
        <v>-4.7393364928909956E-3</v>
      </c>
      <c r="F213" s="2">
        <v>1</v>
      </c>
      <c r="G213" s="3">
        <f t="shared" si="15"/>
        <v>1</v>
      </c>
      <c r="H213" s="2" t="s">
        <v>11</v>
      </c>
      <c r="I213" s="3">
        <v>-1</v>
      </c>
    </row>
    <row r="214" spans="1:9" x14ac:dyDescent="0.25">
      <c r="A214" s="2">
        <v>212</v>
      </c>
      <c r="B214" s="2">
        <v>104</v>
      </c>
      <c r="C214" s="3">
        <f t="shared" ca="1" si="12"/>
        <v>6</v>
      </c>
      <c r="D214" s="4">
        <f t="shared" ca="1" si="13"/>
        <v>102</v>
      </c>
      <c r="E214" s="5">
        <f t="shared" ca="1" si="14"/>
        <v>0.48113207547169812</v>
      </c>
      <c r="F214" s="2">
        <v>2</v>
      </c>
      <c r="G214" s="3">
        <f t="shared" si="15"/>
        <v>2</v>
      </c>
      <c r="H214" s="2" t="s">
        <v>12</v>
      </c>
      <c r="I214" s="3"/>
    </row>
    <row r="215" spans="1:9" x14ac:dyDescent="0.25">
      <c r="A215" s="2">
        <v>213</v>
      </c>
      <c r="B215" s="2">
        <v>140</v>
      </c>
      <c r="C215" s="3">
        <f t="shared" ca="1" si="12"/>
        <v>4</v>
      </c>
      <c r="D215" s="4">
        <f t="shared" ca="1" si="13"/>
        <v>69</v>
      </c>
      <c r="E215" s="5">
        <f t="shared" ca="1" si="14"/>
        <v>0.323943661971831</v>
      </c>
      <c r="F215" s="2">
        <v>2</v>
      </c>
      <c r="G215" s="3">
        <f t="shared" si="15"/>
        <v>3</v>
      </c>
      <c r="H215" s="2" t="s">
        <v>12</v>
      </c>
      <c r="I215" s="3"/>
    </row>
    <row r="216" spans="1:9" x14ac:dyDescent="0.25">
      <c r="A216" s="2">
        <v>214</v>
      </c>
      <c r="B216" s="2">
        <v>106</v>
      </c>
      <c r="C216" s="3">
        <f t="shared" ca="1" si="12"/>
        <v>4</v>
      </c>
      <c r="D216" s="4">
        <f t="shared" ca="1" si="13"/>
        <v>104</v>
      </c>
      <c r="E216" s="5">
        <f t="shared" ca="1" si="14"/>
        <v>0.48598130841121495</v>
      </c>
      <c r="F216" s="2">
        <v>2</v>
      </c>
      <c r="G216" s="3">
        <f t="shared" si="15"/>
        <v>4</v>
      </c>
      <c r="H216" s="2" t="s">
        <v>12</v>
      </c>
      <c r="I216" s="3"/>
    </row>
    <row r="217" spans="1:9" x14ac:dyDescent="0.25">
      <c r="A217" s="2">
        <v>215</v>
      </c>
      <c r="B217" s="2">
        <v>168</v>
      </c>
      <c r="C217" s="3">
        <f t="shared" ca="1" si="12"/>
        <v>4</v>
      </c>
      <c r="D217" s="4">
        <f t="shared" ca="1" si="13"/>
        <v>43</v>
      </c>
      <c r="E217" s="5">
        <f t="shared" ca="1" si="14"/>
        <v>0.2</v>
      </c>
      <c r="F217" s="2">
        <v>2</v>
      </c>
      <c r="G217" s="3">
        <f t="shared" si="15"/>
        <v>5</v>
      </c>
      <c r="H217" s="2" t="s">
        <v>12</v>
      </c>
      <c r="I217" s="3"/>
    </row>
    <row r="218" spans="1:9" x14ac:dyDescent="0.25">
      <c r="A218" s="2">
        <v>216</v>
      </c>
      <c r="B218" s="2">
        <v>72</v>
      </c>
      <c r="C218" s="3">
        <f t="shared" ca="1" si="12"/>
        <v>16</v>
      </c>
      <c r="D218" s="4">
        <f t="shared" ca="1" si="13"/>
        <v>128</v>
      </c>
      <c r="E218" s="5">
        <f t="shared" ca="1" si="14"/>
        <v>0.59259259259259256</v>
      </c>
      <c r="F218" s="2">
        <v>2</v>
      </c>
      <c r="G218" s="3">
        <f t="shared" si="15"/>
        <v>6</v>
      </c>
      <c r="H218" s="2" t="s">
        <v>12</v>
      </c>
      <c r="I218" s="3"/>
    </row>
    <row r="219" spans="1:9" x14ac:dyDescent="0.25">
      <c r="A219" s="2">
        <v>217</v>
      </c>
      <c r="B219" s="2">
        <v>180</v>
      </c>
      <c r="C219" s="3">
        <f t="shared" ca="1" si="12"/>
        <v>4</v>
      </c>
      <c r="D219" s="4">
        <f t="shared" ca="1" si="13"/>
        <v>33</v>
      </c>
      <c r="E219" s="5">
        <f t="shared" ca="1" si="14"/>
        <v>0.15207373271889402</v>
      </c>
      <c r="F219" s="2">
        <v>2</v>
      </c>
      <c r="G219" s="3">
        <f t="shared" si="15"/>
        <v>7</v>
      </c>
      <c r="H219" s="2" t="s">
        <v>12</v>
      </c>
      <c r="I219" s="3"/>
    </row>
    <row r="220" spans="1:9" x14ac:dyDescent="0.25">
      <c r="A220" s="2">
        <v>218</v>
      </c>
      <c r="B220" s="2">
        <v>108</v>
      </c>
      <c r="C220" s="3">
        <f t="shared" ca="1" si="12"/>
        <v>4</v>
      </c>
      <c r="D220" s="4">
        <f t="shared" ca="1" si="13"/>
        <v>106</v>
      </c>
      <c r="E220" s="5">
        <f t="shared" ca="1" si="14"/>
        <v>0.48623853211009177</v>
      </c>
      <c r="F220" s="2">
        <v>2</v>
      </c>
      <c r="G220" s="3">
        <f t="shared" si="15"/>
        <v>8</v>
      </c>
      <c r="H220" s="2" t="s">
        <v>12</v>
      </c>
      <c r="I220" s="3"/>
    </row>
    <row r="221" spans="1:9" x14ac:dyDescent="0.25">
      <c r="A221" s="2">
        <v>219</v>
      </c>
      <c r="B221" s="2">
        <v>144</v>
      </c>
      <c r="C221" s="3">
        <f t="shared" ca="1" si="12"/>
        <v>4</v>
      </c>
      <c r="D221" s="4">
        <f t="shared" ca="1" si="13"/>
        <v>71</v>
      </c>
      <c r="E221" s="5">
        <f t="shared" ca="1" si="14"/>
        <v>0.32420091324200911</v>
      </c>
      <c r="F221" s="2">
        <v>2</v>
      </c>
      <c r="G221" s="3">
        <f t="shared" si="15"/>
        <v>9</v>
      </c>
      <c r="H221" s="2" t="s">
        <v>12</v>
      </c>
      <c r="I221" s="3"/>
    </row>
    <row r="222" spans="1:9" x14ac:dyDescent="0.25">
      <c r="A222" s="2">
        <v>220</v>
      </c>
      <c r="B222" s="2">
        <v>80</v>
      </c>
      <c r="C222" s="3">
        <f t="shared" ca="1" si="12"/>
        <v>12</v>
      </c>
      <c r="D222" s="4">
        <f t="shared" ca="1" si="13"/>
        <v>128</v>
      </c>
      <c r="E222" s="5">
        <f t="shared" ca="1" si="14"/>
        <v>0.58181818181818179</v>
      </c>
      <c r="F222" s="2">
        <v>3</v>
      </c>
      <c r="G222" s="3">
        <f t="shared" si="15"/>
        <v>10</v>
      </c>
      <c r="H222" s="2" t="s">
        <v>12</v>
      </c>
      <c r="I222" s="3"/>
    </row>
    <row r="223" spans="1:9" x14ac:dyDescent="0.25">
      <c r="A223" s="2">
        <v>221</v>
      </c>
      <c r="B223" s="2">
        <v>192</v>
      </c>
      <c r="C223" s="3">
        <f t="shared" ca="1" si="12"/>
        <v>4</v>
      </c>
      <c r="D223" s="4">
        <f t="shared" ca="1" si="13"/>
        <v>25</v>
      </c>
      <c r="E223" s="5">
        <f t="shared" ca="1" si="14"/>
        <v>0.11312217194570136</v>
      </c>
      <c r="F223" s="2">
        <v>2</v>
      </c>
      <c r="G223" s="3">
        <f t="shared" si="15"/>
        <v>11</v>
      </c>
      <c r="H223" s="2" t="s">
        <v>12</v>
      </c>
      <c r="I223" s="3"/>
    </row>
    <row r="224" spans="1:9" x14ac:dyDescent="0.25">
      <c r="A224" s="2">
        <v>222</v>
      </c>
      <c r="B224" s="2">
        <v>72</v>
      </c>
      <c r="C224" s="3">
        <f t="shared" ca="1" si="12"/>
        <v>8</v>
      </c>
      <c r="D224" s="4">
        <f t="shared" ca="1" si="13"/>
        <v>142</v>
      </c>
      <c r="E224" s="5">
        <f t="shared" ca="1" si="14"/>
        <v>0.63963963963963966</v>
      </c>
      <c r="F224" s="2">
        <v>3</v>
      </c>
      <c r="G224" s="3">
        <f t="shared" si="15"/>
        <v>12</v>
      </c>
      <c r="H224" s="2" t="s">
        <v>12</v>
      </c>
      <c r="I224" s="3"/>
    </row>
    <row r="225" spans="1:9" x14ac:dyDescent="0.25">
      <c r="A225" s="2">
        <v>223</v>
      </c>
      <c r="B225" s="2">
        <v>222</v>
      </c>
      <c r="C225" s="3">
        <f t="shared" ca="1" si="12"/>
        <v>2</v>
      </c>
      <c r="D225" s="4">
        <f t="shared" ca="1" si="13"/>
        <v>-1</v>
      </c>
      <c r="E225" s="5">
        <f t="shared" ca="1" si="14"/>
        <v>-4.4843049327354259E-3</v>
      </c>
      <c r="F225" s="2">
        <v>1</v>
      </c>
      <c r="G225" s="3">
        <f t="shared" si="15"/>
        <v>13</v>
      </c>
      <c r="H225" s="2" t="s">
        <v>11</v>
      </c>
      <c r="I225" s="3">
        <v>-1</v>
      </c>
    </row>
    <row r="226" spans="1:9" x14ac:dyDescent="0.25">
      <c r="A226" s="2">
        <v>224</v>
      </c>
      <c r="B226" s="2">
        <v>96</v>
      </c>
      <c r="C226" s="3">
        <f t="shared" ca="1" si="12"/>
        <v>12</v>
      </c>
      <c r="D226" s="4">
        <f t="shared" ca="1" si="13"/>
        <v>116</v>
      </c>
      <c r="E226" s="5">
        <f t="shared" ca="1" si="14"/>
        <v>0.5178571428571429</v>
      </c>
      <c r="F226" s="2">
        <v>2</v>
      </c>
      <c r="G226" s="3">
        <f t="shared" si="15"/>
        <v>14</v>
      </c>
      <c r="H226" s="2" t="s">
        <v>12</v>
      </c>
      <c r="I226" s="3"/>
    </row>
    <row r="227" spans="1:9" x14ac:dyDescent="0.25">
      <c r="A227" s="2">
        <v>225</v>
      </c>
      <c r="B227" s="2">
        <v>120</v>
      </c>
      <c r="C227" s="3">
        <f t="shared" ca="1" si="12"/>
        <v>9</v>
      </c>
      <c r="D227" s="4">
        <f t="shared" ca="1" si="13"/>
        <v>96</v>
      </c>
      <c r="E227" s="5">
        <f t="shared" ca="1" si="14"/>
        <v>0.42666666666666669</v>
      </c>
      <c r="F227" s="2">
        <v>2</v>
      </c>
      <c r="G227" s="3">
        <f t="shared" si="15"/>
        <v>15</v>
      </c>
      <c r="H227" s="2" t="s">
        <v>12</v>
      </c>
      <c r="I227" s="3"/>
    </row>
    <row r="228" spans="1:9" x14ac:dyDescent="0.25">
      <c r="A228" s="2">
        <v>226</v>
      </c>
      <c r="B228" s="2">
        <v>112</v>
      </c>
      <c r="C228" s="3">
        <f t="shared" ca="1" si="12"/>
        <v>4</v>
      </c>
      <c r="D228" s="4">
        <f t="shared" ca="1" si="13"/>
        <v>110</v>
      </c>
      <c r="E228" s="5">
        <f t="shared" ca="1" si="14"/>
        <v>0.48672566371681414</v>
      </c>
      <c r="F228" s="2">
        <v>2</v>
      </c>
      <c r="G228" s="3">
        <f t="shared" si="15"/>
        <v>16</v>
      </c>
      <c r="H228" s="2" t="s">
        <v>12</v>
      </c>
      <c r="I228" s="3"/>
    </row>
    <row r="229" spans="1:9" x14ac:dyDescent="0.25">
      <c r="A229" s="2">
        <v>227</v>
      </c>
      <c r="B229" s="2">
        <v>226</v>
      </c>
      <c r="C229" s="3">
        <f t="shared" ca="1" si="12"/>
        <v>2</v>
      </c>
      <c r="D229" s="4">
        <f t="shared" ca="1" si="13"/>
        <v>-1</v>
      </c>
      <c r="E229" s="5">
        <f t="shared" ca="1" si="14"/>
        <v>-4.4052863436123352E-3</v>
      </c>
      <c r="F229" s="2">
        <v>1</v>
      </c>
      <c r="G229" s="3">
        <f t="shared" si="15"/>
        <v>17</v>
      </c>
      <c r="H229" s="2" t="s">
        <v>11</v>
      </c>
      <c r="I229" s="3">
        <v>-1</v>
      </c>
    </row>
    <row r="230" spans="1:9" x14ac:dyDescent="0.25">
      <c r="A230" s="2">
        <v>228</v>
      </c>
      <c r="B230" s="2">
        <v>72</v>
      </c>
      <c r="C230" s="3">
        <f t="shared" ca="1" si="12"/>
        <v>12</v>
      </c>
      <c r="D230" s="4">
        <f t="shared" ca="1" si="13"/>
        <v>144</v>
      </c>
      <c r="E230" s="5">
        <f t="shared" ca="1" si="14"/>
        <v>0.63157894736842102</v>
      </c>
      <c r="F230" s="2">
        <v>3</v>
      </c>
      <c r="G230" s="3">
        <f t="shared" si="15"/>
        <v>18</v>
      </c>
      <c r="H230" s="2" t="s">
        <v>12</v>
      </c>
      <c r="I230" s="3"/>
    </row>
    <row r="231" spans="1:9" x14ac:dyDescent="0.25">
      <c r="A231" s="2">
        <v>229</v>
      </c>
      <c r="B231" s="2">
        <v>228</v>
      </c>
      <c r="C231" s="3">
        <f t="shared" ca="1" si="12"/>
        <v>2</v>
      </c>
      <c r="D231" s="4">
        <f t="shared" ca="1" si="13"/>
        <v>-1</v>
      </c>
      <c r="E231" s="5">
        <f t="shared" ca="1" si="14"/>
        <v>-4.3668122270742356E-3</v>
      </c>
      <c r="F231" s="2">
        <v>1</v>
      </c>
      <c r="G231" s="3">
        <f t="shared" si="15"/>
        <v>19</v>
      </c>
      <c r="H231" s="2" t="s">
        <v>11</v>
      </c>
      <c r="I231" s="3">
        <v>-1</v>
      </c>
    </row>
    <row r="232" spans="1:9" x14ac:dyDescent="0.25">
      <c r="A232" s="2">
        <v>230</v>
      </c>
      <c r="B232" s="2">
        <v>88</v>
      </c>
      <c r="C232" s="3">
        <f t="shared" ca="1" si="12"/>
        <v>8</v>
      </c>
      <c r="D232" s="4">
        <f t="shared" ca="1" si="13"/>
        <v>134</v>
      </c>
      <c r="E232" s="5">
        <f t="shared" ca="1" si="14"/>
        <v>0.58260869565217388</v>
      </c>
      <c r="F232" s="2">
        <v>3</v>
      </c>
      <c r="G232" s="3">
        <f t="shared" si="15"/>
        <v>20</v>
      </c>
      <c r="H232" s="2" t="s">
        <v>12</v>
      </c>
      <c r="I232" s="3"/>
    </row>
    <row r="233" spans="1:9" x14ac:dyDescent="0.25">
      <c r="A233" s="2">
        <v>231</v>
      </c>
      <c r="B233" s="2">
        <v>120</v>
      </c>
      <c r="C233" s="3">
        <f t="shared" ca="1" si="12"/>
        <v>8</v>
      </c>
      <c r="D233" s="4">
        <f t="shared" ca="1" si="13"/>
        <v>103</v>
      </c>
      <c r="E233" s="5">
        <f t="shared" ca="1" si="14"/>
        <v>0.44588744588744589</v>
      </c>
      <c r="F233" s="2">
        <v>3</v>
      </c>
      <c r="G233" s="3">
        <f t="shared" si="15"/>
        <v>21</v>
      </c>
      <c r="H233" s="2" t="s">
        <v>12</v>
      </c>
      <c r="I233" s="3"/>
    </row>
    <row r="234" spans="1:9" x14ac:dyDescent="0.25">
      <c r="A234" s="2">
        <v>232</v>
      </c>
      <c r="B234" s="2">
        <v>112</v>
      </c>
      <c r="C234" s="3">
        <f t="shared" ca="1" si="12"/>
        <v>8</v>
      </c>
      <c r="D234" s="4">
        <f t="shared" ca="1" si="13"/>
        <v>112</v>
      </c>
      <c r="E234" s="5">
        <f t="shared" ca="1" si="14"/>
        <v>0.48275862068965519</v>
      </c>
      <c r="F234" s="2">
        <v>2</v>
      </c>
      <c r="G234" s="3">
        <f t="shared" si="15"/>
        <v>22</v>
      </c>
      <c r="H234" s="2" t="s">
        <v>12</v>
      </c>
      <c r="I234" s="3"/>
    </row>
    <row r="235" spans="1:9" x14ac:dyDescent="0.25">
      <c r="A235" s="2">
        <v>233</v>
      </c>
      <c r="B235" s="2">
        <v>232</v>
      </c>
      <c r="C235" s="3">
        <f t="shared" ca="1" si="12"/>
        <v>2</v>
      </c>
      <c r="D235" s="4">
        <f t="shared" ca="1" si="13"/>
        <v>-1</v>
      </c>
      <c r="E235" s="5">
        <f t="shared" ca="1" si="14"/>
        <v>-4.2918454935622317E-3</v>
      </c>
      <c r="F235" s="2">
        <v>1</v>
      </c>
      <c r="G235" s="3">
        <f t="shared" si="15"/>
        <v>23</v>
      </c>
      <c r="H235" s="2" t="s">
        <v>11</v>
      </c>
      <c r="I235" s="3">
        <v>-1</v>
      </c>
    </row>
    <row r="236" spans="1:9" x14ac:dyDescent="0.25">
      <c r="A236" s="2">
        <v>234</v>
      </c>
      <c r="B236" s="2">
        <v>72</v>
      </c>
      <c r="C236" s="3">
        <f t="shared" ca="1" si="12"/>
        <v>12</v>
      </c>
      <c r="D236" s="4">
        <f t="shared" ca="1" si="13"/>
        <v>150</v>
      </c>
      <c r="E236" s="5">
        <f t="shared" ca="1" si="14"/>
        <v>0.64102564102564108</v>
      </c>
      <c r="F236" s="2">
        <v>3</v>
      </c>
      <c r="G236" s="3">
        <f t="shared" si="15"/>
        <v>24</v>
      </c>
      <c r="H236" s="2" t="s">
        <v>12</v>
      </c>
      <c r="I236" s="3"/>
    </row>
    <row r="237" spans="1:9" x14ac:dyDescent="0.25">
      <c r="A237" s="2">
        <v>235</v>
      </c>
      <c r="B237" s="2">
        <v>184</v>
      </c>
      <c r="C237" s="3">
        <f t="shared" ca="1" si="12"/>
        <v>4</v>
      </c>
      <c r="D237" s="4">
        <f t="shared" ca="1" si="13"/>
        <v>47</v>
      </c>
      <c r="E237" s="5">
        <f t="shared" ca="1" si="14"/>
        <v>0.2</v>
      </c>
      <c r="F237" s="2">
        <v>2</v>
      </c>
      <c r="G237" s="3">
        <f t="shared" si="15"/>
        <v>25</v>
      </c>
      <c r="H237" s="2" t="s">
        <v>12</v>
      </c>
      <c r="I237" s="3"/>
    </row>
    <row r="238" spans="1:9" x14ac:dyDescent="0.25">
      <c r="A238" s="2">
        <v>236</v>
      </c>
      <c r="B238" s="2">
        <v>116</v>
      </c>
      <c r="C238" s="3">
        <f t="shared" ca="1" si="12"/>
        <v>6</v>
      </c>
      <c r="D238" s="4">
        <f t="shared" ca="1" si="13"/>
        <v>114</v>
      </c>
      <c r="E238" s="5">
        <f t="shared" ca="1" si="14"/>
        <v>0.48305084745762711</v>
      </c>
      <c r="F238" s="2">
        <v>2</v>
      </c>
      <c r="G238" s="3">
        <f t="shared" si="15"/>
        <v>26</v>
      </c>
      <c r="H238" s="2" t="s">
        <v>12</v>
      </c>
      <c r="I238" s="3"/>
    </row>
    <row r="239" spans="1:9" x14ac:dyDescent="0.25">
      <c r="A239" s="2">
        <v>237</v>
      </c>
      <c r="B239" s="2">
        <v>156</v>
      </c>
      <c r="C239" s="3">
        <f t="shared" ca="1" si="12"/>
        <v>4</v>
      </c>
      <c r="D239" s="4">
        <f t="shared" ca="1" si="13"/>
        <v>77</v>
      </c>
      <c r="E239" s="5">
        <f t="shared" ca="1" si="14"/>
        <v>0.32489451476793246</v>
      </c>
      <c r="F239" s="2">
        <v>2</v>
      </c>
      <c r="G239" s="3">
        <f t="shared" si="15"/>
        <v>27</v>
      </c>
      <c r="H239" s="2" t="s">
        <v>12</v>
      </c>
      <c r="I239" s="3"/>
    </row>
    <row r="240" spans="1:9" x14ac:dyDescent="0.25">
      <c r="A240" s="2">
        <v>238</v>
      </c>
      <c r="B240" s="2">
        <v>96</v>
      </c>
      <c r="C240" s="3">
        <f t="shared" ca="1" si="12"/>
        <v>8</v>
      </c>
      <c r="D240" s="4">
        <f t="shared" ca="1" si="13"/>
        <v>134</v>
      </c>
      <c r="E240" s="5">
        <f t="shared" ca="1" si="14"/>
        <v>0.56302521008403361</v>
      </c>
      <c r="F240" s="2">
        <v>3</v>
      </c>
      <c r="G240" s="3">
        <f t="shared" si="15"/>
        <v>28</v>
      </c>
      <c r="H240" s="2" t="s">
        <v>12</v>
      </c>
      <c r="I240" s="3"/>
    </row>
    <row r="241" spans="1:9" x14ac:dyDescent="0.25">
      <c r="A241" s="2">
        <v>239</v>
      </c>
      <c r="B241" s="2">
        <v>238</v>
      </c>
      <c r="C241" s="3">
        <f t="shared" ca="1" si="12"/>
        <v>2</v>
      </c>
      <c r="D241" s="4">
        <f t="shared" ca="1" si="13"/>
        <v>-1</v>
      </c>
      <c r="E241" s="5">
        <f t="shared" ca="1" si="14"/>
        <v>-4.1841004184100415E-3</v>
      </c>
      <c r="F241" s="2">
        <v>1</v>
      </c>
      <c r="G241" s="3">
        <f t="shared" si="15"/>
        <v>29</v>
      </c>
      <c r="H241" s="2" t="s">
        <v>11</v>
      </c>
      <c r="I241" s="3">
        <v>-1</v>
      </c>
    </row>
    <row r="242" spans="1:9" x14ac:dyDescent="0.25">
      <c r="A242" s="2">
        <v>240</v>
      </c>
      <c r="B242" s="2">
        <v>64</v>
      </c>
      <c r="C242" s="3">
        <f t="shared" ca="1" si="12"/>
        <v>20</v>
      </c>
      <c r="D242" s="4">
        <f t="shared" ca="1" si="13"/>
        <v>156</v>
      </c>
      <c r="E242" s="5">
        <f t="shared" ca="1" si="14"/>
        <v>0.65</v>
      </c>
      <c r="F242" s="2">
        <v>3</v>
      </c>
      <c r="G242" s="3">
        <f t="shared" si="15"/>
        <v>0</v>
      </c>
      <c r="H242" s="2" t="s">
        <v>12</v>
      </c>
      <c r="I242" s="3"/>
    </row>
    <row r="243" spans="1:9" x14ac:dyDescent="0.25">
      <c r="A243" s="2">
        <v>241</v>
      </c>
      <c r="B243" s="2">
        <v>240</v>
      </c>
      <c r="C243" s="3">
        <f t="shared" ca="1" si="12"/>
        <v>2</v>
      </c>
      <c r="D243" s="4">
        <f t="shared" ca="1" si="13"/>
        <v>-1</v>
      </c>
      <c r="E243" s="5">
        <f t="shared" ca="1" si="14"/>
        <v>-4.1493775933609959E-3</v>
      </c>
      <c r="F243" s="2">
        <v>1</v>
      </c>
      <c r="G243" s="3">
        <f t="shared" si="15"/>
        <v>1</v>
      </c>
      <c r="H243" s="2" t="s">
        <v>11</v>
      </c>
      <c r="I243" s="3">
        <v>-1</v>
      </c>
    </row>
    <row r="244" spans="1:9" x14ac:dyDescent="0.25">
      <c r="A244" s="2">
        <v>242</v>
      </c>
      <c r="B244" s="2">
        <v>110</v>
      </c>
      <c r="C244" s="3">
        <f t="shared" ca="1" si="12"/>
        <v>6</v>
      </c>
      <c r="D244" s="4">
        <f t="shared" ca="1" si="13"/>
        <v>126</v>
      </c>
      <c r="E244" s="5">
        <f t="shared" ca="1" si="14"/>
        <v>0.52066115702479343</v>
      </c>
      <c r="F244" s="2">
        <v>2</v>
      </c>
      <c r="G244" s="3">
        <f t="shared" si="15"/>
        <v>2</v>
      </c>
      <c r="H244" s="2" t="s">
        <v>12</v>
      </c>
      <c r="I244" s="3"/>
    </row>
    <row r="245" spans="1:9" x14ac:dyDescent="0.25">
      <c r="A245" s="2">
        <v>243</v>
      </c>
      <c r="B245" s="2">
        <v>162</v>
      </c>
      <c r="C245" s="3">
        <f t="shared" ca="1" si="12"/>
        <v>6</v>
      </c>
      <c r="D245" s="4">
        <f t="shared" ca="1" si="13"/>
        <v>75</v>
      </c>
      <c r="E245" s="5">
        <f t="shared" ca="1" si="14"/>
        <v>0.30864197530864196</v>
      </c>
      <c r="F245" s="2">
        <v>1</v>
      </c>
      <c r="G245" s="3">
        <f t="shared" si="15"/>
        <v>3</v>
      </c>
      <c r="H245" s="2" t="s">
        <v>12</v>
      </c>
      <c r="I245" s="3"/>
    </row>
    <row r="246" spans="1:9" x14ac:dyDescent="0.25">
      <c r="A246" s="2">
        <v>244</v>
      </c>
      <c r="B246" s="2">
        <v>120</v>
      </c>
      <c r="C246" s="3">
        <f t="shared" ca="1" si="12"/>
        <v>6</v>
      </c>
      <c r="D246" s="4">
        <f t="shared" ca="1" si="13"/>
        <v>118</v>
      </c>
      <c r="E246" s="5">
        <f t="shared" ca="1" si="14"/>
        <v>0.48360655737704916</v>
      </c>
      <c r="F246" s="2">
        <v>2</v>
      </c>
      <c r="G246" s="3">
        <f t="shared" si="15"/>
        <v>4</v>
      </c>
      <c r="H246" s="2" t="s">
        <v>12</v>
      </c>
      <c r="I246" s="3"/>
    </row>
    <row r="247" spans="1:9" x14ac:dyDescent="0.25">
      <c r="A247" s="2">
        <v>245</v>
      </c>
      <c r="B247" s="2">
        <v>168</v>
      </c>
      <c r="C247" s="3">
        <f t="shared" ca="1" si="12"/>
        <v>6</v>
      </c>
      <c r="D247" s="4">
        <f t="shared" ca="1" si="13"/>
        <v>71</v>
      </c>
      <c r="E247" s="5">
        <f t="shared" ca="1" si="14"/>
        <v>0.28979591836734692</v>
      </c>
      <c r="F247" s="2">
        <v>2</v>
      </c>
      <c r="G247" s="3">
        <f t="shared" si="15"/>
        <v>5</v>
      </c>
      <c r="H247" s="2" t="s">
        <v>12</v>
      </c>
      <c r="I247" s="3"/>
    </row>
    <row r="248" spans="1:9" x14ac:dyDescent="0.25">
      <c r="A248" s="2">
        <v>246</v>
      </c>
      <c r="B248" s="2">
        <v>80</v>
      </c>
      <c r="C248" s="3">
        <f t="shared" ca="1" si="12"/>
        <v>8</v>
      </c>
      <c r="D248" s="4">
        <f t="shared" ca="1" si="13"/>
        <v>158</v>
      </c>
      <c r="E248" s="5">
        <f t="shared" ca="1" si="14"/>
        <v>0.64227642276422769</v>
      </c>
      <c r="F248" s="2">
        <v>3</v>
      </c>
      <c r="G248" s="3">
        <f t="shared" si="15"/>
        <v>6</v>
      </c>
      <c r="H248" s="2" t="s">
        <v>12</v>
      </c>
      <c r="I248" s="3"/>
    </row>
    <row r="249" spans="1:9" x14ac:dyDescent="0.25">
      <c r="A249" s="2">
        <v>247</v>
      </c>
      <c r="B249" s="2">
        <v>216</v>
      </c>
      <c r="C249" s="3">
        <f t="shared" ca="1" si="12"/>
        <v>4</v>
      </c>
      <c r="D249" s="4">
        <f t="shared" ca="1" si="13"/>
        <v>27</v>
      </c>
      <c r="E249" s="5">
        <f t="shared" ca="1" si="14"/>
        <v>0.10931174089068826</v>
      </c>
      <c r="F249" s="2">
        <v>2</v>
      </c>
      <c r="G249" s="3">
        <f t="shared" si="15"/>
        <v>7</v>
      </c>
      <c r="H249" s="2" t="s">
        <v>12</v>
      </c>
      <c r="I249" s="3"/>
    </row>
    <row r="250" spans="1:9" x14ac:dyDescent="0.25">
      <c r="A250" s="2">
        <v>248</v>
      </c>
      <c r="B250" s="2">
        <v>120</v>
      </c>
      <c r="C250" s="3">
        <f t="shared" ca="1" si="12"/>
        <v>8</v>
      </c>
      <c r="D250" s="4">
        <f t="shared" ca="1" si="13"/>
        <v>120</v>
      </c>
      <c r="E250" s="5">
        <f t="shared" ca="1" si="14"/>
        <v>0.4838709677419355</v>
      </c>
      <c r="F250" s="2">
        <v>2</v>
      </c>
      <c r="G250" s="3">
        <f t="shared" si="15"/>
        <v>8</v>
      </c>
      <c r="H250" s="2" t="s">
        <v>12</v>
      </c>
      <c r="I250" s="3"/>
    </row>
    <row r="251" spans="1:9" x14ac:dyDescent="0.25">
      <c r="A251" s="2">
        <v>249</v>
      </c>
      <c r="B251" s="2">
        <v>164</v>
      </c>
      <c r="C251" s="3">
        <f t="shared" ca="1" si="12"/>
        <v>4</v>
      </c>
      <c r="D251" s="4">
        <f t="shared" ca="1" si="13"/>
        <v>81</v>
      </c>
      <c r="E251" s="5">
        <f t="shared" ca="1" si="14"/>
        <v>0.3253012048192771</v>
      </c>
      <c r="F251" s="2">
        <v>2</v>
      </c>
      <c r="G251" s="3">
        <f t="shared" si="15"/>
        <v>9</v>
      </c>
      <c r="H251" s="2" t="s">
        <v>12</v>
      </c>
      <c r="I251" s="3"/>
    </row>
    <row r="252" spans="1:9" x14ac:dyDescent="0.25">
      <c r="A252" s="2">
        <v>250</v>
      </c>
      <c r="B252" s="2">
        <v>100</v>
      </c>
      <c r="C252" s="3">
        <f t="shared" ca="1" si="12"/>
        <v>8</v>
      </c>
      <c r="D252" s="4">
        <f t="shared" ca="1" si="13"/>
        <v>142</v>
      </c>
      <c r="E252" s="5">
        <f t="shared" ca="1" si="14"/>
        <v>0.56799999999999995</v>
      </c>
      <c r="F252" s="2">
        <v>2</v>
      </c>
      <c r="G252" s="3">
        <f t="shared" si="15"/>
        <v>10</v>
      </c>
      <c r="H252" s="2" t="s">
        <v>12</v>
      </c>
      <c r="I252" s="3"/>
    </row>
    <row r="253" spans="1:9" x14ac:dyDescent="0.25">
      <c r="A253" s="2">
        <v>251</v>
      </c>
      <c r="B253" s="2">
        <v>250</v>
      </c>
      <c r="C253" s="3">
        <f t="shared" ca="1" si="12"/>
        <v>2</v>
      </c>
      <c r="D253" s="4">
        <f t="shared" ca="1" si="13"/>
        <v>-1</v>
      </c>
      <c r="E253" s="5">
        <f t="shared" ca="1" si="14"/>
        <v>-3.9840637450199202E-3</v>
      </c>
      <c r="F253" s="2">
        <v>1</v>
      </c>
      <c r="G253" s="3">
        <f t="shared" si="15"/>
        <v>11</v>
      </c>
      <c r="H253" s="2" t="s">
        <v>11</v>
      </c>
      <c r="I253" s="3">
        <v>-1</v>
      </c>
    </row>
    <row r="254" spans="1:9" x14ac:dyDescent="0.25">
      <c r="A254" s="2">
        <v>252</v>
      </c>
      <c r="B254" s="2">
        <v>72</v>
      </c>
      <c r="C254" s="3">
        <f t="shared" ca="1" si="12"/>
        <v>18</v>
      </c>
      <c r="D254" s="4">
        <f t="shared" ca="1" si="13"/>
        <v>162</v>
      </c>
      <c r="E254" s="5">
        <f t="shared" ca="1" si="14"/>
        <v>0.6428571428571429</v>
      </c>
      <c r="F254" s="2">
        <v>3</v>
      </c>
      <c r="G254" s="3">
        <f t="shared" si="15"/>
        <v>12</v>
      </c>
      <c r="H254" s="2" t="s">
        <v>12</v>
      </c>
      <c r="I254" s="3"/>
    </row>
    <row r="255" spans="1:9" x14ac:dyDescent="0.25">
      <c r="A255" s="2">
        <v>253</v>
      </c>
      <c r="B255" s="2">
        <v>220</v>
      </c>
      <c r="C255" s="3">
        <f t="shared" ca="1" si="12"/>
        <v>4</v>
      </c>
      <c r="D255" s="4">
        <f t="shared" ca="1" si="13"/>
        <v>29</v>
      </c>
      <c r="E255" s="5">
        <f t="shared" ca="1" si="14"/>
        <v>0.11462450592885376</v>
      </c>
      <c r="F255" s="2">
        <v>2</v>
      </c>
      <c r="G255" s="3">
        <f t="shared" si="15"/>
        <v>13</v>
      </c>
      <c r="H255" s="2" t="s">
        <v>12</v>
      </c>
      <c r="I255" s="3"/>
    </row>
    <row r="256" spans="1:9" x14ac:dyDescent="0.25">
      <c r="A256" s="2">
        <v>254</v>
      </c>
      <c r="B256" s="2">
        <v>126</v>
      </c>
      <c r="C256" s="3">
        <f t="shared" ca="1" si="12"/>
        <v>4</v>
      </c>
      <c r="D256" s="4">
        <f t="shared" ca="1" si="13"/>
        <v>124</v>
      </c>
      <c r="E256" s="5">
        <f t="shared" ca="1" si="14"/>
        <v>0.48818897637795278</v>
      </c>
      <c r="F256" s="2">
        <v>2</v>
      </c>
      <c r="G256" s="3">
        <f t="shared" si="15"/>
        <v>14</v>
      </c>
      <c r="H256" s="2" t="s">
        <v>12</v>
      </c>
      <c r="I256" s="3"/>
    </row>
    <row r="257" spans="1:9" x14ac:dyDescent="0.25">
      <c r="A257" s="2">
        <v>255</v>
      </c>
      <c r="B257" s="2">
        <v>128</v>
      </c>
      <c r="C257" s="3">
        <f t="shared" ca="1" si="12"/>
        <v>8</v>
      </c>
      <c r="D257" s="4">
        <f t="shared" ca="1" si="13"/>
        <v>119</v>
      </c>
      <c r="E257" s="5">
        <f t="shared" ca="1" si="14"/>
        <v>0.46666666666666667</v>
      </c>
      <c r="F257" s="2">
        <v>3</v>
      </c>
      <c r="G257" s="3">
        <f t="shared" si="15"/>
        <v>15</v>
      </c>
      <c r="H257" s="2" t="s">
        <v>12</v>
      </c>
      <c r="I257" s="3"/>
    </row>
    <row r="258" spans="1:9" x14ac:dyDescent="0.25">
      <c r="A258" s="2">
        <v>256</v>
      </c>
      <c r="B258" s="2">
        <v>128</v>
      </c>
      <c r="C258" s="3">
        <f t="shared" ca="1" si="12"/>
        <v>9</v>
      </c>
      <c r="D258" s="4">
        <f t="shared" ca="1" si="13"/>
        <v>119</v>
      </c>
      <c r="E258" s="5">
        <f t="shared" ca="1" si="14"/>
        <v>0.46484375</v>
      </c>
      <c r="F258" s="2">
        <v>1</v>
      </c>
      <c r="G258" s="3">
        <f t="shared" si="15"/>
        <v>16</v>
      </c>
      <c r="H258" s="2" t="s">
        <v>12</v>
      </c>
      <c r="I258" s="3"/>
    </row>
    <row r="259" spans="1:9" x14ac:dyDescent="0.25">
      <c r="A259" s="2">
        <v>257</v>
      </c>
      <c r="B259" s="2">
        <v>256</v>
      </c>
      <c r="C259" s="3">
        <f t="shared" ref="C259:C302" ca="1" si="16">SUMPRODUCT((MOD(A259,ROW(INDIRECT("1:"&amp;A259)))=0)*1)</f>
        <v>2</v>
      </c>
      <c r="D259" s="4">
        <f t="shared" ref="D259:D322" ca="1" si="17">A259-B259-C259</f>
        <v>-1</v>
      </c>
      <c r="E259" s="5">
        <f t="shared" ref="E259:E322" ca="1" si="18">D259/A259</f>
        <v>-3.8910505836575876E-3</v>
      </c>
      <c r="F259" s="2">
        <v>1</v>
      </c>
      <c r="G259" s="3">
        <f t="shared" ref="G259:G322" si="19">MOD(A259,30)</f>
        <v>17</v>
      </c>
      <c r="H259" s="2" t="s">
        <v>11</v>
      </c>
      <c r="I259" s="3">
        <v>-1</v>
      </c>
    </row>
    <row r="260" spans="1:9" x14ac:dyDescent="0.25">
      <c r="A260" s="2">
        <v>258</v>
      </c>
      <c r="B260" s="2">
        <v>84</v>
      </c>
      <c r="C260" s="3">
        <f t="shared" ca="1" si="16"/>
        <v>8</v>
      </c>
      <c r="D260" s="4">
        <f t="shared" ca="1" si="17"/>
        <v>166</v>
      </c>
      <c r="E260" s="5">
        <f t="shared" ca="1" si="18"/>
        <v>0.64341085271317833</v>
      </c>
      <c r="F260" s="2">
        <v>3</v>
      </c>
      <c r="G260" s="3">
        <f t="shared" si="19"/>
        <v>18</v>
      </c>
      <c r="H260" s="2" t="s">
        <v>12</v>
      </c>
      <c r="I260" s="3"/>
    </row>
    <row r="261" spans="1:9" x14ac:dyDescent="0.25">
      <c r="A261" s="2">
        <v>259</v>
      </c>
      <c r="B261" s="2">
        <v>216</v>
      </c>
      <c r="C261" s="3">
        <f t="shared" ca="1" si="16"/>
        <v>4</v>
      </c>
      <c r="D261" s="4">
        <f t="shared" ca="1" si="17"/>
        <v>39</v>
      </c>
      <c r="E261" s="5">
        <f t="shared" ca="1" si="18"/>
        <v>0.15057915057915058</v>
      </c>
      <c r="F261" s="2">
        <v>2</v>
      </c>
      <c r="G261" s="3">
        <f t="shared" si="19"/>
        <v>19</v>
      </c>
      <c r="H261" s="2" t="s">
        <v>12</v>
      </c>
      <c r="I261" s="3"/>
    </row>
    <row r="262" spans="1:9" x14ac:dyDescent="0.25">
      <c r="A262" s="2">
        <v>260</v>
      </c>
      <c r="B262" s="2">
        <v>96</v>
      </c>
      <c r="C262" s="3">
        <f t="shared" ca="1" si="16"/>
        <v>12</v>
      </c>
      <c r="D262" s="4">
        <f t="shared" ca="1" si="17"/>
        <v>152</v>
      </c>
      <c r="E262" s="5">
        <f t="shared" ca="1" si="18"/>
        <v>0.58461538461538465</v>
      </c>
      <c r="F262" s="2">
        <v>3</v>
      </c>
      <c r="G262" s="3">
        <f t="shared" si="19"/>
        <v>20</v>
      </c>
      <c r="H262" s="2" t="s">
        <v>12</v>
      </c>
      <c r="I262" s="3"/>
    </row>
    <row r="263" spans="1:9" x14ac:dyDescent="0.25">
      <c r="A263" s="2">
        <v>261</v>
      </c>
      <c r="B263" s="2">
        <v>168</v>
      </c>
      <c r="C263" s="3">
        <f t="shared" ca="1" si="16"/>
        <v>6</v>
      </c>
      <c r="D263" s="4">
        <f t="shared" ca="1" si="17"/>
        <v>87</v>
      </c>
      <c r="E263" s="5">
        <f t="shared" ca="1" si="18"/>
        <v>0.33333333333333331</v>
      </c>
      <c r="F263" s="2">
        <v>2</v>
      </c>
      <c r="G263" s="3">
        <f t="shared" si="19"/>
        <v>21</v>
      </c>
      <c r="H263" s="2" t="s">
        <v>12</v>
      </c>
      <c r="I263" s="3"/>
    </row>
    <row r="264" spans="1:9" x14ac:dyDescent="0.25">
      <c r="A264" s="2">
        <v>262</v>
      </c>
      <c r="B264" s="2">
        <v>130</v>
      </c>
      <c r="C264" s="3">
        <f t="shared" ca="1" si="16"/>
        <v>4</v>
      </c>
      <c r="D264" s="4">
        <f t="shared" ca="1" si="17"/>
        <v>128</v>
      </c>
      <c r="E264" s="5">
        <f t="shared" ca="1" si="18"/>
        <v>0.48854961832061067</v>
      </c>
      <c r="F264" s="2">
        <v>2</v>
      </c>
      <c r="G264" s="3">
        <f t="shared" si="19"/>
        <v>22</v>
      </c>
      <c r="H264" s="2" t="s">
        <v>12</v>
      </c>
      <c r="I264" s="3"/>
    </row>
    <row r="265" spans="1:9" x14ac:dyDescent="0.25">
      <c r="A265" s="2">
        <v>263</v>
      </c>
      <c r="B265" s="2">
        <v>262</v>
      </c>
      <c r="C265" s="3">
        <f t="shared" ca="1" si="16"/>
        <v>2</v>
      </c>
      <c r="D265" s="4">
        <f t="shared" ca="1" si="17"/>
        <v>-1</v>
      </c>
      <c r="E265" s="5">
        <f t="shared" ca="1" si="18"/>
        <v>-3.8022813688212928E-3</v>
      </c>
      <c r="F265" s="2">
        <v>1</v>
      </c>
      <c r="G265" s="3">
        <f t="shared" si="19"/>
        <v>23</v>
      </c>
      <c r="H265" s="2" t="s">
        <v>11</v>
      </c>
      <c r="I265" s="3">
        <v>-1</v>
      </c>
    </row>
    <row r="266" spans="1:9" x14ac:dyDescent="0.25">
      <c r="A266" s="2">
        <v>264</v>
      </c>
      <c r="B266" s="2">
        <v>80</v>
      </c>
      <c r="C266" s="3">
        <f t="shared" ca="1" si="16"/>
        <v>16</v>
      </c>
      <c r="D266" s="4">
        <f t="shared" ca="1" si="17"/>
        <v>168</v>
      </c>
      <c r="E266" s="5">
        <f t="shared" ca="1" si="18"/>
        <v>0.63636363636363635</v>
      </c>
      <c r="F266" s="2">
        <v>3</v>
      </c>
      <c r="G266" s="3">
        <f t="shared" si="19"/>
        <v>24</v>
      </c>
      <c r="H266" s="2" t="s">
        <v>12</v>
      </c>
      <c r="I266" s="3"/>
    </row>
    <row r="267" spans="1:9" x14ac:dyDescent="0.25">
      <c r="A267" s="2">
        <v>265</v>
      </c>
      <c r="B267" s="2">
        <v>208</v>
      </c>
      <c r="C267" s="3">
        <f t="shared" ca="1" si="16"/>
        <v>4</v>
      </c>
      <c r="D267" s="4">
        <f t="shared" ca="1" si="17"/>
        <v>53</v>
      </c>
      <c r="E267" s="5">
        <f t="shared" ca="1" si="18"/>
        <v>0.2</v>
      </c>
      <c r="F267" s="2">
        <v>2</v>
      </c>
      <c r="G267" s="3">
        <f t="shared" si="19"/>
        <v>25</v>
      </c>
      <c r="H267" s="2" t="s">
        <v>12</v>
      </c>
      <c r="I267" s="3"/>
    </row>
    <row r="268" spans="1:9" x14ac:dyDescent="0.25">
      <c r="A268" s="2">
        <v>266</v>
      </c>
      <c r="B268" s="2">
        <v>108</v>
      </c>
      <c r="C268" s="3">
        <f t="shared" ca="1" si="16"/>
        <v>8</v>
      </c>
      <c r="D268" s="4">
        <f t="shared" ca="1" si="17"/>
        <v>150</v>
      </c>
      <c r="E268" s="5">
        <f t="shared" ca="1" si="18"/>
        <v>0.56390977443609025</v>
      </c>
      <c r="F268" s="2">
        <v>3</v>
      </c>
      <c r="G268" s="3">
        <f t="shared" si="19"/>
        <v>26</v>
      </c>
      <c r="H268" s="2" t="s">
        <v>12</v>
      </c>
      <c r="I268" s="3"/>
    </row>
    <row r="269" spans="1:9" x14ac:dyDescent="0.25">
      <c r="A269" s="2">
        <v>267</v>
      </c>
      <c r="B269" s="2">
        <v>176</v>
      </c>
      <c r="C269" s="3">
        <f t="shared" ca="1" si="16"/>
        <v>4</v>
      </c>
      <c r="D269" s="4">
        <f t="shared" ca="1" si="17"/>
        <v>87</v>
      </c>
      <c r="E269" s="5">
        <f t="shared" ca="1" si="18"/>
        <v>0.3258426966292135</v>
      </c>
      <c r="F269" s="2">
        <v>2</v>
      </c>
      <c r="G269" s="3">
        <f t="shared" si="19"/>
        <v>27</v>
      </c>
      <c r="H269" s="2" t="s">
        <v>12</v>
      </c>
      <c r="I269" s="3"/>
    </row>
    <row r="270" spans="1:9" x14ac:dyDescent="0.25">
      <c r="A270" s="2">
        <v>268</v>
      </c>
      <c r="B270" s="2">
        <v>132</v>
      </c>
      <c r="C270" s="3">
        <f t="shared" ca="1" si="16"/>
        <v>6</v>
      </c>
      <c r="D270" s="4">
        <f t="shared" ca="1" si="17"/>
        <v>130</v>
      </c>
      <c r="E270" s="5">
        <f t="shared" ca="1" si="18"/>
        <v>0.48507462686567165</v>
      </c>
      <c r="F270" s="2">
        <v>2</v>
      </c>
      <c r="G270" s="3">
        <f t="shared" si="19"/>
        <v>28</v>
      </c>
      <c r="H270" s="2" t="s">
        <v>12</v>
      </c>
      <c r="I270" s="3"/>
    </row>
    <row r="271" spans="1:9" x14ac:dyDescent="0.25">
      <c r="A271" s="2">
        <v>269</v>
      </c>
      <c r="B271" s="2">
        <v>268</v>
      </c>
      <c r="C271" s="3">
        <f t="shared" ca="1" si="16"/>
        <v>2</v>
      </c>
      <c r="D271" s="4">
        <f t="shared" ca="1" si="17"/>
        <v>-1</v>
      </c>
      <c r="E271" s="5">
        <f t="shared" ca="1" si="18"/>
        <v>-3.7174721189591076E-3</v>
      </c>
      <c r="F271" s="2">
        <v>1</v>
      </c>
      <c r="G271" s="3">
        <f t="shared" si="19"/>
        <v>29</v>
      </c>
      <c r="H271" s="2" t="s">
        <v>11</v>
      </c>
      <c r="I271" s="3">
        <v>-1</v>
      </c>
    </row>
    <row r="272" spans="1:9" x14ac:dyDescent="0.25">
      <c r="A272" s="2">
        <v>270</v>
      </c>
      <c r="B272" s="2">
        <v>72</v>
      </c>
      <c r="C272" s="3">
        <f t="shared" ca="1" si="16"/>
        <v>16</v>
      </c>
      <c r="D272" s="4">
        <f t="shared" ca="1" si="17"/>
        <v>182</v>
      </c>
      <c r="E272" s="5">
        <f t="shared" ca="1" si="18"/>
        <v>0.67407407407407405</v>
      </c>
      <c r="F272" s="2">
        <v>3</v>
      </c>
      <c r="G272" s="3">
        <f t="shared" si="19"/>
        <v>0</v>
      </c>
      <c r="H272" s="2" t="s">
        <v>12</v>
      </c>
      <c r="I272" s="3"/>
    </row>
    <row r="273" spans="1:9" x14ac:dyDescent="0.25">
      <c r="A273" s="2">
        <v>271</v>
      </c>
      <c r="B273" s="2">
        <v>270</v>
      </c>
      <c r="C273" s="3">
        <f t="shared" ca="1" si="16"/>
        <v>2</v>
      </c>
      <c r="D273" s="4">
        <f t="shared" ca="1" si="17"/>
        <v>-1</v>
      </c>
      <c r="E273" s="5">
        <f t="shared" ca="1" si="18"/>
        <v>-3.6900369003690036E-3</v>
      </c>
      <c r="F273" s="2">
        <v>1</v>
      </c>
      <c r="G273" s="3">
        <f t="shared" si="19"/>
        <v>1</v>
      </c>
      <c r="H273" s="2" t="s">
        <v>11</v>
      </c>
      <c r="I273" s="3">
        <v>-1</v>
      </c>
    </row>
    <row r="274" spans="1:9" x14ac:dyDescent="0.25">
      <c r="A274" s="2">
        <v>272</v>
      </c>
      <c r="B274" s="2">
        <v>128</v>
      </c>
      <c r="C274" s="3">
        <f t="shared" ca="1" si="16"/>
        <v>10</v>
      </c>
      <c r="D274" s="4">
        <f t="shared" ca="1" si="17"/>
        <v>134</v>
      </c>
      <c r="E274" s="5">
        <f t="shared" ca="1" si="18"/>
        <v>0.49264705882352944</v>
      </c>
      <c r="F274" s="2">
        <v>2</v>
      </c>
      <c r="G274" s="3">
        <f t="shared" si="19"/>
        <v>2</v>
      </c>
      <c r="H274" s="2" t="s">
        <v>12</v>
      </c>
      <c r="I274" s="3"/>
    </row>
    <row r="275" spans="1:9" x14ac:dyDescent="0.25">
      <c r="A275" s="2">
        <v>273</v>
      </c>
      <c r="B275" s="2">
        <v>144</v>
      </c>
      <c r="C275" s="3">
        <f t="shared" ca="1" si="16"/>
        <v>8</v>
      </c>
      <c r="D275" s="4">
        <f t="shared" ca="1" si="17"/>
        <v>121</v>
      </c>
      <c r="E275" s="5">
        <f t="shared" ca="1" si="18"/>
        <v>0.4432234432234432</v>
      </c>
      <c r="F275" s="2">
        <v>3</v>
      </c>
      <c r="G275" s="3">
        <f t="shared" si="19"/>
        <v>3</v>
      </c>
      <c r="H275" s="2" t="s">
        <v>12</v>
      </c>
      <c r="I275" s="3"/>
    </row>
    <row r="276" spans="1:9" x14ac:dyDescent="0.25">
      <c r="A276" s="2">
        <v>274</v>
      </c>
      <c r="B276" s="2">
        <v>136</v>
      </c>
      <c r="C276" s="3">
        <f t="shared" ca="1" si="16"/>
        <v>4</v>
      </c>
      <c r="D276" s="4">
        <f t="shared" ca="1" si="17"/>
        <v>134</v>
      </c>
      <c r="E276" s="5">
        <f t="shared" ca="1" si="18"/>
        <v>0.48905109489051096</v>
      </c>
      <c r="F276" s="2">
        <v>2</v>
      </c>
      <c r="G276" s="3">
        <f t="shared" si="19"/>
        <v>4</v>
      </c>
      <c r="H276" s="2" t="s">
        <v>12</v>
      </c>
      <c r="I276" s="3"/>
    </row>
    <row r="277" spans="1:9" x14ac:dyDescent="0.25">
      <c r="A277" s="2">
        <v>275</v>
      </c>
      <c r="B277" s="2">
        <v>200</v>
      </c>
      <c r="C277" s="3">
        <f t="shared" ca="1" si="16"/>
        <v>6</v>
      </c>
      <c r="D277" s="4">
        <f t="shared" ca="1" si="17"/>
        <v>69</v>
      </c>
      <c r="E277" s="5">
        <f t="shared" ca="1" si="18"/>
        <v>0.25090909090909091</v>
      </c>
      <c r="F277" s="2">
        <v>2</v>
      </c>
      <c r="G277" s="3">
        <f t="shared" si="19"/>
        <v>5</v>
      </c>
      <c r="H277" s="2" t="s">
        <v>12</v>
      </c>
      <c r="I277" s="3"/>
    </row>
    <row r="278" spans="1:9" x14ac:dyDescent="0.25">
      <c r="A278" s="2">
        <v>276</v>
      </c>
      <c r="B278" s="2">
        <v>88</v>
      </c>
      <c r="C278" s="3">
        <f t="shared" ca="1" si="16"/>
        <v>12</v>
      </c>
      <c r="D278" s="4">
        <f t="shared" ca="1" si="17"/>
        <v>176</v>
      </c>
      <c r="E278" s="5">
        <f t="shared" ca="1" si="18"/>
        <v>0.6376811594202898</v>
      </c>
      <c r="F278" s="2">
        <v>3</v>
      </c>
      <c r="G278" s="3">
        <f t="shared" si="19"/>
        <v>6</v>
      </c>
      <c r="H278" s="2" t="s">
        <v>12</v>
      </c>
      <c r="I278" s="3"/>
    </row>
    <row r="279" spans="1:9" x14ac:dyDescent="0.25">
      <c r="A279" s="2">
        <v>277</v>
      </c>
      <c r="B279" s="2">
        <v>276</v>
      </c>
      <c r="C279" s="3">
        <f t="shared" ca="1" si="16"/>
        <v>2</v>
      </c>
      <c r="D279" s="4">
        <f t="shared" ca="1" si="17"/>
        <v>-1</v>
      </c>
      <c r="E279" s="5">
        <f t="shared" ca="1" si="18"/>
        <v>-3.6101083032490976E-3</v>
      </c>
      <c r="F279" s="2">
        <v>1</v>
      </c>
      <c r="G279" s="3">
        <f t="shared" si="19"/>
        <v>7</v>
      </c>
      <c r="H279" s="2" t="s">
        <v>11</v>
      </c>
      <c r="I279" s="3">
        <v>-1</v>
      </c>
    </row>
    <row r="280" spans="1:9" x14ac:dyDescent="0.25">
      <c r="A280" s="2">
        <v>278</v>
      </c>
      <c r="B280" s="2">
        <v>138</v>
      </c>
      <c r="C280" s="3">
        <f t="shared" ca="1" si="16"/>
        <v>4</v>
      </c>
      <c r="D280" s="4">
        <f t="shared" ca="1" si="17"/>
        <v>136</v>
      </c>
      <c r="E280" s="5">
        <f t="shared" ca="1" si="18"/>
        <v>0.48920863309352519</v>
      </c>
      <c r="F280" s="2">
        <v>2</v>
      </c>
      <c r="G280" s="3">
        <f t="shared" si="19"/>
        <v>8</v>
      </c>
      <c r="H280" s="2" t="s">
        <v>12</v>
      </c>
      <c r="I280" s="3"/>
    </row>
    <row r="281" spans="1:9" x14ac:dyDescent="0.25">
      <c r="A281" s="2">
        <v>279</v>
      </c>
      <c r="B281" s="2">
        <v>180</v>
      </c>
      <c r="C281" s="3">
        <f t="shared" ca="1" si="16"/>
        <v>6</v>
      </c>
      <c r="D281" s="4">
        <f t="shared" ca="1" si="17"/>
        <v>93</v>
      </c>
      <c r="E281" s="5">
        <f t="shared" ca="1" si="18"/>
        <v>0.33333333333333331</v>
      </c>
      <c r="F281" s="2">
        <v>2</v>
      </c>
      <c r="G281" s="3">
        <f t="shared" si="19"/>
        <v>9</v>
      </c>
      <c r="H281" s="2" t="s">
        <v>12</v>
      </c>
      <c r="I281" s="3"/>
    </row>
    <row r="282" spans="1:9" x14ac:dyDescent="0.25">
      <c r="A282" s="2">
        <v>280</v>
      </c>
      <c r="B282" s="2">
        <v>96</v>
      </c>
      <c r="C282" s="3">
        <f t="shared" ca="1" si="16"/>
        <v>16</v>
      </c>
      <c r="D282" s="4">
        <f t="shared" ca="1" si="17"/>
        <v>168</v>
      </c>
      <c r="E282" s="5">
        <f t="shared" ca="1" si="18"/>
        <v>0.6</v>
      </c>
      <c r="F282" s="2">
        <v>3</v>
      </c>
      <c r="G282" s="3">
        <f t="shared" si="19"/>
        <v>10</v>
      </c>
      <c r="H282" s="2" t="s">
        <v>12</v>
      </c>
      <c r="I282" s="3"/>
    </row>
    <row r="283" spans="1:9" x14ac:dyDescent="0.25">
      <c r="A283" s="2">
        <v>281</v>
      </c>
      <c r="B283" s="2">
        <v>280</v>
      </c>
      <c r="C283" s="3">
        <f t="shared" ca="1" si="16"/>
        <v>2</v>
      </c>
      <c r="D283" s="4">
        <f t="shared" ca="1" si="17"/>
        <v>-1</v>
      </c>
      <c r="E283" s="5">
        <f t="shared" ca="1" si="18"/>
        <v>-3.5587188612099642E-3</v>
      </c>
      <c r="F283" s="2">
        <v>1</v>
      </c>
      <c r="G283" s="3">
        <f t="shared" si="19"/>
        <v>11</v>
      </c>
      <c r="H283" s="2" t="s">
        <v>11</v>
      </c>
      <c r="I283" s="3">
        <v>-1</v>
      </c>
    </row>
    <row r="284" spans="1:9" x14ac:dyDescent="0.25">
      <c r="A284" s="2">
        <v>282</v>
      </c>
      <c r="B284" s="2">
        <v>92</v>
      </c>
      <c r="C284" s="3">
        <f t="shared" ca="1" si="16"/>
        <v>8</v>
      </c>
      <c r="D284" s="4">
        <f t="shared" ca="1" si="17"/>
        <v>182</v>
      </c>
      <c r="E284" s="5">
        <f t="shared" ca="1" si="18"/>
        <v>0.64539007092198586</v>
      </c>
      <c r="F284" s="2">
        <v>3</v>
      </c>
      <c r="G284" s="3">
        <f t="shared" si="19"/>
        <v>12</v>
      </c>
      <c r="H284" s="2" t="s">
        <v>12</v>
      </c>
      <c r="I284" s="3"/>
    </row>
    <row r="285" spans="1:9" x14ac:dyDescent="0.25">
      <c r="A285" s="2">
        <v>283</v>
      </c>
      <c r="B285" s="2">
        <v>282</v>
      </c>
      <c r="C285" s="3">
        <f t="shared" ca="1" si="16"/>
        <v>2</v>
      </c>
      <c r="D285" s="4">
        <f t="shared" ca="1" si="17"/>
        <v>-1</v>
      </c>
      <c r="E285" s="5">
        <f t="shared" ca="1" si="18"/>
        <v>-3.5335689045936395E-3</v>
      </c>
      <c r="F285" s="2">
        <v>1</v>
      </c>
      <c r="G285" s="3">
        <f t="shared" si="19"/>
        <v>13</v>
      </c>
      <c r="H285" s="2" t="s">
        <v>11</v>
      </c>
      <c r="I285" s="3">
        <v>-1</v>
      </c>
    </row>
    <row r="286" spans="1:9" x14ac:dyDescent="0.25">
      <c r="A286" s="2">
        <v>284</v>
      </c>
      <c r="B286" s="2">
        <v>140</v>
      </c>
      <c r="C286" s="3">
        <f t="shared" ca="1" si="16"/>
        <v>6</v>
      </c>
      <c r="D286" s="4">
        <f t="shared" ca="1" si="17"/>
        <v>138</v>
      </c>
      <c r="E286" s="5">
        <f t="shared" ca="1" si="18"/>
        <v>0.4859154929577465</v>
      </c>
      <c r="F286" s="2">
        <v>2</v>
      </c>
      <c r="G286" s="3">
        <f t="shared" si="19"/>
        <v>14</v>
      </c>
      <c r="H286" s="2" t="s">
        <v>12</v>
      </c>
      <c r="I286" s="3"/>
    </row>
    <row r="287" spans="1:9" x14ac:dyDescent="0.25">
      <c r="A287" s="2">
        <v>285</v>
      </c>
      <c r="B287" s="2">
        <v>144</v>
      </c>
      <c r="C287" s="3">
        <f t="shared" ca="1" si="16"/>
        <v>8</v>
      </c>
      <c r="D287" s="4">
        <f t="shared" ca="1" si="17"/>
        <v>133</v>
      </c>
      <c r="E287" s="5">
        <f t="shared" ca="1" si="18"/>
        <v>0.46666666666666667</v>
      </c>
      <c r="F287" s="2">
        <v>3</v>
      </c>
      <c r="G287" s="3">
        <f t="shared" si="19"/>
        <v>15</v>
      </c>
      <c r="H287" s="2" t="s">
        <v>12</v>
      </c>
      <c r="I287" s="3"/>
    </row>
    <row r="288" spans="1:9" x14ac:dyDescent="0.25">
      <c r="A288" s="2">
        <v>286</v>
      </c>
      <c r="B288" s="2">
        <v>120</v>
      </c>
      <c r="C288" s="3">
        <f t="shared" ca="1" si="16"/>
        <v>8</v>
      </c>
      <c r="D288" s="4">
        <f t="shared" ca="1" si="17"/>
        <v>158</v>
      </c>
      <c r="E288" s="5">
        <f t="shared" ca="1" si="18"/>
        <v>0.55244755244755239</v>
      </c>
      <c r="F288" s="2">
        <v>3</v>
      </c>
      <c r="G288" s="3">
        <f t="shared" si="19"/>
        <v>16</v>
      </c>
      <c r="H288" s="2" t="s">
        <v>12</v>
      </c>
      <c r="I288" s="3"/>
    </row>
    <row r="289" spans="1:9" x14ac:dyDescent="0.25">
      <c r="A289" s="2">
        <v>287</v>
      </c>
      <c r="B289" s="2">
        <v>240</v>
      </c>
      <c r="C289" s="3">
        <f t="shared" ca="1" si="16"/>
        <v>4</v>
      </c>
      <c r="D289" s="4">
        <f t="shared" ca="1" si="17"/>
        <v>43</v>
      </c>
      <c r="E289" s="5">
        <f t="shared" ca="1" si="18"/>
        <v>0.14982578397212543</v>
      </c>
      <c r="F289" s="2">
        <v>2</v>
      </c>
      <c r="G289" s="3">
        <f t="shared" si="19"/>
        <v>17</v>
      </c>
      <c r="H289" s="2" t="s">
        <v>12</v>
      </c>
      <c r="I289" s="3"/>
    </row>
    <row r="290" spans="1:9" x14ac:dyDescent="0.25">
      <c r="A290" s="2">
        <v>288</v>
      </c>
      <c r="B290" s="2">
        <v>96</v>
      </c>
      <c r="C290" s="3">
        <f t="shared" ca="1" si="16"/>
        <v>18</v>
      </c>
      <c r="D290" s="4">
        <f t="shared" ca="1" si="17"/>
        <v>174</v>
      </c>
      <c r="E290" s="5">
        <f t="shared" ca="1" si="18"/>
        <v>0.60416666666666663</v>
      </c>
      <c r="F290" s="2">
        <v>2</v>
      </c>
      <c r="G290" s="3">
        <f t="shared" si="19"/>
        <v>18</v>
      </c>
      <c r="H290" s="2" t="s">
        <v>12</v>
      </c>
      <c r="I290" s="3"/>
    </row>
    <row r="291" spans="1:9" x14ac:dyDescent="0.25">
      <c r="A291" s="2">
        <v>289</v>
      </c>
      <c r="B291" s="2">
        <v>272</v>
      </c>
      <c r="C291" s="3">
        <f t="shared" ca="1" si="16"/>
        <v>3</v>
      </c>
      <c r="D291" s="4">
        <f t="shared" ca="1" si="17"/>
        <v>14</v>
      </c>
      <c r="E291" s="5">
        <f t="shared" ca="1" si="18"/>
        <v>4.8442906574394463E-2</v>
      </c>
      <c r="F291" s="2">
        <v>1</v>
      </c>
      <c r="G291" s="3">
        <f t="shared" si="19"/>
        <v>19</v>
      </c>
      <c r="H291" s="2" t="s">
        <v>12</v>
      </c>
      <c r="I291" s="3"/>
    </row>
    <row r="292" spans="1:9" x14ac:dyDescent="0.25">
      <c r="A292" s="2">
        <v>290</v>
      </c>
      <c r="B292" s="2">
        <v>112</v>
      </c>
      <c r="C292" s="3">
        <f t="shared" ca="1" si="16"/>
        <v>8</v>
      </c>
      <c r="D292" s="4">
        <f t="shared" ca="1" si="17"/>
        <v>170</v>
      </c>
      <c r="E292" s="5">
        <f t="shared" ca="1" si="18"/>
        <v>0.58620689655172409</v>
      </c>
      <c r="F292" s="2">
        <v>3</v>
      </c>
      <c r="G292" s="3">
        <f t="shared" si="19"/>
        <v>20</v>
      </c>
      <c r="H292" s="2" t="s">
        <v>12</v>
      </c>
      <c r="I292" s="3"/>
    </row>
    <row r="293" spans="1:9" x14ac:dyDescent="0.25">
      <c r="A293" s="2">
        <v>291</v>
      </c>
      <c r="B293" s="2">
        <v>192</v>
      </c>
      <c r="C293" s="3">
        <f t="shared" ca="1" si="16"/>
        <v>4</v>
      </c>
      <c r="D293" s="4">
        <f t="shared" ca="1" si="17"/>
        <v>95</v>
      </c>
      <c r="E293" s="5">
        <f t="shared" ca="1" si="18"/>
        <v>0.32646048109965636</v>
      </c>
      <c r="F293" s="2">
        <v>2</v>
      </c>
      <c r="G293" s="3">
        <f t="shared" si="19"/>
        <v>21</v>
      </c>
      <c r="H293" s="2" t="s">
        <v>12</v>
      </c>
      <c r="I293" s="3"/>
    </row>
    <row r="294" spans="1:9" x14ac:dyDescent="0.25">
      <c r="A294" s="2">
        <v>292</v>
      </c>
      <c r="B294" s="2">
        <v>144</v>
      </c>
      <c r="C294" s="3">
        <f t="shared" ca="1" si="16"/>
        <v>6</v>
      </c>
      <c r="D294" s="4">
        <f t="shared" ca="1" si="17"/>
        <v>142</v>
      </c>
      <c r="E294" s="5">
        <f t="shared" ca="1" si="18"/>
        <v>0.4863013698630137</v>
      </c>
      <c r="F294" s="2">
        <v>2</v>
      </c>
      <c r="G294" s="3">
        <f t="shared" si="19"/>
        <v>22</v>
      </c>
      <c r="H294" s="2" t="s">
        <v>12</v>
      </c>
      <c r="I294" s="3"/>
    </row>
    <row r="295" spans="1:9" x14ac:dyDescent="0.25">
      <c r="A295" s="2">
        <v>293</v>
      </c>
      <c r="B295" s="2">
        <v>292</v>
      </c>
      <c r="C295" s="3">
        <f t="shared" ca="1" si="16"/>
        <v>2</v>
      </c>
      <c r="D295" s="4">
        <f t="shared" ca="1" si="17"/>
        <v>-1</v>
      </c>
      <c r="E295" s="5">
        <f t="shared" ca="1" si="18"/>
        <v>-3.4129692832764505E-3</v>
      </c>
      <c r="F295" s="2">
        <v>1</v>
      </c>
      <c r="G295" s="3">
        <f t="shared" si="19"/>
        <v>23</v>
      </c>
      <c r="H295" s="2" t="s">
        <v>11</v>
      </c>
      <c r="I295" s="3">
        <v>-1</v>
      </c>
    </row>
    <row r="296" spans="1:9" x14ac:dyDescent="0.25">
      <c r="A296" s="2">
        <v>294</v>
      </c>
      <c r="B296" s="2">
        <v>84</v>
      </c>
      <c r="C296" s="3">
        <f t="shared" ca="1" si="16"/>
        <v>12</v>
      </c>
      <c r="D296" s="4">
        <f t="shared" ca="1" si="17"/>
        <v>198</v>
      </c>
      <c r="E296" s="5">
        <f t="shared" ca="1" si="18"/>
        <v>0.67346938775510201</v>
      </c>
      <c r="F296" s="2">
        <v>3</v>
      </c>
      <c r="G296" s="3">
        <f t="shared" si="19"/>
        <v>24</v>
      </c>
      <c r="H296" s="2" t="s">
        <v>12</v>
      </c>
      <c r="I296" s="3"/>
    </row>
    <row r="297" spans="1:9" x14ac:dyDescent="0.25">
      <c r="A297" s="2">
        <v>295</v>
      </c>
      <c r="B297" s="2">
        <v>232</v>
      </c>
      <c r="C297" s="3">
        <f t="shared" ca="1" si="16"/>
        <v>4</v>
      </c>
      <c r="D297" s="4">
        <f t="shared" ca="1" si="17"/>
        <v>59</v>
      </c>
      <c r="E297" s="5">
        <f t="shared" ca="1" si="18"/>
        <v>0.2</v>
      </c>
      <c r="F297" s="2">
        <v>2</v>
      </c>
      <c r="G297" s="3">
        <f t="shared" si="19"/>
        <v>25</v>
      </c>
      <c r="H297" s="2" t="s">
        <v>12</v>
      </c>
      <c r="I297" s="3"/>
    </row>
    <row r="298" spans="1:9" x14ac:dyDescent="0.25">
      <c r="A298" s="2">
        <v>296</v>
      </c>
      <c r="B298" s="2">
        <v>144</v>
      </c>
      <c r="C298" s="3">
        <f t="shared" ca="1" si="16"/>
        <v>8</v>
      </c>
      <c r="D298" s="4">
        <f t="shared" ca="1" si="17"/>
        <v>144</v>
      </c>
      <c r="E298" s="5">
        <f t="shared" ca="1" si="18"/>
        <v>0.48648648648648651</v>
      </c>
      <c r="F298" s="2">
        <v>2</v>
      </c>
      <c r="G298" s="3">
        <f t="shared" si="19"/>
        <v>26</v>
      </c>
      <c r="H298" s="2" t="s">
        <v>12</v>
      </c>
      <c r="I298" s="3"/>
    </row>
    <row r="299" spans="1:9" x14ac:dyDescent="0.25">
      <c r="A299" s="2">
        <v>297</v>
      </c>
      <c r="B299" s="2">
        <v>180</v>
      </c>
      <c r="C299" s="3">
        <f t="shared" ca="1" si="16"/>
        <v>8</v>
      </c>
      <c r="D299" s="4">
        <f t="shared" ca="1" si="17"/>
        <v>109</v>
      </c>
      <c r="E299" s="5">
        <f t="shared" ca="1" si="18"/>
        <v>0.367003367003367</v>
      </c>
      <c r="F299" s="2">
        <v>2</v>
      </c>
      <c r="G299" s="3">
        <f t="shared" si="19"/>
        <v>27</v>
      </c>
      <c r="H299" s="2" t="s">
        <v>12</v>
      </c>
      <c r="I299" s="3"/>
    </row>
    <row r="300" spans="1:9" x14ac:dyDescent="0.25">
      <c r="A300" s="2">
        <v>298</v>
      </c>
      <c r="B300" s="2">
        <v>148</v>
      </c>
      <c r="C300" s="3">
        <f t="shared" ca="1" si="16"/>
        <v>4</v>
      </c>
      <c r="D300" s="4">
        <f t="shared" ca="1" si="17"/>
        <v>146</v>
      </c>
      <c r="E300" s="5">
        <f t="shared" ca="1" si="18"/>
        <v>0.48993288590604028</v>
      </c>
      <c r="F300" s="2">
        <v>2</v>
      </c>
      <c r="G300" s="3">
        <f t="shared" si="19"/>
        <v>28</v>
      </c>
      <c r="H300" s="2" t="s">
        <v>12</v>
      </c>
      <c r="I300" s="3"/>
    </row>
    <row r="301" spans="1:9" x14ac:dyDescent="0.25">
      <c r="A301" s="2">
        <v>299</v>
      </c>
      <c r="B301" s="2">
        <v>264</v>
      </c>
      <c r="C301" s="3">
        <f t="shared" ca="1" si="16"/>
        <v>4</v>
      </c>
      <c r="D301" s="4">
        <f t="shared" ca="1" si="17"/>
        <v>31</v>
      </c>
      <c r="E301" s="5">
        <f t="shared" ca="1" si="18"/>
        <v>0.10367892976588629</v>
      </c>
      <c r="F301" s="2">
        <v>2</v>
      </c>
      <c r="G301" s="3">
        <f t="shared" si="19"/>
        <v>29</v>
      </c>
      <c r="H301" s="2" t="s">
        <v>12</v>
      </c>
      <c r="I301" s="3"/>
    </row>
    <row r="302" spans="1:9" x14ac:dyDescent="0.25">
      <c r="A302" s="2">
        <v>300</v>
      </c>
      <c r="B302" s="2">
        <v>80</v>
      </c>
      <c r="C302" s="3">
        <f t="shared" ca="1" si="16"/>
        <v>18</v>
      </c>
      <c r="D302" s="4">
        <f t="shared" ca="1" si="17"/>
        <v>202</v>
      </c>
      <c r="E302" s="5">
        <f t="shared" ca="1" si="18"/>
        <v>0.67333333333333334</v>
      </c>
      <c r="F302" s="2">
        <v>3</v>
      </c>
      <c r="G302" s="3">
        <f t="shared" si="19"/>
        <v>0</v>
      </c>
      <c r="H302" s="2" t="s">
        <v>12</v>
      </c>
      <c r="I302" s="3"/>
    </row>
    <row r="303" spans="1:9" x14ac:dyDescent="0.25">
      <c r="A303" s="2">
        <v>301</v>
      </c>
      <c r="B303" s="2">
        <v>252</v>
      </c>
      <c r="C303" s="2">
        <v>4</v>
      </c>
      <c r="D303" s="4">
        <f t="shared" si="17"/>
        <v>45</v>
      </c>
      <c r="E303" s="5">
        <f t="shared" si="18"/>
        <v>0.14950166112956811</v>
      </c>
      <c r="F303" s="2">
        <v>2</v>
      </c>
      <c r="G303" s="3">
        <f t="shared" si="19"/>
        <v>1</v>
      </c>
      <c r="H303" s="2" t="s">
        <v>12</v>
      </c>
      <c r="I303" s="3"/>
    </row>
    <row r="304" spans="1:9" x14ac:dyDescent="0.25">
      <c r="A304" s="2">
        <v>302</v>
      </c>
      <c r="B304" s="2">
        <v>150</v>
      </c>
      <c r="C304" s="2">
        <v>4</v>
      </c>
      <c r="D304" s="4">
        <f t="shared" si="17"/>
        <v>148</v>
      </c>
      <c r="E304" s="5">
        <f t="shared" si="18"/>
        <v>0.49006622516556292</v>
      </c>
      <c r="F304" s="2">
        <v>2</v>
      </c>
      <c r="G304" s="3">
        <f t="shared" si="19"/>
        <v>2</v>
      </c>
      <c r="H304" s="2" t="s">
        <v>12</v>
      </c>
      <c r="I304" s="3"/>
    </row>
    <row r="305" spans="1:9" x14ac:dyDescent="0.25">
      <c r="A305" s="2">
        <v>303</v>
      </c>
      <c r="B305" s="2">
        <v>200</v>
      </c>
      <c r="C305" s="2">
        <v>4</v>
      </c>
      <c r="D305" s="4">
        <f t="shared" si="17"/>
        <v>99</v>
      </c>
      <c r="E305" s="5">
        <f t="shared" si="18"/>
        <v>0.32673267326732675</v>
      </c>
      <c r="F305" s="2">
        <v>2</v>
      </c>
      <c r="G305" s="3">
        <f t="shared" si="19"/>
        <v>3</v>
      </c>
      <c r="H305" s="2" t="s">
        <v>12</v>
      </c>
      <c r="I305" s="3"/>
    </row>
    <row r="306" spans="1:9" x14ac:dyDescent="0.25">
      <c r="A306" s="2">
        <v>304</v>
      </c>
      <c r="B306" s="2">
        <v>144</v>
      </c>
      <c r="C306" s="2">
        <v>10</v>
      </c>
      <c r="D306" s="4">
        <f t="shared" si="17"/>
        <v>150</v>
      </c>
      <c r="E306" s="5">
        <f t="shared" si="18"/>
        <v>0.49342105263157893</v>
      </c>
      <c r="F306" s="2">
        <v>2</v>
      </c>
      <c r="G306" s="3">
        <f t="shared" si="19"/>
        <v>4</v>
      </c>
      <c r="H306" s="2" t="s">
        <v>12</v>
      </c>
      <c r="I306" s="3"/>
    </row>
    <row r="307" spans="1:9" x14ac:dyDescent="0.25">
      <c r="A307" s="2">
        <v>305</v>
      </c>
      <c r="B307" s="2">
        <v>240</v>
      </c>
      <c r="C307" s="2">
        <v>4</v>
      </c>
      <c r="D307" s="4">
        <f t="shared" si="17"/>
        <v>61</v>
      </c>
      <c r="E307" s="5">
        <f t="shared" si="18"/>
        <v>0.2</v>
      </c>
      <c r="F307" s="2">
        <v>2</v>
      </c>
      <c r="G307" s="3">
        <f t="shared" si="19"/>
        <v>5</v>
      </c>
      <c r="H307" s="2" t="s">
        <v>12</v>
      </c>
      <c r="I307" s="3"/>
    </row>
    <row r="308" spans="1:9" x14ac:dyDescent="0.25">
      <c r="A308" s="2">
        <v>306</v>
      </c>
      <c r="B308" s="2">
        <v>96</v>
      </c>
      <c r="C308" s="2">
        <v>12</v>
      </c>
      <c r="D308" s="4">
        <f t="shared" si="17"/>
        <v>198</v>
      </c>
      <c r="E308" s="5">
        <f t="shared" si="18"/>
        <v>0.6470588235294118</v>
      </c>
      <c r="F308" s="2">
        <v>3</v>
      </c>
      <c r="G308" s="3">
        <f t="shared" si="19"/>
        <v>6</v>
      </c>
      <c r="H308" s="2" t="s">
        <v>12</v>
      </c>
      <c r="I308" s="3"/>
    </row>
    <row r="309" spans="1:9" x14ac:dyDescent="0.25">
      <c r="A309" s="2">
        <v>307</v>
      </c>
      <c r="B309" s="2">
        <v>306</v>
      </c>
      <c r="C309" s="2">
        <v>2</v>
      </c>
      <c r="D309" s="4">
        <f t="shared" si="17"/>
        <v>-1</v>
      </c>
      <c r="E309" s="5">
        <f t="shared" si="18"/>
        <v>-3.2573289902280132E-3</v>
      </c>
      <c r="F309" s="2">
        <v>1</v>
      </c>
      <c r="G309" s="3">
        <f t="shared" si="19"/>
        <v>7</v>
      </c>
      <c r="H309" s="2" t="s">
        <v>11</v>
      </c>
      <c r="I309" s="3">
        <v>-1</v>
      </c>
    </row>
    <row r="310" spans="1:9" x14ac:dyDescent="0.25">
      <c r="A310" s="2">
        <v>308</v>
      </c>
      <c r="B310" s="2">
        <v>120</v>
      </c>
      <c r="C310" s="2">
        <v>12</v>
      </c>
      <c r="D310" s="4">
        <f t="shared" si="17"/>
        <v>176</v>
      </c>
      <c r="E310" s="5">
        <f t="shared" si="18"/>
        <v>0.5714285714285714</v>
      </c>
      <c r="F310" s="2">
        <v>3</v>
      </c>
      <c r="G310" s="3">
        <f t="shared" si="19"/>
        <v>8</v>
      </c>
      <c r="H310" s="2" t="s">
        <v>12</v>
      </c>
      <c r="I310" s="3"/>
    </row>
    <row r="311" spans="1:9" x14ac:dyDescent="0.25">
      <c r="A311" s="2">
        <v>309</v>
      </c>
      <c r="B311" s="2">
        <v>204</v>
      </c>
      <c r="C311" s="2">
        <v>4</v>
      </c>
      <c r="D311" s="4">
        <f t="shared" si="17"/>
        <v>101</v>
      </c>
      <c r="E311" s="5">
        <f t="shared" si="18"/>
        <v>0.32686084142394822</v>
      </c>
      <c r="F311" s="2">
        <v>2</v>
      </c>
      <c r="G311" s="3">
        <f t="shared" si="19"/>
        <v>9</v>
      </c>
      <c r="H311" s="2" t="s">
        <v>12</v>
      </c>
      <c r="I311" s="3"/>
    </row>
    <row r="312" spans="1:9" x14ac:dyDescent="0.25">
      <c r="A312" s="2">
        <v>310</v>
      </c>
      <c r="B312" s="2">
        <v>120</v>
      </c>
      <c r="C312" s="2">
        <v>8</v>
      </c>
      <c r="D312" s="4">
        <f t="shared" si="17"/>
        <v>182</v>
      </c>
      <c r="E312" s="5">
        <f t="shared" si="18"/>
        <v>0.58709677419354833</v>
      </c>
      <c r="F312" s="2">
        <v>3</v>
      </c>
      <c r="G312" s="3">
        <f t="shared" si="19"/>
        <v>10</v>
      </c>
      <c r="H312" s="2" t="s">
        <v>12</v>
      </c>
      <c r="I312" s="3"/>
    </row>
    <row r="313" spans="1:9" x14ac:dyDescent="0.25">
      <c r="A313" s="2">
        <v>311</v>
      </c>
      <c r="B313" s="2">
        <v>310</v>
      </c>
      <c r="C313" s="2">
        <v>2</v>
      </c>
      <c r="D313" s="4">
        <f t="shared" si="17"/>
        <v>-1</v>
      </c>
      <c r="E313" s="5">
        <f t="shared" si="18"/>
        <v>-3.2154340836012861E-3</v>
      </c>
      <c r="F313" s="2">
        <v>1</v>
      </c>
      <c r="G313" s="3">
        <f t="shared" si="19"/>
        <v>11</v>
      </c>
      <c r="H313" s="2" t="s">
        <v>11</v>
      </c>
      <c r="I313" s="3">
        <v>-1</v>
      </c>
    </row>
    <row r="314" spans="1:9" x14ac:dyDescent="0.25">
      <c r="A314" s="2">
        <v>312</v>
      </c>
      <c r="B314" s="2">
        <v>96</v>
      </c>
      <c r="C314" s="2">
        <v>16</v>
      </c>
      <c r="D314" s="4">
        <f t="shared" si="17"/>
        <v>200</v>
      </c>
      <c r="E314" s="5">
        <f t="shared" si="18"/>
        <v>0.64102564102564108</v>
      </c>
      <c r="F314" s="2">
        <v>3</v>
      </c>
      <c r="G314" s="3">
        <f t="shared" si="19"/>
        <v>12</v>
      </c>
      <c r="H314" s="2" t="s">
        <v>12</v>
      </c>
      <c r="I314" s="3"/>
    </row>
    <row r="315" spans="1:9" x14ac:dyDescent="0.25">
      <c r="A315" s="2">
        <v>313</v>
      </c>
      <c r="B315" s="2">
        <v>312</v>
      </c>
      <c r="C315" s="2">
        <v>2</v>
      </c>
      <c r="D315" s="4">
        <f t="shared" si="17"/>
        <v>-1</v>
      </c>
      <c r="E315" s="5">
        <f t="shared" si="18"/>
        <v>-3.1948881789137379E-3</v>
      </c>
      <c r="F315" s="2">
        <v>1</v>
      </c>
      <c r="G315" s="3">
        <f t="shared" si="19"/>
        <v>13</v>
      </c>
      <c r="H315" s="2" t="s">
        <v>11</v>
      </c>
      <c r="I315" s="3">
        <v>-1</v>
      </c>
    </row>
    <row r="316" spans="1:9" x14ac:dyDescent="0.25">
      <c r="A316" s="2">
        <v>314</v>
      </c>
      <c r="B316" s="2">
        <v>156</v>
      </c>
      <c r="C316" s="2">
        <v>4</v>
      </c>
      <c r="D316" s="4">
        <f t="shared" si="17"/>
        <v>154</v>
      </c>
      <c r="E316" s="5">
        <f t="shared" si="18"/>
        <v>0.49044585987261147</v>
      </c>
      <c r="F316" s="2">
        <v>2</v>
      </c>
      <c r="G316" s="3">
        <f t="shared" si="19"/>
        <v>14</v>
      </c>
      <c r="H316" s="2" t="s">
        <v>12</v>
      </c>
      <c r="I316" s="3"/>
    </row>
    <row r="317" spans="1:9" x14ac:dyDescent="0.25">
      <c r="A317" s="2">
        <v>315</v>
      </c>
      <c r="B317" s="2">
        <v>144</v>
      </c>
      <c r="C317" s="2">
        <v>12</v>
      </c>
      <c r="D317" s="4">
        <f t="shared" si="17"/>
        <v>159</v>
      </c>
      <c r="E317" s="5">
        <f t="shared" si="18"/>
        <v>0.50476190476190474</v>
      </c>
      <c r="F317" s="2">
        <v>3</v>
      </c>
      <c r="G317" s="3">
        <f t="shared" si="19"/>
        <v>15</v>
      </c>
      <c r="H317" s="2" t="s">
        <v>12</v>
      </c>
      <c r="I317" s="3"/>
    </row>
    <row r="318" spans="1:9" x14ac:dyDescent="0.25">
      <c r="A318" s="2">
        <v>316</v>
      </c>
      <c r="B318" s="2">
        <v>156</v>
      </c>
      <c r="C318" s="2">
        <v>6</v>
      </c>
      <c r="D318" s="4">
        <f t="shared" si="17"/>
        <v>154</v>
      </c>
      <c r="E318" s="5">
        <f t="shared" si="18"/>
        <v>0.48734177215189872</v>
      </c>
      <c r="F318" s="2">
        <v>2</v>
      </c>
      <c r="G318" s="3">
        <f t="shared" si="19"/>
        <v>16</v>
      </c>
      <c r="H318" s="2" t="s">
        <v>12</v>
      </c>
      <c r="I318" s="3"/>
    </row>
    <row r="319" spans="1:9" x14ac:dyDescent="0.25">
      <c r="A319" s="2">
        <v>317</v>
      </c>
      <c r="B319" s="2">
        <v>316</v>
      </c>
      <c r="C319" s="2">
        <v>2</v>
      </c>
      <c r="D319" s="4">
        <f t="shared" si="17"/>
        <v>-1</v>
      </c>
      <c r="E319" s="5">
        <f t="shared" si="18"/>
        <v>-3.1545741324921135E-3</v>
      </c>
      <c r="F319" s="2">
        <v>1</v>
      </c>
      <c r="G319" s="3">
        <f t="shared" si="19"/>
        <v>17</v>
      </c>
      <c r="H319" s="2" t="s">
        <v>11</v>
      </c>
      <c r="I319" s="3">
        <v>-1</v>
      </c>
    </row>
    <row r="320" spans="1:9" x14ac:dyDescent="0.25">
      <c r="A320" s="2">
        <v>318</v>
      </c>
      <c r="B320" s="2">
        <v>104</v>
      </c>
      <c r="C320" s="2">
        <v>8</v>
      </c>
      <c r="D320" s="4">
        <f t="shared" si="17"/>
        <v>206</v>
      </c>
      <c r="E320" s="5">
        <f t="shared" si="18"/>
        <v>0.64779874213836475</v>
      </c>
      <c r="F320" s="2">
        <v>3</v>
      </c>
      <c r="G320" s="3">
        <f t="shared" si="19"/>
        <v>18</v>
      </c>
      <c r="H320" s="2" t="s">
        <v>12</v>
      </c>
      <c r="I320" s="3"/>
    </row>
    <row r="321" spans="1:9" x14ac:dyDescent="0.25">
      <c r="A321" s="2">
        <v>319</v>
      </c>
      <c r="B321" s="2">
        <v>280</v>
      </c>
      <c r="C321" s="2">
        <v>4</v>
      </c>
      <c r="D321" s="4">
        <f t="shared" si="17"/>
        <v>35</v>
      </c>
      <c r="E321" s="5">
        <f t="shared" si="18"/>
        <v>0.109717868338558</v>
      </c>
      <c r="F321" s="2">
        <v>2</v>
      </c>
      <c r="G321" s="3">
        <f t="shared" si="19"/>
        <v>19</v>
      </c>
      <c r="H321" s="2" t="s">
        <v>12</v>
      </c>
      <c r="I321" s="3"/>
    </row>
    <row r="322" spans="1:9" x14ac:dyDescent="0.25">
      <c r="A322" s="2">
        <v>320</v>
      </c>
      <c r="B322" s="2">
        <v>128</v>
      </c>
      <c r="C322" s="2">
        <v>14</v>
      </c>
      <c r="D322" s="4">
        <f t="shared" si="17"/>
        <v>178</v>
      </c>
      <c r="E322" s="5">
        <f t="shared" si="18"/>
        <v>0.55625000000000002</v>
      </c>
      <c r="F322" s="2">
        <v>2</v>
      </c>
      <c r="G322" s="3">
        <f t="shared" si="19"/>
        <v>20</v>
      </c>
      <c r="H322" s="2" t="s">
        <v>12</v>
      </c>
      <c r="I322" s="3"/>
    </row>
    <row r="323" spans="1:9" x14ac:dyDescent="0.25">
      <c r="A323" s="2">
        <v>321</v>
      </c>
      <c r="B323" s="2">
        <v>212</v>
      </c>
      <c r="C323" s="2">
        <v>4</v>
      </c>
      <c r="D323" s="4">
        <f t="shared" ref="D323:D386" si="20">A323-B323-C323</f>
        <v>105</v>
      </c>
      <c r="E323" s="5">
        <f t="shared" ref="E323:E386" si="21">D323/A323</f>
        <v>0.32710280373831774</v>
      </c>
      <c r="F323" s="2">
        <v>2</v>
      </c>
      <c r="G323" s="3">
        <f t="shared" ref="G323:G386" si="22">MOD(A323,30)</f>
        <v>21</v>
      </c>
      <c r="H323" s="2" t="s">
        <v>12</v>
      </c>
      <c r="I323" s="3"/>
    </row>
    <row r="324" spans="1:9" x14ac:dyDescent="0.25">
      <c r="A324" s="2">
        <v>322</v>
      </c>
      <c r="B324" s="2">
        <v>132</v>
      </c>
      <c r="C324" s="2">
        <v>8</v>
      </c>
      <c r="D324" s="4">
        <f t="shared" si="20"/>
        <v>182</v>
      </c>
      <c r="E324" s="5">
        <f t="shared" si="21"/>
        <v>0.56521739130434778</v>
      </c>
      <c r="F324" s="2">
        <v>3</v>
      </c>
      <c r="G324" s="3">
        <f t="shared" si="22"/>
        <v>22</v>
      </c>
      <c r="H324" s="2" t="s">
        <v>12</v>
      </c>
      <c r="I324" s="3"/>
    </row>
    <row r="325" spans="1:9" x14ac:dyDescent="0.25">
      <c r="A325" s="2">
        <v>323</v>
      </c>
      <c r="B325" s="2">
        <v>288</v>
      </c>
      <c r="C325" s="2">
        <v>4</v>
      </c>
      <c r="D325" s="4">
        <f t="shared" si="20"/>
        <v>31</v>
      </c>
      <c r="E325" s="5">
        <f t="shared" si="21"/>
        <v>9.5975232198142413E-2</v>
      </c>
      <c r="F325" s="2">
        <v>2</v>
      </c>
      <c r="G325" s="3">
        <f t="shared" si="22"/>
        <v>23</v>
      </c>
      <c r="H325" s="2" t="s">
        <v>12</v>
      </c>
      <c r="I325" s="3"/>
    </row>
    <row r="326" spans="1:9" x14ac:dyDescent="0.25">
      <c r="A326" s="2">
        <v>324</v>
      </c>
      <c r="B326" s="2">
        <v>108</v>
      </c>
      <c r="C326" s="2">
        <v>15</v>
      </c>
      <c r="D326" s="4">
        <f t="shared" si="20"/>
        <v>201</v>
      </c>
      <c r="E326" s="5">
        <f t="shared" si="21"/>
        <v>0.62037037037037035</v>
      </c>
      <c r="F326" s="2">
        <v>2</v>
      </c>
      <c r="G326" s="3">
        <f t="shared" si="22"/>
        <v>24</v>
      </c>
      <c r="H326" s="2" t="s">
        <v>12</v>
      </c>
      <c r="I326" s="3"/>
    </row>
    <row r="327" spans="1:9" x14ac:dyDescent="0.25">
      <c r="A327" s="2">
        <v>325</v>
      </c>
      <c r="B327" s="2">
        <v>240</v>
      </c>
      <c r="C327" s="2">
        <v>6</v>
      </c>
      <c r="D327" s="4">
        <f t="shared" si="20"/>
        <v>79</v>
      </c>
      <c r="E327" s="5">
        <f t="shared" si="21"/>
        <v>0.24307692307692308</v>
      </c>
      <c r="F327" s="2">
        <v>2</v>
      </c>
      <c r="G327" s="3">
        <f t="shared" si="22"/>
        <v>25</v>
      </c>
      <c r="H327" s="2" t="s">
        <v>12</v>
      </c>
      <c r="I327" s="3"/>
    </row>
    <row r="328" spans="1:9" x14ac:dyDescent="0.25">
      <c r="A328" s="2">
        <v>326</v>
      </c>
      <c r="B328" s="2">
        <v>162</v>
      </c>
      <c r="C328" s="2">
        <v>4</v>
      </c>
      <c r="D328" s="4">
        <f t="shared" si="20"/>
        <v>160</v>
      </c>
      <c r="E328" s="5">
        <f t="shared" si="21"/>
        <v>0.49079754601226994</v>
      </c>
      <c r="F328" s="2">
        <v>2</v>
      </c>
      <c r="G328" s="3">
        <f t="shared" si="22"/>
        <v>26</v>
      </c>
      <c r="H328" s="2" t="s">
        <v>12</v>
      </c>
      <c r="I328" s="3"/>
    </row>
    <row r="329" spans="1:9" x14ac:dyDescent="0.25">
      <c r="A329" s="2">
        <v>327</v>
      </c>
      <c r="B329" s="2">
        <v>216</v>
      </c>
      <c r="C329" s="2">
        <v>4</v>
      </c>
      <c r="D329" s="4">
        <f t="shared" si="20"/>
        <v>107</v>
      </c>
      <c r="E329" s="5">
        <f t="shared" si="21"/>
        <v>0.327217125382263</v>
      </c>
      <c r="F329" s="2">
        <v>2</v>
      </c>
      <c r="G329" s="3">
        <f t="shared" si="22"/>
        <v>27</v>
      </c>
      <c r="H329" s="2" t="s">
        <v>12</v>
      </c>
      <c r="I329" s="3"/>
    </row>
    <row r="330" spans="1:9" x14ac:dyDescent="0.25">
      <c r="A330" s="2">
        <v>328</v>
      </c>
      <c r="B330" s="2">
        <v>160</v>
      </c>
      <c r="C330" s="2">
        <v>8</v>
      </c>
      <c r="D330" s="4">
        <f t="shared" si="20"/>
        <v>160</v>
      </c>
      <c r="E330" s="5">
        <f t="shared" si="21"/>
        <v>0.48780487804878048</v>
      </c>
      <c r="F330" s="2">
        <v>2</v>
      </c>
      <c r="G330" s="3">
        <f t="shared" si="22"/>
        <v>28</v>
      </c>
      <c r="H330" s="2" t="s">
        <v>12</v>
      </c>
      <c r="I330" s="3"/>
    </row>
    <row r="331" spans="1:9" x14ac:dyDescent="0.25">
      <c r="A331" s="2">
        <v>329</v>
      </c>
      <c r="B331" s="2">
        <v>276</v>
      </c>
      <c r="C331" s="2">
        <v>4</v>
      </c>
      <c r="D331" s="4">
        <f t="shared" si="20"/>
        <v>49</v>
      </c>
      <c r="E331" s="5">
        <f t="shared" si="21"/>
        <v>0.14893617021276595</v>
      </c>
      <c r="F331" s="2">
        <v>2</v>
      </c>
      <c r="G331" s="3">
        <f t="shared" si="22"/>
        <v>29</v>
      </c>
      <c r="H331" s="2" t="s">
        <v>12</v>
      </c>
      <c r="I331" s="3"/>
    </row>
    <row r="332" spans="1:9" x14ac:dyDescent="0.25">
      <c r="A332" s="2">
        <v>330</v>
      </c>
      <c r="B332" s="2">
        <v>80</v>
      </c>
      <c r="C332" s="2">
        <v>16</v>
      </c>
      <c r="D332" s="4">
        <f t="shared" si="20"/>
        <v>234</v>
      </c>
      <c r="E332" s="5">
        <f t="shared" si="21"/>
        <v>0.70909090909090911</v>
      </c>
      <c r="F332" s="2">
        <v>4</v>
      </c>
      <c r="G332" s="3">
        <f t="shared" si="22"/>
        <v>0</v>
      </c>
      <c r="H332" s="2" t="s">
        <v>12</v>
      </c>
      <c r="I332" s="3"/>
    </row>
    <row r="333" spans="1:9" x14ac:dyDescent="0.25">
      <c r="A333" s="2">
        <v>331</v>
      </c>
      <c r="B333" s="2">
        <v>330</v>
      </c>
      <c r="C333" s="2">
        <v>2</v>
      </c>
      <c r="D333" s="4">
        <f t="shared" si="20"/>
        <v>-1</v>
      </c>
      <c r="E333" s="5">
        <f t="shared" si="21"/>
        <v>-3.0211480362537764E-3</v>
      </c>
      <c r="F333" s="2">
        <v>1</v>
      </c>
      <c r="G333" s="3">
        <f t="shared" si="22"/>
        <v>1</v>
      </c>
      <c r="H333" s="2" t="s">
        <v>11</v>
      </c>
      <c r="I333" s="3">
        <v>-1</v>
      </c>
    </row>
    <row r="334" spans="1:9" x14ac:dyDescent="0.25">
      <c r="A334" s="2">
        <v>332</v>
      </c>
      <c r="B334" s="2">
        <v>164</v>
      </c>
      <c r="C334" s="2">
        <v>6</v>
      </c>
      <c r="D334" s="4">
        <f t="shared" si="20"/>
        <v>162</v>
      </c>
      <c r="E334" s="5">
        <f t="shared" si="21"/>
        <v>0.48795180722891568</v>
      </c>
      <c r="F334" s="2">
        <v>2</v>
      </c>
      <c r="G334" s="3">
        <f t="shared" si="22"/>
        <v>2</v>
      </c>
      <c r="H334" s="2" t="s">
        <v>12</v>
      </c>
      <c r="I334" s="3"/>
    </row>
    <row r="335" spans="1:9" x14ac:dyDescent="0.25">
      <c r="A335" s="2">
        <v>333</v>
      </c>
      <c r="B335" s="2">
        <v>216</v>
      </c>
      <c r="C335" s="2">
        <v>6</v>
      </c>
      <c r="D335" s="4">
        <f t="shared" si="20"/>
        <v>111</v>
      </c>
      <c r="E335" s="5">
        <f t="shared" si="21"/>
        <v>0.33333333333333331</v>
      </c>
      <c r="F335" s="2">
        <v>2</v>
      </c>
      <c r="G335" s="3">
        <f t="shared" si="22"/>
        <v>3</v>
      </c>
      <c r="H335" s="2" t="s">
        <v>12</v>
      </c>
      <c r="I335" s="3"/>
    </row>
    <row r="336" spans="1:9" x14ac:dyDescent="0.25">
      <c r="A336" s="2">
        <v>334</v>
      </c>
      <c r="B336" s="2">
        <v>166</v>
      </c>
      <c r="C336" s="2">
        <v>4</v>
      </c>
      <c r="D336" s="4">
        <f t="shared" si="20"/>
        <v>164</v>
      </c>
      <c r="E336" s="5">
        <f t="shared" si="21"/>
        <v>0.49101796407185627</v>
      </c>
      <c r="F336" s="2">
        <v>2</v>
      </c>
      <c r="G336" s="3">
        <f t="shared" si="22"/>
        <v>4</v>
      </c>
      <c r="H336" s="2" t="s">
        <v>12</v>
      </c>
      <c r="I336" s="3"/>
    </row>
    <row r="337" spans="1:9" x14ac:dyDescent="0.25">
      <c r="A337" s="2">
        <v>335</v>
      </c>
      <c r="B337" s="2">
        <v>264</v>
      </c>
      <c r="C337" s="2">
        <v>4</v>
      </c>
      <c r="D337" s="4">
        <f t="shared" si="20"/>
        <v>67</v>
      </c>
      <c r="E337" s="5">
        <f t="shared" si="21"/>
        <v>0.2</v>
      </c>
      <c r="F337" s="2">
        <v>2</v>
      </c>
      <c r="G337" s="3">
        <f t="shared" si="22"/>
        <v>5</v>
      </c>
      <c r="H337" s="2" t="s">
        <v>12</v>
      </c>
      <c r="I337" s="3"/>
    </row>
    <row r="338" spans="1:9" x14ac:dyDescent="0.25">
      <c r="A338" s="2">
        <v>336</v>
      </c>
      <c r="B338" s="2">
        <v>96</v>
      </c>
      <c r="C338" s="2">
        <v>20</v>
      </c>
      <c r="D338" s="4">
        <f t="shared" si="20"/>
        <v>220</v>
      </c>
      <c r="E338" s="5">
        <f t="shared" si="21"/>
        <v>0.65476190476190477</v>
      </c>
      <c r="F338" s="2">
        <v>3</v>
      </c>
      <c r="G338" s="3">
        <f t="shared" si="22"/>
        <v>6</v>
      </c>
      <c r="H338" s="2" t="s">
        <v>12</v>
      </c>
      <c r="I338" s="3"/>
    </row>
    <row r="339" spans="1:9" x14ac:dyDescent="0.25">
      <c r="A339" s="2">
        <v>337</v>
      </c>
      <c r="B339" s="2">
        <v>336</v>
      </c>
      <c r="C339" s="2">
        <v>2</v>
      </c>
      <c r="D339" s="4">
        <f t="shared" si="20"/>
        <v>-1</v>
      </c>
      <c r="E339" s="5">
        <f t="shared" si="21"/>
        <v>-2.967359050445104E-3</v>
      </c>
      <c r="F339" s="2">
        <v>1</v>
      </c>
      <c r="G339" s="3">
        <f t="shared" si="22"/>
        <v>7</v>
      </c>
      <c r="H339" s="2" t="s">
        <v>11</v>
      </c>
      <c r="I339" s="3">
        <v>-1</v>
      </c>
    </row>
    <row r="340" spans="1:9" x14ac:dyDescent="0.25">
      <c r="A340" s="2">
        <v>338</v>
      </c>
      <c r="B340" s="2">
        <v>156</v>
      </c>
      <c r="C340" s="2">
        <v>6</v>
      </c>
      <c r="D340" s="4">
        <f t="shared" si="20"/>
        <v>176</v>
      </c>
      <c r="E340" s="5">
        <f t="shared" si="21"/>
        <v>0.52071005917159763</v>
      </c>
      <c r="F340" s="2">
        <v>2</v>
      </c>
      <c r="G340" s="3">
        <f t="shared" si="22"/>
        <v>8</v>
      </c>
      <c r="H340" s="2" t="s">
        <v>12</v>
      </c>
      <c r="I340" s="3"/>
    </row>
    <row r="341" spans="1:9" x14ac:dyDescent="0.25">
      <c r="A341" s="2">
        <v>339</v>
      </c>
      <c r="B341" s="2">
        <v>224</v>
      </c>
      <c r="C341" s="2">
        <v>4</v>
      </c>
      <c r="D341" s="4">
        <f t="shared" si="20"/>
        <v>111</v>
      </c>
      <c r="E341" s="5">
        <f t="shared" si="21"/>
        <v>0.32743362831858408</v>
      </c>
      <c r="F341" s="2">
        <v>2</v>
      </c>
      <c r="G341" s="3">
        <f t="shared" si="22"/>
        <v>9</v>
      </c>
      <c r="H341" s="2" t="s">
        <v>12</v>
      </c>
      <c r="I341" s="3"/>
    </row>
    <row r="342" spans="1:9" x14ac:dyDescent="0.25">
      <c r="A342" s="2">
        <v>340</v>
      </c>
      <c r="B342" s="2">
        <v>128</v>
      </c>
      <c r="C342" s="2">
        <v>12</v>
      </c>
      <c r="D342" s="4">
        <f t="shared" si="20"/>
        <v>200</v>
      </c>
      <c r="E342" s="5">
        <f t="shared" si="21"/>
        <v>0.58823529411764708</v>
      </c>
      <c r="F342" s="2">
        <v>3</v>
      </c>
      <c r="G342" s="3">
        <f t="shared" si="22"/>
        <v>10</v>
      </c>
      <c r="H342" s="2" t="s">
        <v>12</v>
      </c>
      <c r="I342" s="3"/>
    </row>
    <row r="343" spans="1:9" x14ac:dyDescent="0.25">
      <c r="A343" s="2">
        <v>341</v>
      </c>
      <c r="B343" s="2">
        <v>300</v>
      </c>
      <c r="C343" s="2">
        <v>4</v>
      </c>
      <c r="D343" s="4">
        <f t="shared" si="20"/>
        <v>37</v>
      </c>
      <c r="E343" s="5">
        <f t="shared" si="21"/>
        <v>0.10850439882697947</v>
      </c>
      <c r="F343" s="2">
        <v>2</v>
      </c>
      <c r="G343" s="3">
        <f t="shared" si="22"/>
        <v>11</v>
      </c>
      <c r="H343" s="2" t="s">
        <v>12</v>
      </c>
      <c r="I343" s="3"/>
    </row>
    <row r="344" spans="1:9" x14ac:dyDescent="0.25">
      <c r="A344" s="2">
        <v>342</v>
      </c>
      <c r="B344" s="2">
        <v>108</v>
      </c>
      <c r="C344" s="2">
        <v>12</v>
      </c>
      <c r="D344" s="4">
        <f t="shared" si="20"/>
        <v>222</v>
      </c>
      <c r="E344" s="5">
        <f t="shared" si="21"/>
        <v>0.64912280701754388</v>
      </c>
      <c r="F344" s="2">
        <v>3</v>
      </c>
      <c r="G344" s="3">
        <f t="shared" si="22"/>
        <v>12</v>
      </c>
      <c r="H344" s="2" t="s">
        <v>12</v>
      </c>
      <c r="I344" s="3"/>
    </row>
    <row r="345" spans="1:9" x14ac:dyDescent="0.25">
      <c r="A345" s="2">
        <v>343</v>
      </c>
      <c r="B345" s="2">
        <v>294</v>
      </c>
      <c r="C345" s="2">
        <v>4</v>
      </c>
      <c r="D345" s="4">
        <f t="shared" si="20"/>
        <v>45</v>
      </c>
      <c r="E345" s="5">
        <f t="shared" si="21"/>
        <v>0.13119533527696792</v>
      </c>
      <c r="F345" s="2">
        <v>1</v>
      </c>
      <c r="G345" s="3">
        <f t="shared" si="22"/>
        <v>13</v>
      </c>
      <c r="H345" s="2" t="s">
        <v>12</v>
      </c>
      <c r="I345" s="3"/>
    </row>
    <row r="346" spans="1:9" x14ac:dyDescent="0.25">
      <c r="A346" s="2">
        <v>344</v>
      </c>
      <c r="B346" s="2">
        <v>168</v>
      </c>
      <c r="C346" s="2">
        <v>8</v>
      </c>
      <c r="D346" s="4">
        <f t="shared" si="20"/>
        <v>168</v>
      </c>
      <c r="E346" s="5">
        <f t="shared" si="21"/>
        <v>0.48837209302325579</v>
      </c>
      <c r="F346" s="2">
        <v>2</v>
      </c>
      <c r="G346" s="3">
        <f t="shared" si="22"/>
        <v>14</v>
      </c>
      <c r="H346" s="2" t="s">
        <v>12</v>
      </c>
      <c r="I346" s="3"/>
    </row>
    <row r="347" spans="1:9" x14ac:dyDescent="0.25">
      <c r="A347" s="2">
        <v>345</v>
      </c>
      <c r="B347" s="2">
        <v>176</v>
      </c>
      <c r="C347" s="2">
        <v>8</v>
      </c>
      <c r="D347" s="4">
        <f t="shared" si="20"/>
        <v>161</v>
      </c>
      <c r="E347" s="5">
        <f t="shared" si="21"/>
        <v>0.46666666666666667</v>
      </c>
      <c r="F347" s="2">
        <v>3</v>
      </c>
      <c r="G347" s="3">
        <f t="shared" si="22"/>
        <v>15</v>
      </c>
      <c r="H347" s="2" t="s">
        <v>12</v>
      </c>
      <c r="I347" s="3"/>
    </row>
    <row r="348" spans="1:9" x14ac:dyDescent="0.25">
      <c r="A348" s="2">
        <v>346</v>
      </c>
      <c r="B348" s="2">
        <v>172</v>
      </c>
      <c r="C348" s="2">
        <v>4</v>
      </c>
      <c r="D348" s="4">
        <f t="shared" si="20"/>
        <v>170</v>
      </c>
      <c r="E348" s="5">
        <f t="shared" si="21"/>
        <v>0.4913294797687861</v>
      </c>
      <c r="F348" s="2">
        <v>2</v>
      </c>
      <c r="G348" s="3">
        <f t="shared" si="22"/>
        <v>16</v>
      </c>
      <c r="H348" s="2" t="s">
        <v>12</v>
      </c>
      <c r="I348" s="3"/>
    </row>
    <row r="349" spans="1:9" x14ac:dyDescent="0.25">
      <c r="A349" s="2">
        <v>347</v>
      </c>
      <c r="B349" s="2">
        <v>346</v>
      </c>
      <c r="C349" s="2">
        <v>2</v>
      </c>
      <c r="D349" s="4">
        <f t="shared" si="20"/>
        <v>-1</v>
      </c>
      <c r="E349" s="5">
        <f t="shared" si="21"/>
        <v>-2.881844380403458E-3</v>
      </c>
      <c r="F349" s="2">
        <v>1</v>
      </c>
      <c r="G349" s="3">
        <f t="shared" si="22"/>
        <v>17</v>
      </c>
      <c r="H349" s="2" t="s">
        <v>11</v>
      </c>
      <c r="I349" s="3">
        <v>-1</v>
      </c>
    </row>
    <row r="350" spans="1:9" x14ac:dyDescent="0.25">
      <c r="A350" s="2">
        <v>348</v>
      </c>
      <c r="B350" s="2">
        <v>112</v>
      </c>
      <c r="C350" s="2">
        <v>12</v>
      </c>
      <c r="D350" s="4">
        <f t="shared" si="20"/>
        <v>224</v>
      </c>
      <c r="E350" s="5">
        <f t="shared" si="21"/>
        <v>0.64367816091954022</v>
      </c>
      <c r="F350" s="2">
        <v>3</v>
      </c>
      <c r="G350" s="3">
        <f t="shared" si="22"/>
        <v>18</v>
      </c>
      <c r="H350" s="2" t="s">
        <v>12</v>
      </c>
      <c r="I350" s="3"/>
    </row>
    <row r="351" spans="1:9" x14ac:dyDescent="0.25">
      <c r="A351" s="2">
        <v>349</v>
      </c>
      <c r="B351" s="2">
        <v>348</v>
      </c>
      <c r="C351" s="2">
        <v>2</v>
      </c>
      <c r="D351" s="4">
        <f t="shared" si="20"/>
        <v>-1</v>
      </c>
      <c r="E351" s="5">
        <f t="shared" si="21"/>
        <v>-2.8653295128939827E-3</v>
      </c>
      <c r="F351" s="2">
        <v>1</v>
      </c>
      <c r="G351" s="3">
        <f t="shared" si="22"/>
        <v>19</v>
      </c>
      <c r="H351" s="2" t="s">
        <v>11</v>
      </c>
      <c r="I351" s="3">
        <v>-1</v>
      </c>
    </row>
    <row r="352" spans="1:9" x14ac:dyDescent="0.25">
      <c r="A352" s="2">
        <v>350</v>
      </c>
      <c r="B352" s="2">
        <v>120</v>
      </c>
      <c r="C352" s="2">
        <v>12</v>
      </c>
      <c r="D352" s="4">
        <f t="shared" si="20"/>
        <v>218</v>
      </c>
      <c r="E352" s="5">
        <f t="shared" si="21"/>
        <v>0.62285714285714289</v>
      </c>
      <c r="F352" s="2">
        <v>3</v>
      </c>
      <c r="G352" s="3">
        <f t="shared" si="22"/>
        <v>20</v>
      </c>
      <c r="H352" s="2" t="s">
        <v>12</v>
      </c>
      <c r="I352" s="3"/>
    </row>
    <row r="353" spans="1:9" x14ac:dyDescent="0.25">
      <c r="A353" s="2">
        <v>351</v>
      </c>
      <c r="B353" s="2">
        <v>216</v>
      </c>
      <c r="C353" s="2">
        <v>8</v>
      </c>
      <c r="D353" s="4">
        <f t="shared" si="20"/>
        <v>127</v>
      </c>
      <c r="E353" s="5">
        <f t="shared" si="21"/>
        <v>0.36182336182336183</v>
      </c>
      <c r="F353" s="2">
        <v>2</v>
      </c>
      <c r="G353" s="3">
        <f t="shared" si="22"/>
        <v>21</v>
      </c>
      <c r="H353" s="2" t="s">
        <v>12</v>
      </c>
      <c r="I353" s="3"/>
    </row>
    <row r="354" spans="1:9" x14ac:dyDescent="0.25">
      <c r="A354" s="2">
        <v>352</v>
      </c>
      <c r="B354" s="2">
        <v>160</v>
      </c>
      <c r="C354" s="2">
        <v>12</v>
      </c>
      <c r="D354" s="4">
        <f t="shared" si="20"/>
        <v>180</v>
      </c>
      <c r="E354" s="5">
        <f t="shared" si="21"/>
        <v>0.51136363636363635</v>
      </c>
      <c r="F354" s="2">
        <v>2</v>
      </c>
      <c r="G354" s="3">
        <f t="shared" si="22"/>
        <v>22</v>
      </c>
      <c r="H354" s="2" t="s">
        <v>12</v>
      </c>
      <c r="I354" s="3"/>
    </row>
    <row r="355" spans="1:9" x14ac:dyDescent="0.25">
      <c r="A355" s="2">
        <v>353</v>
      </c>
      <c r="B355" s="2">
        <v>352</v>
      </c>
      <c r="C355" s="2">
        <v>2</v>
      </c>
      <c r="D355" s="4">
        <f t="shared" si="20"/>
        <v>-1</v>
      </c>
      <c r="E355" s="5">
        <f t="shared" si="21"/>
        <v>-2.8328611898016999E-3</v>
      </c>
      <c r="F355" s="2">
        <v>1</v>
      </c>
      <c r="G355" s="3">
        <f t="shared" si="22"/>
        <v>23</v>
      </c>
      <c r="H355" s="2" t="s">
        <v>11</v>
      </c>
      <c r="I355" s="3">
        <v>-1</v>
      </c>
    </row>
    <row r="356" spans="1:9" x14ac:dyDescent="0.25">
      <c r="A356" s="2">
        <v>354</v>
      </c>
      <c r="B356" s="2">
        <v>116</v>
      </c>
      <c r="C356" s="2">
        <v>8</v>
      </c>
      <c r="D356" s="4">
        <f t="shared" si="20"/>
        <v>230</v>
      </c>
      <c r="E356" s="5">
        <f t="shared" si="21"/>
        <v>0.64971751412429379</v>
      </c>
      <c r="F356" s="2">
        <v>3</v>
      </c>
      <c r="G356" s="3">
        <f t="shared" si="22"/>
        <v>24</v>
      </c>
      <c r="H356" s="2" t="s">
        <v>12</v>
      </c>
      <c r="I356" s="3"/>
    </row>
    <row r="357" spans="1:9" x14ac:dyDescent="0.25">
      <c r="A357" s="2">
        <v>355</v>
      </c>
      <c r="B357" s="2">
        <v>280</v>
      </c>
      <c r="C357" s="2">
        <v>4</v>
      </c>
      <c r="D357" s="4">
        <f t="shared" si="20"/>
        <v>71</v>
      </c>
      <c r="E357" s="5">
        <f t="shared" si="21"/>
        <v>0.2</v>
      </c>
      <c r="F357" s="2">
        <v>2</v>
      </c>
      <c r="G357" s="3">
        <f t="shared" si="22"/>
        <v>25</v>
      </c>
      <c r="H357" s="2" t="s">
        <v>12</v>
      </c>
      <c r="I357" s="3"/>
    </row>
    <row r="358" spans="1:9" x14ac:dyDescent="0.25">
      <c r="A358" s="2">
        <v>356</v>
      </c>
      <c r="B358" s="2">
        <v>176</v>
      </c>
      <c r="C358" s="2">
        <v>6</v>
      </c>
      <c r="D358" s="4">
        <f t="shared" si="20"/>
        <v>174</v>
      </c>
      <c r="E358" s="5">
        <f t="shared" si="21"/>
        <v>0.4887640449438202</v>
      </c>
      <c r="F358" s="2">
        <v>2</v>
      </c>
      <c r="G358" s="3">
        <f t="shared" si="22"/>
        <v>26</v>
      </c>
      <c r="H358" s="2" t="s">
        <v>12</v>
      </c>
      <c r="I358" s="3"/>
    </row>
    <row r="359" spans="1:9" x14ac:dyDescent="0.25">
      <c r="A359" s="2">
        <v>357</v>
      </c>
      <c r="B359" s="2">
        <v>192</v>
      </c>
      <c r="C359" s="2">
        <v>8</v>
      </c>
      <c r="D359" s="4">
        <f t="shared" si="20"/>
        <v>157</v>
      </c>
      <c r="E359" s="5">
        <f t="shared" si="21"/>
        <v>0.43977591036414565</v>
      </c>
      <c r="F359" s="2">
        <v>3</v>
      </c>
      <c r="G359" s="3">
        <f t="shared" si="22"/>
        <v>27</v>
      </c>
      <c r="H359" s="2" t="s">
        <v>12</v>
      </c>
      <c r="I359" s="3"/>
    </row>
    <row r="360" spans="1:9" x14ac:dyDescent="0.25">
      <c r="A360" s="2">
        <v>358</v>
      </c>
      <c r="B360" s="2">
        <v>178</v>
      </c>
      <c r="C360" s="2">
        <v>4</v>
      </c>
      <c r="D360" s="4">
        <f t="shared" si="20"/>
        <v>176</v>
      </c>
      <c r="E360" s="5">
        <f t="shared" si="21"/>
        <v>0.49162011173184356</v>
      </c>
      <c r="F360" s="2">
        <v>2</v>
      </c>
      <c r="G360" s="3">
        <f t="shared" si="22"/>
        <v>28</v>
      </c>
      <c r="H360" s="2" t="s">
        <v>12</v>
      </c>
      <c r="I360" s="3"/>
    </row>
    <row r="361" spans="1:9" x14ac:dyDescent="0.25">
      <c r="A361" s="2">
        <v>359</v>
      </c>
      <c r="B361" s="2">
        <v>358</v>
      </c>
      <c r="C361" s="2">
        <v>2</v>
      </c>
      <c r="D361" s="4">
        <f t="shared" si="20"/>
        <v>-1</v>
      </c>
      <c r="E361" s="5">
        <f t="shared" si="21"/>
        <v>-2.7855153203342618E-3</v>
      </c>
      <c r="F361" s="2">
        <v>1</v>
      </c>
      <c r="G361" s="3">
        <f t="shared" si="22"/>
        <v>29</v>
      </c>
      <c r="H361" s="2" t="s">
        <v>11</v>
      </c>
      <c r="I361" s="3">
        <v>-1</v>
      </c>
    </row>
    <row r="362" spans="1:9" x14ac:dyDescent="0.25">
      <c r="A362" s="2">
        <v>360</v>
      </c>
      <c r="B362" s="2">
        <v>96</v>
      </c>
      <c r="C362" s="2">
        <v>24</v>
      </c>
      <c r="D362" s="4">
        <f t="shared" si="20"/>
        <v>240</v>
      </c>
      <c r="E362" s="5">
        <f t="shared" si="21"/>
        <v>0.66666666666666663</v>
      </c>
      <c r="F362" s="2">
        <v>3</v>
      </c>
      <c r="G362" s="3">
        <f t="shared" si="22"/>
        <v>0</v>
      </c>
      <c r="H362" s="2" t="s">
        <v>12</v>
      </c>
      <c r="I362" s="3"/>
    </row>
    <row r="363" spans="1:9" x14ac:dyDescent="0.25">
      <c r="A363" s="2">
        <v>361</v>
      </c>
      <c r="B363" s="2">
        <v>342</v>
      </c>
      <c r="C363" s="2">
        <v>3</v>
      </c>
      <c r="D363" s="4">
        <f t="shared" si="20"/>
        <v>16</v>
      </c>
      <c r="E363" s="5">
        <f t="shared" si="21"/>
        <v>4.4321329639889197E-2</v>
      </c>
      <c r="F363" s="2">
        <v>1</v>
      </c>
      <c r="G363" s="3">
        <f t="shared" si="22"/>
        <v>1</v>
      </c>
      <c r="H363" s="2" t="s">
        <v>12</v>
      </c>
      <c r="I363" s="3"/>
    </row>
    <row r="364" spans="1:9" x14ac:dyDescent="0.25">
      <c r="A364" s="2">
        <v>362</v>
      </c>
      <c r="B364" s="2">
        <v>180</v>
      </c>
      <c r="C364" s="2">
        <v>4</v>
      </c>
      <c r="D364" s="4">
        <f t="shared" si="20"/>
        <v>178</v>
      </c>
      <c r="E364" s="5">
        <f t="shared" si="21"/>
        <v>0.49171270718232046</v>
      </c>
      <c r="F364" s="2">
        <v>2</v>
      </c>
      <c r="G364" s="3">
        <f t="shared" si="22"/>
        <v>2</v>
      </c>
      <c r="H364" s="2" t="s">
        <v>12</v>
      </c>
      <c r="I364" s="3"/>
    </row>
    <row r="365" spans="1:9" x14ac:dyDescent="0.25">
      <c r="A365" s="2">
        <v>363</v>
      </c>
      <c r="B365" s="2">
        <v>220</v>
      </c>
      <c r="C365" s="2">
        <v>6</v>
      </c>
      <c r="D365" s="4">
        <f t="shared" si="20"/>
        <v>137</v>
      </c>
      <c r="E365" s="5">
        <f t="shared" si="21"/>
        <v>0.37741046831955921</v>
      </c>
      <c r="F365" s="2">
        <v>2</v>
      </c>
      <c r="G365" s="3">
        <f t="shared" si="22"/>
        <v>3</v>
      </c>
      <c r="H365" s="2" t="s">
        <v>12</v>
      </c>
      <c r="I365" s="3"/>
    </row>
    <row r="366" spans="1:9" x14ac:dyDescent="0.25">
      <c r="A366" s="2">
        <v>364</v>
      </c>
      <c r="B366" s="2">
        <v>144</v>
      </c>
      <c r="C366" s="2">
        <v>12</v>
      </c>
      <c r="D366" s="4">
        <f t="shared" si="20"/>
        <v>208</v>
      </c>
      <c r="E366" s="5">
        <f t="shared" si="21"/>
        <v>0.5714285714285714</v>
      </c>
      <c r="F366" s="2">
        <v>3</v>
      </c>
      <c r="G366" s="3">
        <f t="shared" si="22"/>
        <v>4</v>
      </c>
      <c r="H366" s="2" t="s">
        <v>12</v>
      </c>
      <c r="I366" s="3"/>
    </row>
    <row r="367" spans="1:9" x14ac:dyDescent="0.25">
      <c r="A367" s="2">
        <v>365</v>
      </c>
      <c r="B367" s="2">
        <v>288</v>
      </c>
      <c r="C367" s="2">
        <v>4</v>
      </c>
      <c r="D367" s="4">
        <f t="shared" si="20"/>
        <v>73</v>
      </c>
      <c r="E367" s="5">
        <f t="shared" si="21"/>
        <v>0.2</v>
      </c>
      <c r="F367" s="2">
        <v>2</v>
      </c>
      <c r="G367" s="3">
        <f t="shared" si="22"/>
        <v>5</v>
      </c>
      <c r="H367" s="2" t="s">
        <v>12</v>
      </c>
      <c r="I367" s="3"/>
    </row>
    <row r="368" spans="1:9" x14ac:dyDescent="0.25">
      <c r="A368" s="2">
        <v>366</v>
      </c>
      <c r="B368" s="2">
        <v>120</v>
      </c>
      <c r="C368" s="2">
        <v>8</v>
      </c>
      <c r="D368" s="4">
        <f t="shared" si="20"/>
        <v>238</v>
      </c>
      <c r="E368" s="5">
        <f t="shared" si="21"/>
        <v>0.65027322404371579</v>
      </c>
      <c r="F368" s="2">
        <v>3</v>
      </c>
      <c r="G368" s="3">
        <f t="shared" si="22"/>
        <v>6</v>
      </c>
      <c r="H368" s="2" t="s">
        <v>12</v>
      </c>
      <c r="I368" s="3"/>
    </row>
    <row r="369" spans="1:9" x14ac:dyDescent="0.25">
      <c r="A369" s="2">
        <v>367</v>
      </c>
      <c r="B369" s="2">
        <v>366</v>
      </c>
      <c r="C369" s="2">
        <v>2</v>
      </c>
      <c r="D369" s="4">
        <f t="shared" si="20"/>
        <v>-1</v>
      </c>
      <c r="E369" s="5">
        <f t="shared" si="21"/>
        <v>-2.7247956403269754E-3</v>
      </c>
      <c r="F369" s="2">
        <v>1</v>
      </c>
      <c r="G369" s="3">
        <f t="shared" si="22"/>
        <v>7</v>
      </c>
      <c r="H369" s="2" t="s">
        <v>11</v>
      </c>
      <c r="I369" s="3">
        <v>-1</v>
      </c>
    </row>
    <row r="370" spans="1:9" x14ac:dyDescent="0.25">
      <c r="A370" s="2">
        <v>368</v>
      </c>
      <c r="B370" s="2">
        <v>176</v>
      </c>
      <c r="C370" s="2">
        <v>10</v>
      </c>
      <c r="D370" s="4">
        <f t="shared" si="20"/>
        <v>182</v>
      </c>
      <c r="E370" s="5">
        <f t="shared" si="21"/>
        <v>0.49456521739130432</v>
      </c>
      <c r="F370" s="2">
        <v>2</v>
      </c>
      <c r="G370" s="3">
        <f t="shared" si="22"/>
        <v>8</v>
      </c>
      <c r="H370" s="2" t="s">
        <v>12</v>
      </c>
      <c r="I370" s="3"/>
    </row>
    <row r="371" spans="1:9" x14ac:dyDescent="0.25">
      <c r="A371" s="2">
        <v>369</v>
      </c>
      <c r="B371" s="2">
        <v>240</v>
      </c>
      <c r="C371" s="2">
        <v>6</v>
      </c>
      <c r="D371" s="4">
        <f t="shared" si="20"/>
        <v>123</v>
      </c>
      <c r="E371" s="5">
        <f t="shared" si="21"/>
        <v>0.33333333333333331</v>
      </c>
      <c r="F371" s="2">
        <v>2</v>
      </c>
      <c r="G371" s="3">
        <f t="shared" si="22"/>
        <v>9</v>
      </c>
      <c r="H371" s="2" t="s">
        <v>12</v>
      </c>
      <c r="I371" s="3"/>
    </row>
    <row r="372" spans="1:9" x14ac:dyDescent="0.25">
      <c r="A372" s="2">
        <v>370</v>
      </c>
      <c r="B372" s="2">
        <v>144</v>
      </c>
      <c r="C372" s="2">
        <v>8</v>
      </c>
      <c r="D372" s="4">
        <f t="shared" si="20"/>
        <v>218</v>
      </c>
      <c r="E372" s="5">
        <f t="shared" si="21"/>
        <v>0.58918918918918917</v>
      </c>
      <c r="F372" s="2">
        <v>3</v>
      </c>
      <c r="G372" s="3">
        <f t="shared" si="22"/>
        <v>10</v>
      </c>
      <c r="H372" s="2" t="s">
        <v>12</v>
      </c>
      <c r="I372" s="3"/>
    </row>
    <row r="373" spans="1:9" x14ac:dyDescent="0.25">
      <c r="A373" s="2">
        <v>371</v>
      </c>
      <c r="B373" s="2">
        <v>312</v>
      </c>
      <c r="C373" s="2">
        <v>4</v>
      </c>
      <c r="D373" s="4">
        <f t="shared" si="20"/>
        <v>55</v>
      </c>
      <c r="E373" s="5">
        <f t="shared" si="21"/>
        <v>0.14824797843665768</v>
      </c>
      <c r="F373" s="2">
        <v>2</v>
      </c>
      <c r="G373" s="3">
        <f t="shared" si="22"/>
        <v>11</v>
      </c>
      <c r="H373" s="2" t="s">
        <v>12</v>
      </c>
      <c r="I373" s="3"/>
    </row>
    <row r="374" spans="1:9" x14ac:dyDescent="0.25">
      <c r="A374" s="2">
        <v>372</v>
      </c>
      <c r="B374" s="2">
        <v>120</v>
      </c>
      <c r="C374" s="2">
        <v>12</v>
      </c>
      <c r="D374" s="4">
        <f t="shared" si="20"/>
        <v>240</v>
      </c>
      <c r="E374" s="5">
        <f t="shared" si="21"/>
        <v>0.64516129032258063</v>
      </c>
      <c r="F374" s="2">
        <v>3</v>
      </c>
      <c r="G374" s="3">
        <f t="shared" si="22"/>
        <v>12</v>
      </c>
      <c r="H374" s="2" t="s">
        <v>12</v>
      </c>
      <c r="I374" s="3"/>
    </row>
    <row r="375" spans="1:9" x14ac:dyDescent="0.25">
      <c r="A375" s="2">
        <v>373</v>
      </c>
      <c r="B375" s="2">
        <v>372</v>
      </c>
      <c r="C375" s="2">
        <v>2</v>
      </c>
      <c r="D375" s="4">
        <f t="shared" si="20"/>
        <v>-1</v>
      </c>
      <c r="E375" s="5">
        <f t="shared" si="21"/>
        <v>-2.6809651474530832E-3</v>
      </c>
      <c r="F375" s="2">
        <v>1</v>
      </c>
      <c r="G375" s="3">
        <f t="shared" si="22"/>
        <v>13</v>
      </c>
      <c r="H375" s="2" t="s">
        <v>11</v>
      </c>
      <c r="I375" s="3">
        <v>-1</v>
      </c>
    </row>
    <row r="376" spans="1:9" x14ac:dyDescent="0.25">
      <c r="A376" s="2">
        <v>374</v>
      </c>
      <c r="B376" s="2">
        <v>160</v>
      </c>
      <c r="C376" s="2">
        <v>8</v>
      </c>
      <c r="D376" s="4">
        <f t="shared" si="20"/>
        <v>206</v>
      </c>
      <c r="E376" s="5">
        <f t="shared" si="21"/>
        <v>0.55080213903743314</v>
      </c>
      <c r="F376" s="2">
        <v>3</v>
      </c>
      <c r="G376" s="3">
        <f t="shared" si="22"/>
        <v>14</v>
      </c>
      <c r="H376" s="2" t="s">
        <v>12</v>
      </c>
      <c r="I376" s="3"/>
    </row>
    <row r="377" spans="1:9" x14ac:dyDescent="0.25">
      <c r="A377" s="2">
        <v>375</v>
      </c>
      <c r="B377" s="2">
        <v>200</v>
      </c>
      <c r="C377" s="2">
        <v>8</v>
      </c>
      <c r="D377" s="4">
        <f t="shared" si="20"/>
        <v>167</v>
      </c>
      <c r="E377" s="5">
        <f t="shared" si="21"/>
        <v>0.44533333333333336</v>
      </c>
      <c r="F377" s="2">
        <v>2</v>
      </c>
      <c r="G377" s="3">
        <f t="shared" si="22"/>
        <v>15</v>
      </c>
      <c r="H377" s="2" t="s">
        <v>12</v>
      </c>
      <c r="I377" s="3"/>
    </row>
    <row r="378" spans="1:9" x14ac:dyDescent="0.25">
      <c r="A378" s="2">
        <v>376</v>
      </c>
      <c r="B378" s="2">
        <v>184</v>
      </c>
      <c r="C378" s="2">
        <v>8</v>
      </c>
      <c r="D378" s="4">
        <f t="shared" si="20"/>
        <v>184</v>
      </c>
      <c r="E378" s="5">
        <f t="shared" si="21"/>
        <v>0.48936170212765956</v>
      </c>
      <c r="F378" s="2">
        <v>2</v>
      </c>
      <c r="G378" s="3">
        <f t="shared" si="22"/>
        <v>16</v>
      </c>
      <c r="H378" s="2" t="s">
        <v>12</v>
      </c>
      <c r="I378" s="3"/>
    </row>
    <row r="379" spans="1:9" x14ac:dyDescent="0.25">
      <c r="A379" s="2">
        <v>377</v>
      </c>
      <c r="B379" s="2">
        <v>336</v>
      </c>
      <c r="C379" s="2">
        <v>4</v>
      </c>
      <c r="D379" s="4">
        <f t="shared" si="20"/>
        <v>37</v>
      </c>
      <c r="E379" s="5">
        <f t="shared" si="21"/>
        <v>9.8143236074270557E-2</v>
      </c>
      <c r="F379" s="2">
        <v>2</v>
      </c>
      <c r="G379" s="3">
        <f t="shared" si="22"/>
        <v>17</v>
      </c>
      <c r="H379" s="2" t="s">
        <v>12</v>
      </c>
      <c r="I379" s="3"/>
    </row>
    <row r="380" spans="1:9" x14ac:dyDescent="0.25">
      <c r="A380" s="2">
        <v>378</v>
      </c>
      <c r="B380" s="2">
        <v>108</v>
      </c>
      <c r="C380" s="2">
        <v>16</v>
      </c>
      <c r="D380" s="4">
        <f t="shared" si="20"/>
        <v>254</v>
      </c>
      <c r="E380" s="5">
        <f t="shared" si="21"/>
        <v>0.67195767195767198</v>
      </c>
      <c r="F380" s="2">
        <v>3</v>
      </c>
      <c r="G380" s="3">
        <f t="shared" si="22"/>
        <v>18</v>
      </c>
      <c r="H380" s="2" t="s">
        <v>12</v>
      </c>
      <c r="I380" s="3"/>
    </row>
    <row r="381" spans="1:9" x14ac:dyDescent="0.25">
      <c r="A381" s="2">
        <v>379</v>
      </c>
      <c r="B381" s="2">
        <v>378</v>
      </c>
      <c r="C381" s="2">
        <v>2</v>
      </c>
      <c r="D381" s="4">
        <f t="shared" si="20"/>
        <v>-1</v>
      </c>
      <c r="E381" s="5">
        <f t="shared" si="21"/>
        <v>-2.6385224274406332E-3</v>
      </c>
      <c r="F381" s="2">
        <v>1</v>
      </c>
      <c r="G381" s="3">
        <f t="shared" si="22"/>
        <v>19</v>
      </c>
      <c r="H381" s="2" t="s">
        <v>11</v>
      </c>
      <c r="I381" s="3">
        <v>-1</v>
      </c>
    </row>
    <row r="382" spans="1:9" x14ac:dyDescent="0.25">
      <c r="A382" s="2">
        <v>380</v>
      </c>
      <c r="B382" s="2">
        <v>144</v>
      </c>
      <c r="C382" s="2">
        <v>12</v>
      </c>
      <c r="D382" s="4">
        <f t="shared" si="20"/>
        <v>224</v>
      </c>
      <c r="E382" s="5">
        <f t="shared" si="21"/>
        <v>0.58947368421052626</v>
      </c>
      <c r="F382" s="2">
        <v>3</v>
      </c>
      <c r="G382" s="3">
        <f t="shared" si="22"/>
        <v>20</v>
      </c>
      <c r="H382" s="2" t="s">
        <v>12</v>
      </c>
      <c r="I382" s="3"/>
    </row>
    <row r="383" spans="1:9" x14ac:dyDescent="0.25">
      <c r="A383" s="2">
        <v>381</v>
      </c>
      <c r="B383" s="2">
        <v>252</v>
      </c>
      <c r="C383" s="2">
        <v>4</v>
      </c>
      <c r="D383" s="4">
        <f t="shared" si="20"/>
        <v>125</v>
      </c>
      <c r="E383" s="5">
        <f t="shared" si="21"/>
        <v>0.32808398950131235</v>
      </c>
      <c r="F383" s="2">
        <v>2</v>
      </c>
      <c r="G383" s="3">
        <f t="shared" si="22"/>
        <v>21</v>
      </c>
      <c r="H383" s="2" t="s">
        <v>12</v>
      </c>
      <c r="I383" s="3"/>
    </row>
    <row r="384" spans="1:9" x14ac:dyDescent="0.25">
      <c r="A384" s="2">
        <v>382</v>
      </c>
      <c r="B384" s="2">
        <v>190</v>
      </c>
      <c r="C384" s="2">
        <v>4</v>
      </c>
      <c r="D384" s="4">
        <f t="shared" si="20"/>
        <v>188</v>
      </c>
      <c r="E384" s="5">
        <f t="shared" si="21"/>
        <v>0.49214659685863876</v>
      </c>
      <c r="F384" s="2">
        <v>2</v>
      </c>
      <c r="G384" s="3">
        <f t="shared" si="22"/>
        <v>22</v>
      </c>
      <c r="H384" s="2" t="s">
        <v>12</v>
      </c>
      <c r="I384" s="3"/>
    </row>
    <row r="385" spans="1:9" x14ac:dyDescent="0.25">
      <c r="A385" s="2">
        <v>383</v>
      </c>
      <c r="B385" s="2">
        <v>382</v>
      </c>
      <c r="C385" s="2">
        <v>2</v>
      </c>
      <c r="D385" s="4">
        <f t="shared" si="20"/>
        <v>-1</v>
      </c>
      <c r="E385" s="5">
        <f t="shared" si="21"/>
        <v>-2.6109660574412533E-3</v>
      </c>
      <c r="F385" s="2">
        <v>1</v>
      </c>
      <c r="G385" s="3">
        <f t="shared" si="22"/>
        <v>23</v>
      </c>
      <c r="H385" s="2" t="s">
        <v>11</v>
      </c>
      <c r="I385" s="3">
        <v>-1</v>
      </c>
    </row>
    <row r="386" spans="1:9" x14ac:dyDescent="0.25">
      <c r="A386" s="2">
        <v>384</v>
      </c>
      <c r="B386" s="2">
        <v>128</v>
      </c>
      <c r="C386" s="2">
        <v>16</v>
      </c>
      <c r="D386" s="4">
        <f t="shared" si="20"/>
        <v>240</v>
      </c>
      <c r="E386" s="5">
        <f t="shared" si="21"/>
        <v>0.625</v>
      </c>
      <c r="F386" s="2">
        <v>2</v>
      </c>
      <c r="G386" s="3">
        <f t="shared" si="22"/>
        <v>24</v>
      </c>
      <c r="H386" s="2" t="s">
        <v>12</v>
      </c>
      <c r="I386" s="3"/>
    </row>
    <row r="387" spans="1:9" x14ac:dyDescent="0.25">
      <c r="A387" s="2">
        <v>385</v>
      </c>
      <c r="B387" s="2">
        <v>240</v>
      </c>
      <c r="C387" s="2">
        <v>8</v>
      </c>
      <c r="D387" s="4">
        <f t="shared" ref="D387:D450" si="23">A387-B387-C387</f>
        <v>137</v>
      </c>
      <c r="E387" s="5">
        <f t="shared" ref="E387:E450" si="24">D387/A387</f>
        <v>0.35584415584415585</v>
      </c>
      <c r="F387" s="2">
        <v>3</v>
      </c>
      <c r="G387" s="3">
        <f t="shared" ref="G387:G450" si="25">MOD(A387,30)</f>
        <v>25</v>
      </c>
      <c r="H387" s="2" t="s">
        <v>12</v>
      </c>
      <c r="I387" s="3"/>
    </row>
    <row r="388" spans="1:9" x14ac:dyDescent="0.25">
      <c r="A388" s="2">
        <v>386</v>
      </c>
      <c r="B388" s="2">
        <v>192</v>
      </c>
      <c r="C388" s="2">
        <v>4</v>
      </c>
      <c r="D388" s="4">
        <f t="shared" si="23"/>
        <v>190</v>
      </c>
      <c r="E388" s="5">
        <f t="shared" si="24"/>
        <v>0.49222797927461137</v>
      </c>
      <c r="F388" s="2">
        <v>2</v>
      </c>
      <c r="G388" s="3">
        <f t="shared" si="25"/>
        <v>26</v>
      </c>
      <c r="H388" s="2" t="s">
        <v>12</v>
      </c>
      <c r="I388" s="3"/>
    </row>
    <row r="389" spans="1:9" x14ac:dyDescent="0.25">
      <c r="A389" s="2">
        <v>387</v>
      </c>
      <c r="B389" s="2">
        <v>252</v>
      </c>
      <c r="C389" s="2">
        <v>6</v>
      </c>
      <c r="D389" s="4">
        <f t="shared" si="23"/>
        <v>129</v>
      </c>
      <c r="E389" s="5">
        <f t="shared" si="24"/>
        <v>0.33333333333333331</v>
      </c>
      <c r="F389" s="2">
        <v>2</v>
      </c>
      <c r="G389" s="3">
        <f t="shared" si="25"/>
        <v>27</v>
      </c>
      <c r="H389" s="2" t="s">
        <v>12</v>
      </c>
      <c r="I389" s="3"/>
    </row>
    <row r="390" spans="1:9" x14ac:dyDescent="0.25">
      <c r="A390" s="2">
        <v>388</v>
      </c>
      <c r="B390" s="2">
        <v>192</v>
      </c>
      <c r="C390" s="2">
        <v>6</v>
      </c>
      <c r="D390" s="4">
        <f t="shared" si="23"/>
        <v>190</v>
      </c>
      <c r="E390" s="5">
        <f t="shared" si="24"/>
        <v>0.48969072164948452</v>
      </c>
      <c r="F390" s="2">
        <v>2</v>
      </c>
      <c r="G390" s="3">
        <f t="shared" si="25"/>
        <v>28</v>
      </c>
      <c r="H390" s="2" t="s">
        <v>12</v>
      </c>
      <c r="I390" s="3"/>
    </row>
    <row r="391" spans="1:9" x14ac:dyDescent="0.25">
      <c r="A391" s="2">
        <v>389</v>
      </c>
      <c r="B391" s="2">
        <v>388</v>
      </c>
      <c r="C391" s="2">
        <v>2</v>
      </c>
      <c r="D391" s="4">
        <f t="shared" si="23"/>
        <v>-1</v>
      </c>
      <c r="E391" s="5">
        <f t="shared" si="24"/>
        <v>-2.5706940874035988E-3</v>
      </c>
      <c r="F391" s="2">
        <v>1</v>
      </c>
      <c r="G391" s="3">
        <f t="shared" si="25"/>
        <v>29</v>
      </c>
      <c r="H391" s="2" t="s">
        <v>11</v>
      </c>
      <c r="I391" s="3">
        <v>-1</v>
      </c>
    </row>
    <row r="392" spans="1:9" x14ac:dyDescent="0.25">
      <c r="A392" s="2">
        <v>390</v>
      </c>
      <c r="B392" s="2">
        <v>96</v>
      </c>
      <c r="C392" s="2">
        <v>16</v>
      </c>
      <c r="D392" s="4">
        <f t="shared" si="23"/>
        <v>278</v>
      </c>
      <c r="E392" s="5">
        <f t="shared" si="24"/>
        <v>0.71282051282051284</v>
      </c>
      <c r="F392" s="2">
        <v>4</v>
      </c>
      <c r="G392" s="3">
        <f t="shared" si="25"/>
        <v>0</v>
      </c>
      <c r="H392" s="2" t="s">
        <v>12</v>
      </c>
      <c r="I392" s="3"/>
    </row>
    <row r="393" spans="1:9" x14ac:dyDescent="0.25">
      <c r="A393" s="2">
        <v>391</v>
      </c>
      <c r="B393" s="2">
        <v>352</v>
      </c>
      <c r="C393" s="2">
        <v>4</v>
      </c>
      <c r="D393" s="4">
        <f t="shared" si="23"/>
        <v>35</v>
      </c>
      <c r="E393" s="5">
        <f t="shared" si="24"/>
        <v>8.9514066496163683E-2</v>
      </c>
      <c r="F393" s="2">
        <v>2</v>
      </c>
      <c r="G393" s="3">
        <f t="shared" si="25"/>
        <v>1</v>
      </c>
      <c r="H393" s="2" t="s">
        <v>12</v>
      </c>
      <c r="I393" s="3"/>
    </row>
    <row r="394" spans="1:9" x14ac:dyDescent="0.25">
      <c r="A394" s="2">
        <v>392</v>
      </c>
      <c r="B394" s="2">
        <v>168</v>
      </c>
      <c r="C394" s="2">
        <v>12</v>
      </c>
      <c r="D394" s="4">
        <f t="shared" si="23"/>
        <v>212</v>
      </c>
      <c r="E394" s="5">
        <f t="shared" si="24"/>
        <v>0.54081632653061229</v>
      </c>
      <c r="F394" s="2">
        <v>2</v>
      </c>
      <c r="G394" s="3">
        <f t="shared" si="25"/>
        <v>2</v>
      </c>
      <c r="H394" s="2" t="s">
        <v>12</v>
      </c>
      <c r="I394" s="3"/>
    </row>
    <row r="395" spans="1:9" x14ac:dyDescent="0.25">
      <c r="A395" s="2">
        <v>393</v>
      </c>
      <c r="B395" s="2">
        <v>260</v>
      </c>
      <c r="C395" s="2">
        <v>4</v>
      </c>
      <c r="D395" s="4">
        <f t="shared" si="23"/>
        <v>129</v>
      </c>
      <c r="E395" s="5">
        <f t="shared" si="24"/>
        <v>0.3282442748091603</v>
      </c>
      <c r="F395" s="2">
        <v>2</v>
      </c>
      <c r="G395" s="3">
        <f t="shared" si="25"/>
        <v>3</v>
      </c>
      <c r="H395" s="2" t="s">
        <v>12</v>
      </c>
      <c r="I395" s="3"/>
    </row>
    <row r="396" spans="1:9" x14ac:dyDescent="0.25">
      <c r="A396" s="2">
        <v>394</v>
      </c>
      <c r="B396" s="2">
        <v>196</v>
      </c>
      <c r="C396" s="2">
        <v>4</v>
      </c>
      <c r="D396" s="4">
        <f t="shared" si="23"/>
        <v>194</v>
      </c>
      <c r="E396" s="5">
        <f t="shared" si="24"/>
        <v>0.49238578680203043</v>
      </c>
      <c r="F396" s="2">
        <v>2</v>
      </c>
      <c r="G396" s="3">
        <f t="shared" si="25"/>
        <v>4</v>
      </c>
      <c r="H396" s="2" t="s">
        <v>12</v>
      </c>
      <c r="I396" s="3"/>
    </row>
    <row r="397" spans="1:9" x14ac:dyDescent="0.25">
      <c r="A397" s="2">
        <v>395</v>
      </c>
      <c r="B397" s="2">
        <v>312</v>
      </c>
      <c r="C397" s="2">
        <v>4</v>
      </c>
      <c r="D397" s="4">
        <f t="shared" si="23"/>
        <v>79</v>
      </c>
      <c r="E397" s="5">
        <f t="shared" si="24"/>
        <v>0.2</v>
      </c>
      <c r="F397" s="2">
        <v>2</v>
      </c>
      <c r="G397" s="3">
        <f t="shared" si="25"/>
        <v>5</v>
      </c>
      <c r="H397" s="2" t="s">
        <v>12</v>
      </c>
      <c r="I397" s="3"/>
    </row>
    <row r="398" spans="1:9" x14ac:dyDescent="0.25">
      <c r="A398" s="2">
        <v>396</v>
      </c>
      <c r="B398" s="2">
        <v>120</v>
      </c>
      <c r="C398" s="2">
        <v>18</v>
      </c>
      <c r="D398" s="4">
        <f t="shared" si="23"/>
        <v>258</v>
      </c>
      <c r="E398" s="5">
        <f t="shared" si="24"/>
        <v>0.65151515151515149</v>
      </c>
      <c r="F398" s="2">
        <v>3</v>
      </c>
      <c r="G398" s="3">
        <f t="shared" si="25"/>
        <v>6</v>
      </c>
      <c r="H398" s="2" t="s">
        <v>12</v>
      </c>
      <c r="I398" s="3"/>
    </row>
    <row r="399" spans="1:9" x14ac:dyDescent="0.25">
      <c r="A399" s="2">
        <v>397</v>
      </c>
      <c r="B399" s="2">
        <v>396</v>
      </c>
      <c r="C399" s="2">
        <v>2</v>
      </c>
      <c r="D399" s="4">
        <f t="shared" si="23"/>
        <v>-1</v>
      </c>
      <c r="E399" s="5">
        <f t="shared" si="24"/>
        <v>-2.5188916876574307E-3</v>
      </c>
      <c r="F399" s="2">
        <v>1</v>
      </c>
      <c r="G399" s="3">
        <f t="shared" si="25"/>
        <v>7</v>
      </c>
      <c r="H399" s="2" t="s">
        <v>11</v>
      </c>
      <c r="I399" s="3">
        <v>-1</v>
      </c>
    </row>
    <row r="400" spans="1:9" x14ac:dyDescent="0.25">
      <c r="A400" s="2">
        <v>398</v>
      </c>
      <c r="B400" s="2">
        <v>198</v>
      </c>
      <c r="C400" s="2">
        <v>4</v>
      </c>
      <c r="D400" s="4">
        <f t="shared" si="23"/>
        <v>196</v>
      </c>
      <c r="E400" s="5">
        <f t="shared" si="24"/>
        <v>0.49246231155778897</v>
      </c>
      <c r="F400" s="2">
        <v>2</v>
      </c>
      <c r="G400" s="3">
        <f t="shared" si="25"/>
        <v>8</v>
      </c>
      <c r="H400" s="2" t="s">
        <v>12</v>
      </c>
      <c r="I400" s="3"/>
    </row>
    <row r="401" spans="1:9" x14ac:dyDescent="0.25">
      <c r="A401" s="2">
        <v>399</v>
      </c>
      <c r="B401" s="2">
        <v>216</v>
      </c>
      <c r="C401" s="2">
        <v>8</v>
      </c>
      <c r="D401" s="4">
        <f t="shared" si="23"/>
        <v>175</v>
      </c>
      <c r="E401" s="5">
        <f t="shared" si="24"/>
        <v>0.43859649122807015</v>
      </c>
      <c r="F401" s="2">
        <v>3</v>
      </c>
      <c r="G401" s="3">
        <f t="shared" si="25"/>
        <v>9</v>
      </c>
      <c r="H401" s="2" t="s">
        <v>12</v>
      </c>
      <c r="I401" s="3"/>
    </row>
    <row r="402" spans="1:9" x14ac:dyDescent="0.25">
      <c r="A402" s="2">
        <v>400</v>
      </c>
      <c r="B402" s="2">
        <v>160</v>
      </c>
      <c r="C402" s="2">
        <v>15</v>
      </c>
      <c r="D402" s="4">
        <f t="shared" si="23"/>
        <v>225</v>
      </c>
      <c r="E402" s="5">
        <f t="shared" si="24"/>
        <v>0.5625</v>
      </c>
      <c r="F402" s="2">
        <v>2</v>
      </c>
      <c r="G402" s="3">
        <f t="shared" si="25"/>
        <v>10</v>
      </c>
      <c r="H402" s="2" t="s">
        <v>12</v>
      </c>
      <c r="I402" s="3"/>
    </row>
    <row r="403" spans="1:9" x14ac:dyDescent="0.25">
      <c r="A403" s="2">
        <v>401</v>
      </c>
      <c r="B403" s="2">
        <v>400</v>
      </c>
      <c r="C403" s="2">
        <v>2</v>
      </c>
      <c r="D403" s="4">
        <f t="shared" si="23"/>
        <v>-1</v>
      </c>
      <c r="E403" s="5">
        <f t="shared" si="24"/>
        <v>-2.4937655860349127E-3</v>
      </c>
      <c r="F403" s="2">
        <v>1</v>
      </c>
      <c r="G403" s="3">
        <f t="shared" si="25"/>
        <v>11</v>
      </c>
      <c r="H403" s="2" t="s">
        <v>11</v>
      </c>
      <c r="I403" s="3">
        <v>-1</v>
      </c>
    </row>
    <row r="404" spans="1:9" x14ac:dyDescent="0.25">
      <c r="A404" s="2">
        <v>402</v>
      </c>
      <c r="B404" s="2">
        <v>132</v>
      </c>
      <c r="C404" s="2">
        <v>8</v>
      </c>
      <c r="D404" s="4">
        <f t="shared" si="23"/>
        <v>262</v>
      </c>
      <c r="E404" s="5">
        <f t="shared" si="24"/>
        <v>0.65174129353233834</v>
      </c>
      <c r="F404" s="2">
        <v>3</v>
      </c>
      <c r="G404" s="3">
        <f t="shared" si="25"/>
        <v>12</v>
      </c>
      <c r="H404" s="2" t="s">
        <v>12</v>
      </c>
      <c r="I404" s="3"/>
    </row>
    <row r="405" spans="1:9" x14ac:dyDescent="0.25">
      <c r="A405" s="2">
        <v>403</v>
      </c>
      <c r="B405" s="2">
        <v>360</v>
      </c>
      <c r="C405" s="2">
        <v>4</v>
      </c>
      <c r="D405" s="4">
        <f t="shared" si="23"/>
        <v>39</v>
      </c>
      <c r="E405" s="5">
        <f t="shared" si="24"/>
        <v>9.6774193548387094E-2</v>
      </c>
      <c r="F405" s="2">
        <v>2</v>
      </c>
      <c r="G405" s="3">
        <f t="shared" si="25"/>
        <v>13</v>
      </c>
      <c r="H405" s="2" t="s">
        <v>12</v>
      </c>
      <c r="I405" s="3"/>
    </row>
    <row r="406" spans="1:9" x14ac:dyDescent="0.25">
      <c r="A406" s="2">
        <v>404</v>
      </c>
      <c r="B406" s="2">
        <v>200</v>
      </c>
      <c r="C406" s="2">
        <v>6</v>
      </c>
      <c r="D406" s="4">
        <f t="shared" si="23"/>
        <v>198</v>
      </c>
      <c r="E406" s="5">
        <f t="shared" si="24"/>
        <v>0.49009900990099009</v>
      </c>
      <c r="F406" s="2">
        <v>2</v>
      </c>
      <c r="G406" s="3">
        <f t="shared" si="25"/>
        <v>14</v>
      </c>
      <c r="H406" s="2" t="s">
        <v>12</v>
      </c>
      <c r="I406" s="3"/>
    </row>
    <row r="407" spans="1:9" x14ac:dyDescent="0.25">
      <c r="A407" s="2">
        <v>405</v>
      </c>
      <c r="B407" s="2">
        <v>216</v>
      </c>
      <c r="C407" s="2">
        <v>10</v>
      </c>
      <c r="D407" s="4">
        <f t="shared" si="23"/>
        <v>179</v>
      </c>
      <c r="E407" s="5">
        <f t="shared" si="24"/>
        <v>0.44197530864197532</v>
      </c>
      <c r="F407" s="2">
        <v>2</v>
      </c>
      <c r="G407" s="3">
        <f t="shared" si="25"/>
        <v>15</v>
      </c>
      <c r="H407" s="2" t="s">
        <v>12</v>
      </c>
      <c r="I407" s="3"/>
    </row>
    <row r="408" spans="1:9" x14ac:dyDescent="0.25">
      <c r="A408" s="2">
        <v>406</v>
      </c>
      <c r="B408" s="2">
        <v>168</v>
      </c>
      <c r="C408" s="2">
        <v>8</v>
      </c>
      <c r="D408" s="4">
        <f t="shared" si="23"/>
        <v>230</v>
      </c>
      <c r="E408" s="5">
        <f t="shared" si="24"/>
        <v>0.56650246305418717</v>
      </c>
      <c r="F408" s="2">
        <v>3</v>
      </c>
      <c r="G408" s="3">
        <f t="shared" si="25"/>
        <v>16</v>
      </c>
      <c r="H408" s="2" t="s">
        <v>12</v>
      </c>
      <c r="I408" s="3"/>
    </row>
    <row r="409" spans="1:9" x14ac:dyDescent="0.25">
      <c r="A409" s="2">
        <v>407</v>
      </c>
      <c r="B409" s="2">
        <v>360</v>
      </c>
      <c r="C409" s="2">
        <v>4</v>
      </c>
      <c r="D409" s="4">
        <f t="shared" si="23"/>
        <v>43</v>
      </c>
      <c r="E409" s="5">
        <f t="shared" si="24"/>
        <v>0.10565110565110565</v>
      </c>
      <c r="F409" s="2">
        <v>2</v>
      </c>
      <c r="G409" s="3">
        <f t="shared" si="25"/>
        <v>17</v>
      </c>
      <c r="H409" s="2" t="s">
        <v>12</v>
      </c>
      <c r="I409" s="3"/>
    </row>
    <row r="410" spans="1:9" x14ac:dyDescent="0.25">
      <c r="A410" s="2">
        <v>408</v>
      </c>
      <c r="B410" s="2">
        <v>128</v>
      </c>
      <c r="C410" s="2">
        <v>16</v>
      </c>
      <c r="D410" s="4">
        <f t="shared" si="23"/>
        <v>264</v>
      </c>
      <c r="E410" s="5">
        <f t="shared" si="24"/>
        <v>0.6470588235294118</v>
      </c>
      <c r="F410" s="2">
        <v>3</v>
      </c>
      <c r="G410" s="3">
        <f t="shared" si="25"/>
        <v>18</v>
      </c>
      <c r="H410" s="2" t="s">
        <v>12</v>
      </c>
      <c r="I410" s="3"/>
    </row>
    <row r="411" spans="1:9" x14ac:dyDescent="0.25">
      <c r="A411" s="2">
        <v>409</v>
      </c>
      <c r="B411" s="2">
        <v>408</v>
      </c>
      <c r="C411" s="2">
        <v>2</v>
      </c>
      <c r="D411" s="4">
        <f t="shared" si="23"/>
        <v>-1</v>
      </c>
      <c r="E411" s="5">
        <f t="shared" si="24"/>
        <v>-2.4449877750611247E-3</v>
      </c>
      <c r="F411" s="2">
        <v>1</v>
      </c>
      <c r="G411" s="3">
        <f t="shared" si="25"/>
        <v>19</v>
      </c>
      <c r="H411" s="2" t="s">
        <v>11</v>
      </c>
      <c r="I411" s="3">
        <v>-1</v>
      </c>
    </row>
    <row r="412" spans="1:9" x14ac:dyDescent="0.25">
      <c r="A412" s="2">
        <v>410</v>
      </c>
      <c r="B412" s="2">
        <v>160</v>
      </c>
      <c r="C412" s="2">
        <v>8</v>
      </c>
      <c r="D412" s="4">
        <f t="shared" si="23"/>
        <v>242</v>
      </c>
      <c r="E412" s="5">
        <f t="shared" si="24"/>
        <v>0.59024390243902436</v>
      </c>
      <c r="F412" s="2">
        <v>3</v>
      </c>
      <c r="G412" s="3">
        <f t="shared" si="25"/>
        <v>20</v>
      </c>
      <c r="H412" s="2" t="s">
        <v>12</v>
      </c>
      <c r="I412" s="3"/>
    </row>
    <row r="413" spans="1:9" x14ac:dyDescent="0.25">
      <c r="A413" s="2">
        <v>411</v>
      </c>
      <c r="B413" s="2">
        <v>272</v>
      </c>
      <c r="C413" s="2">
        <v>4</v>
      </c>
      <c r="D413" s="4">
        <f t="shared" si="23"/>
        <v>135</v>
      </c>
      <c r="E413" s="5">
        <f t="shared" si="24"/>
        <v>0.32846715328467152</v>
      </c>
      <c r="F413" s="2">
        <v>2</v>
      </c>
      <c r="G413" s="3">
        <f t="shared" si="25"/>
        <v>21</v>
      </c>
      <c r="H413" s="2" t="s">
        <v>12</v>
      </c>
      <c r="I413" s="3"/>
    </row>
    <row r="414" spans="1:9" x14ac:dyDescent="0.25">
      <c r="A414" s="2">
        <v>412</v>
      </c>
      <c r="B414" s="2">
        <v>204</v>
      </c>
      <c r="C414" s="2">
        <v>6</v>
      </c>
      <c r="D414" s="4">
        <f t="shared" si="23"/>
        <v>202</v>
      </c>
      <c r="E414" s="5">
        <f t="shared" si="24"/>
        <v>0.49029126213592233</v>
      </c>
      <c r="F414" s="2">
        <v>2</v>
      </c>
      <c r="G414" s="3">
        <f t="shared" si="25"/>
        <v>22</v>
      </c>
      <c r="H414" s="2" t="s">
        <v>12</v>
      </c>
      <c r="I414" s="3"/>
    </row>
    <row r="415" spans="1:9" x14ac:dyDescent="0.25">
      <c r="A415" s="2">
        <v>413</v>
      </c>
      <c r="B415" s="2">
        <v>348</v>
      </c>
      <c r="C415" s="2">
        <v>4</v>
      </c>
      <c r="D415" s="4">
        <f t="shared" si="23"/>
        <v>61</v>
      </c>
      <c r="E415" s="5">
        <f t="shared" si="24"/>
        <v>0.14769975786924938</v>
      </c>
      <c r="F415" s="2">
        <v>2</v>
      </c>
      <c r="G415" s="3">
        <f t="shared" si="25"/>
        <v>23</v>
      </c>
      <c r="H415" s="2" t="s">
        <v>12</v>
      </c>
      <c r="I415" s="3"/>
    </row>
    <row r="416" spans="1:9" x14ac:dyDescent="0.25">
      <c r="A416" s="2">
        <v>414</v>
      </c>
      <c r="B416" s="2">
        <v>132</v>
      </c>
      <c r="C416" s="2">
        <v>12</v>
      </c>
      <c r="D416" s="4">
        <f t="shared" si="23"/>
        <v>270</v>
      </c>
      <c r="E416" s="5">
        <f t="shared" si="24"/>
        <v>0.65217391304347827</v>
      </c>
      <c r="F416" s="2">
        <v>3</v>
      </c>
      <c r="G416" s="3">
        <f t="shared" si="25"/>
        <v>24</v>
      </c>
      <c r="H416" s="2" t="s">
        <v>12</v>
      </c>
      <c r="I416" s="3"/>
    </row>
    <row r="417" spans="1:9" x14ac:dyDescent="0.25">
      <c r="A417" s="2">
        <v>415</v>
      </c>
      <c r="B417" s="2">
        <v>328</v>
      </c>
      <c r="C417" s="2">
        <v>4</v>
      </c>
      <c r="D417" s="4">
        <f t="shared" si="23"/>
        <v>83</v>
      </c>
      <c r="E417" s="5">
        <f t="shared" si="24"/>
        <v>0.2</v>
      </c>
      <c r="F417" s="2">
        <v>2</v>
      </c>
      <c r="G417" s="3">
        <f t="shared" si="25"/>
        <v>25</v>
      </c>
      <c r="H417" s="2" t="s">
        <v>12</v>
      </c>
      <c r="I417" s="3"/>
    </row>
    <row r="418" spans="1:9" x14ac:dyDescent="0.25">
      <c r="A418" s="2">
        <v>416</v>
      </c>
      <c r="B418" s="2">
        <v>192</v>
      </c>
      <c r="C418" s="2">
        <v>12</v>
      </c>
      <c r="D418" s="4">
        <f t="shared" si="23"/>
        <v>212</v>
      </c>
      <c r="E418" s="5">
        <f t="shared" si="24"/>
        <v>0.50961538461538458</v>
      </c>
      <c r="F418" s="2">
        <v>2</v>
      </c>
      <c r="G418" s="3">
        <f t="shared" si="25"/>
        <v>26</v>
      </c>
      <c r="H418" s="2" t="s">
        <v>12</v>
      </c>
      <c r="I418" s="3"/>
    </row>
    <row r="419" spans="1:9" x14ac:dyDescent="0.25">
      <c r="A419" s="2">
        <v>417</v>
      </c>
      <c r="B419" s="2">
        <v>276</v>
      </c>
      <c r="C419" s="2">
        <v>4</v>
      </c>
      <c r="D419" s="4">
        <f t="shared" si="23"/>
        <v>137</v>
      </c>
      <c r="E419" s="5">
        <f t="shared" si="24"/>
        <v>0.32853717026378898</v>
      </c>
      <c r="F419" s="2">
        <v>2</v>
      </c>
      <c r="G419" s="3">
        <f t="shared" si="25"/>
        <v>27</v>
      </c>
      <c r="H419" s="2" t="s">
        <v>12</v>
      </c>
      <c r="I419" s="3"/>
    </row>
    <row r="420" spans="1:9" x14ac:dyDescent="0.25">
      <c r="A420" s="2">
        <v>418</v>
      </c>
      <c r="B420" s="2">
        <v>180</v>
      </c>
      <c r="C420" s="2">
        <v>8</v>
      </c>
      <c r="D420" s="4">
        <f t="shared" si="23"/>
        <v>230</v>
      </c>
      <c r="E420" s="5">
        <f t="shared" si="24"/>
        <v>0.55023923444976075</v>
      </c>
      <c r="F420" s="2">
        <v>3</v>
      </c>
      <c r="G420" s="3">
        <f t="shared" si="25"/>
        <v>28</v>
      </c>
      <c r="H420" s="2" t="s">
        <v>12</v>
      </c>
      <c r="I420" s="3"/>
    </row>
    <row r="421" spans="1:9" x14ac:dyDescent="0.25">
      <c r="A421" s="2">
        <v>419</v>
      </c>
      <c r="B421" s="2">
        <v>418</v>
      </c>
      <c r="C421" s="2">
        <v>2</v>
      </c>
      <c r="D421" s="4">
        <f t="shared" si="23"/>
        <v>-1</v>
      </c>
      <c r="E421" s="5">
        <f t="shared" si="24"/>
        <v>-2.3866348448687352E-3</v>
      </c>
      <c r="F421" s="2">
        <v>1</v>
      </c>
      <c r="G421" s="3">
        <f t="shared" si="25"/>
        <v>29</v>
      </c>
      <c r="H421" s="2" t="s">
        <v>11</v>
      </c>
      <c r="I421" s="3">
        <v>-1</v>
      </c>
    </row>
    <row r="422" spans="1:9" x14ac:dyDescent="0.25">
      <c r="A422" s="2">
        <v>420</v>
      </c>
      <c r="B422" s="2">
        <v>96</v>
      </c>
      <c r="C422" s="2">
        <v>24</v>
      </c>
      <c r="D422" s="4">
        <f t="shared" si="23"/>
        <v>300</v>
      </c>
      <c r="E422" s="5">
        <f t="shared" si="24"/>
        <v>0.7142857142857143</v>
      </c>
      <c r="F422" s="2">
        <v>4</v>
      </c>
      <c r="G422" s="3">
        <f t="shared" si="25"/>
        <v>0</v>
      </c>
      <c r="H422" s="2" t="s">
        <v>12</v>
      </c>
      <c r="I422" s="3"/>
    </row>
    <row r="423" spans="1:9" x14ac:dyDescent="0.25">
      <c r="A423" s="2">
        <v>421</v>
      </c>
      <c r="B423" s="2">
        <v>420</v>
      </c>
      <c r="C423" s="2">
        <v>2</v>
      </c>
      <c r="D423" s="4">
        <f t="shared" si="23"/>
        <v>-1</v>
      </c>
      <c r="E423" s="5">
        <f t="shared" si="24"/>
        <v>-2.3752969121140144E-3</v>
      </c>
      <c r="F423" s="2">
        <v>1</v>
      </c>
      <c r="G423" s="3">
        <f t="shared" si="25"/>
        <v>1</v>
      </c>
      <c r="H423" s="2" t="s">
        <v>11</v>
      </c>
      <c r="I423" s="3">
        <v>-1</v>
      </c>
    </row>
    <row r="424" spans="1:9" x14ac:dyDescent="0.25">
      <c r="A424" s="2">
        <v>422</v>
      </c>
      <c r="B424" s="2">
        <v>210</v>
      </c>
      <c r="C424" s="2">
        <v>4</v>
      </c>
      <c r="D424" s="4">
        <f t="shared" si="23"/>
        <v>208</v>
      </c>
      <c r="E424" s="5">
        <f t="shared" si="24"/>
        <v>0.49289099526066349</v>
      </c>
      <c r="F424" s="2">
        <v>2</v>
      </c>
      <c r="G424" s="3">
        <f t="shared" si="25"/>
        <v>2</v>
      </c>
      <c r="H424" s="2" t="s">
        <v>12</v>
      </c>
      <c r="I424" s="3"/>
    </row>
    <row r="425" spans="1:9" x14ac:dyDescent="0.25">
      <c r="A425" s="2">
        <v>423</v>
      </c>
      <c r="B425" s="2">
        <v>276</v>
      </c>
      <c r="C425" s="2">
        <v>6</v>
      </c>
      <c r="D425" s="4">
        <f t="shared" si="23"/>
        <v>141</v>
      </c>
      <c r="E425" s="5">
        <f t="shared" si="24"/>
        <v>0.33333333333333331</v>
      </c>
      <c r="F425" s="2">
        <v>2</v>
      </c>
      <c r="G425" s="3">
        <f t="shared" si="25"/>
        <v>3</v>
      </c>
      <c r="H425" s="2" t="s">
        <v>12</v>
      </c>
      <c r="I425" s="3"/>
    </row>
    <row r="426" spans="1:9" x14ac:dyDescent="0.25">
      <c r="A426" s="2">
        <v>424</v>
      </c>
      <c r="B426" s="2">
        <v>208</v>
      </c>
      <c r="C426" s="2">
        <v>8</v>
      </c>
      <c r="D426" s="4">
        <f t="shared" si="23"/>
        <v>208</v>
      </c>
      <c r="E426" s="5">
        <f t="shared" si="24"/>
        <v>0.49056603773584906</v>
      </c>
      <c r="F426" s="2">
        <v>2</v>
      </c>
      <c r="G426" s="3">
        <f t="shared" si="25"/>
        <v>4</v>
      </c>
      <c r="H426" s="2" t="s">
        <v>12</v>
      </c>
      <c r="I426" s="3"/>
    </row>
    <row r="427" spans="1:9" x14ac:dyDescent="0.25">
      <c r="A427" s="2">
        <v>425</v>
      </c>
      <c r="B427" s="2">
        <v>320</v>
      </c>
      <c r="C427" s="2">
        <v>6</v>
      </c>
      <c r="D427" s="4">
        <f t="shared" si="23"/>
        <v>99</v>
      </c>
      <c r="E427" s="5">
        <f t="shared" si="24"/>
        <v>0.23294117647058823</v>
      </c>
      <c r="F427" s="2">
        <v>2</v>
      </c>
      <c r="G427" s="3">
        <f t="shared" si="25"/>
        <v>5</v>
      </c>
      <c r="H427" s="2" t="s">
        <v>12</v>
      </c>
      <c r="I427" s="3"/>
    </row>
    <row r="428" spans="1:9" x14ac:dyDescent="0.25">
      <c r="A428" s="2">
        <v>426</v>
      </c>
      <c r="B428" s="2">
        <v>140</v>
      </c>
      <c r="C428" s="2">
        <v>8</v>
      </c>
      <c r="D428" s="4">
        <f t="shared" si="23"/>
        <v>278</v>
      </c>
      <c r="E428" s="5">
        <f t="shared" si="24"/>
        <v>0.65258215962441313</v>
      </c>
      <c r="F428" s="2">
        <v>3</v>
      </c>
      <c r="G428" s="3">
        <f t="shared" si="25"/>
        <v>6</v>
      </c>
      <c r="H428" s="2" t="s">
        <v>12</v>
      </c>
      <c r="I428" s="3"/>
    </row>
    <row r="429" spans="1:9" x14ac:dyDescent="0.25">
      <c r="A429" s="2">
        <v>427</v>
      </c>
      <c r="B429" s="2">
        <v>360</v>
      </c>
      <c r="C429" s="2">
        <v>4</v>
      </c>
      <c r="D429" s="4">
        <f t="shared" si="23"/>
        <v>63</v>
      </c>
      <c r="E429" s="5">
        <f t="shared" si="24"/>
        <v>0.14754098360655737</v>
      </c>
      <c r="F429" s="2">
        <v>2</v>
      </c>
      <c r="G429" s="3">
        <f t="shared" si="25"/>
        <v>7</v>
      </c>
      <c r="H429" s="2" t="s">
        <v>12</v>
      </c>
      <c r="I429" s="3"/>
    </row>
    <row r="430" spans="1:9" x14ac:dyDescent="0.25">
      <c r="A430" s="2">
        <v>428</v>
      </c>
      <c r="B430" s="2">
        <v>212</v>
      </c>
      <c r="C430" s="2">
        <v>6</v>
      </c>
      <c r="D430" s="4">
        <f t="shared" si="23"/>
        <v>210</v>
      </c>
      <c r="E430" s="5">
        <f t="shared" si="24"/>
        <v>0.49065420560747663</v>
      </c>
      <c r="F430" s="2">
        <v>2</v>
      </c>
      <c r="G430" s="3">
        <f t="shared" si="25"/>
        <v>8</v>
      </c>
      <c r="H430" s="2" t="s">
        <v>12</v>
      </c>
      <c r="I430" s="3"/>
    </row>
    <row r="431" spans="1:9" x14ac:dyDescent="0.25">
      <c r="A431" s="2">
        <v>429</v>
      </c>
      <c r="B431" s="2">
        <v>240</v>
      </c>
      <c r="C431" s="2">
        <v>8</v>
      </c>
      <c r="D431" s="4">
        <f t="shared" si="23"/>
        <v>181</v>
      </c>
      <c r="E431" s="5">
        <f t="shared" si="24"/>
        <v>0.42191142191142189</v>
      </c>
      <c r="F431" s="2">
        <v>3</v>
      </c>
      <c r="G431" s="3">
        <f t="shared" si="25"/>
        <v>9</v>
      </c>
      <c r="H431" s="2" t="s">
        <v>12</v>
      </c>
      <c r="I431" s="3"/>
    </row>
    <row r="432" spans="1:9" x14ac:dyDescent="0.25">
      <c r="A432" s="2">
        <v>430</v>
      </c>
      <c r="B432" s="2">
        <v>168</v>
      </c>
      <c r="C432" s="2">
        <v>8</v>
      </c>
      <c r="D432" s="4">
        <f t="shared" si="23"/>
        <v>254</v>
      </c>
      <c r="E432" s="5">
        <f t="shared" si="24"/>
        <v>0.59069767441860466</v>
      </c>
      <c r="F432" s="2">
        <v>3</v>
      </c>
      <c r="G432" s="3">
        <f t="shared" si="25"/>
        <v>10</v>
      </c>
      <c r="H432" s="2" t="s">
        <v>12</v>
      </c>
      <c r="I432" s="3"/>
    </row>
    <row r="433" spans="1:9" x14ac:dyDescent="0.25">
      <c r="A433" s="2">
        <v>431</v>
      </c>
      <c r="B433" s="2">
        <v>430</v>
      </c>
      <c r="C433" s="2">
        <v>2</v>
      </c>
      <c r="D433" s="4">
        <f t="shared" si="23"/>
        <v>-1</v>
      </c>
      <c r="E433" s="5">
        <f t="shared" si="24"/>
        <v>-2.3201856148491878E-3</v>
      </c>
      <c r="F433" s="2">
        <v>1</v>
      </c>
      <c r="G433" s="3">
        <f t="shared" si="25"/>
        <v>11</v>
      </c>
      <c r="H433" s="2" t="s">
        <v>11</v>
      </c>
      <c r="I433" s="3">
        <v>-1</v>
      </c>
    </row>
    <row r="434" spans="1:9" x14ac:dyDescent="0.25">
      <c r="A434" s="2">
        <v>432</v>
      </c>
      <c r="B434" s="2">
        <v>144</v>
      </c>
      <c r="C434" s="2">
        <v>20</v>
      </c>
      <c r="D434" s="4">
        <f t="shared" si="23"/>
        <v>268</v>
      </c>
      <c r="E434" s="5">
        <f t="shared" si="24"/>
        <v>0.62037037037037035</v>
      </c>
      <c r="F434" s="2">
        <v>2</v>
      </c>
      <c r="G434" s="3">
        <f t="shared" si="25"/>
        <v>12</v>
      </c>
      <c r="H434" s="2" t="s">
        <v>12</v>
      </c>
      <c r="I434" s="3"/>
    </row>
    <row r="435" spans="1:9" x14ac:dyDescent="0.25">
      <c r="A435" s="2">
        <v>433</v>
      </c>
      <c r="B435" s="2">
        <v>432</v>
      </c>
      <c r="C435" s="2">
        <v>2</v>
      </c>
      <c r="D435" s="4">
        <f t="shared" si="23"/>
        <v>-1</v>
      </c>
      <c r="E435" s="5">
        <f t="shared" si="24"/>
        <v>-2.3094688221709007E-3</v>
      </c>
      <c r="F435" s="2">
        <v>1</v>
      </c>
      <c r="G435" s="3">
        <f t="shared" si="25"/>
        <v>13</v>
      </c>
      <c r="H435" s="2" t="s">
        <v>11</v>
      </c>
      <c r="I435" s="3">
        <v>-1</v>
      </c>
    </row>
    <row r="436" spans="1:9" x14ac:dyDescent="0.25">
      <c r="A436" s="2">
        <v>434</v>
      </c>
      <c r="B436" s="2">
        <v>180</v>
      </c>
      <c r="C436" s="2">
        <v>8</v>
      </c>
      <c r="D436" s="4">
        <f t="shared" si="23"/>
        <v>246</v>
      </c>
      <c r="E436" s="5">
        <f t="shared" si="24"/>
        <v>0.56682027649769584</v>
      </c>
      <c r="F436" s="2">
        <v>3</v>
      </c>
      <c r="G436" s="3">
        <f t="shared" si="25"/>
        <v>14</v>
      </c>
      <c r="H436" s="2" t="s">
        <v>12</v>
      </c>
      <c r="I436" s="3"/>
    </row>
    <row r="437" spans="1:9" x14ac:dyDescent="0.25">
      <c r="A437" s="2">
        <v>435</v>
      </c>
      <c r="B437" s="2">
        <v>224</v>
      </c>
      <c r="C437" s="2">
        <v>8</v>
      </c>
      <c r="D437" s="4">
        <f t="shared" si="23"/>
        <v>203</v>
      </c>
      <c r="E437" s="5">
        <f t="shared" si="24"/>
        <v>0.46666666666666667</v>
      </c>
      <c r="F437" s="2">
        <v>3</v>
      </c>
      <c r="G437" s="3">
        <f t="shared" si="25"/>
        <v>15</v>
      </c>
      <c r="H437" s="2" t="s">
        <v>12</v>
      </c>
      <c r="I437" s="3"/>
    </row>
    <row r="438" spans="1:9" x14ac:dyDescent="0.25">
      <c r="A438" s="2">
        <v>436</v>
      </c>
      <c r="B438" s="2">
        <v>216</v>
      </c>
      <c r="C438" s="2">
        <v>6</v>
      </c>
      <c r="D438" s="4">
        <f t="shared" si="23"/>
        <v>214</v>
      </c>
      <c r="E438" s="5">
        <f t="shared" si="24"/>
        <v>0.49082568807339449</v>
      </c>
      <c r="F438" s="2">
        <v>2</v>
      </c>
      <c r="G438" s="3">
        <f t="shared" si="25"/>
        <v>16</v>
      </c>
      <c r="H438" s="2" t="s">
        <v>12</v>
      </c>
      <c r="I438" s="3"/>
    </row>
    <row r="439" spans="1:9" x14ac:dyDescent="0.25">
      <c r="A439" s="2">
        <v>437</v>
      </c>
      <c r="B439" s="2">
        <v>396</v>
      </c>
      <c r="C439" s="2">
        <v>4</v>
      </c>
      <c r="D439" s="4">
        <f t="shared" si="23"/>
        <v>37</v>
      </c>
      <c r="E439" s="5">
        <f t="shared" si="24"/>
        <v>8.4668192219679639E-2</v>
      </c>
      <c r="F439" s="2">
        <v>2</v>
      </c>
      <c r="G439" s="3">
        <f t="shared" si="25"/>
        <v>17</v>
      </c>
      <c r="H439" s="2" t="s">
        <v>12</v>
      </c>
      <c r="I439" s="3"/>
    </row>
    <row r="440" spans="1:9" x14ac:dyDescent="0.25">
      <c r="A440" s="2">
        <v>438</v>
      </c>
      <c r="B440" s="2">
        <v>144</v>
      </c>
      <c r="C440" s="2">
        <v>8</v>
      </c>
      <c r="D440" s="4">
        <f t="shared" si="23"/>
        <v>286</v>
      </c>
      <c r="E440" s="5">
        <f t="shared" si="24"/>
        <v>0.65296803652968038</v>
      </c>
      <c r="F440" s="2">
        <v>3</v>
      </c>
      <c r="G440" s="3">
        <f t="shared" si="25"/>
        <v>18</v>
      </c>
      <c r="H440" s="2" t="s">
        <v>12</v>
      </c>
      <c r="I440" s="3"/>
    </row>
    <row r="441" spans="1:9" x14ac:dyDescent="0.25">
      <c r="A441" s="2">
        <v>439</v>
      </c>
      <c r="B441" s="2">
        <v>438</v>
      </c>
      <c r="C441" s="2">
        <v>2</v>
      </c>
      <c r="D441" s="4">
        <f t="shared" si="23"/>
        <v>-1</v>
      </c>
      <c r="E441" s="5">
        <f t="shared" si="24"/>
        <v>-2.2779043280182231E-3</v>
      </c>
      <c r="F441" s="2">
        <v>1</v>
      </c>
      <c r="G441" s="3">
        <f t="shared" si="25"/>
        <v>19</v>
      </c>
      <c r="H441" s="2" t="s">
        <v>11</v>
      </c>
      <c r="I441" s="3">
        <v>-1</v>
      </c>
    </row>
    <row r="442" spans="1:9" x14ac:dyDescent="0.25">
      <c r="A442" s="2">
        <v>440</v>
      </c>
      <c r="B442" s="2">
        <v>160</v>
      </c>
      <c r="C442" s="2">
        <v>16</v>
      </c>
      <c r="D442" s="4">
        <f t="shared" si="23"/>
        <v>264</v>
      </c>
      <c r="E442" s="5">
        <f t="shared" si="24"/>
        <v>0.6</v>
      </c>
      <c r="F442" s="2">
        <v>3</v>
      </c>
      <c r="G442" s="3">
        <f t="shared" si="25"/>
        <v>20</v>
      </c>
      <c r="H442" s="2" t="s">
        <v>12</v>
      </c>
      <c r="I442" s="3"/>
    </row>
    <row r="443" spans="1:9" x14ac:dyDescent="0.25">
      <c r="A443" s="2">
        <v>441</v>
      </c>
      <c r="B443" s="2">
        <v>252</v>
      </c>
      <c r="C443" s="2">
        <v>9</v>
      </c>
      <c r="D443" s="4">
        <f t="shared" si="23"/>
        <v>180</v>
      </c>
      <c r="E443" s="5">
        <f t="shared" si="24"/>
        <v>0.40816326530612246</v>
      </c>
      <c r="F443" s="2">
        <v>2</v>
      </c>
      <c r="G443" s="3">
        <f t="shared" si="25"/>
        <v>21</v>
      </c>
      <c r="H443" s="2" t="s">
        <v>12</v>
      </c>
      <c r="I443" s="3"/>
    </row>
    <row r="444" spans="1:9" x14ac:dyDescent="0.25">
      <c r="A444" s="2">
        <v>442</v>
      </c>
      <c r="B444" s="2">
        <v>192</v>
      </c>
      <c r="C444" s="2">
        <v>8</v>
      </c>
      <c r="D444" s="4">
        <f t="shared" si="23"/>
        <v>242</v>
      </c>
      <c r="E444" s="5">
        <f t="shared" si="24"/>
        <v>0.54751131221719462</v>
      </c>
      <c r="F444" s="2">
        <v>3</v>
      </c>
      <c r="G444" s="3">
        <f t="shared" si="25"/>
        <v>22</v>
      </c>
      <c r="H444" s="2" t="s">
        <v>12</v>
      </c>
      <c r="I444" s="3"/>
    </row>
    <row r="445" spans="1:9" x14ac:dyDescent="0.25">
      <c r="A445" s="2">
        <v>443</v>
      </c>
      <c r="B445" s="2">
        <v>442</v>
      </c>
      <c r="C445" s="2">
        <v>2</v>
      </c>
      <c r="D445" s="4">
        <f t="shared" si="23"/>
        <v>-1</v>
      </c>
      <c r="E445" s="5">
        <f t="shared" si="24"/>
        <v>-2.257336343115124E-3</v>
      </c>
      <c r="F445" s="2">
        <v>1</v>
      </c>
      <c r="G445" s="3">
        <f t="shared" si="25"/>
        <v>23</v>
      </c>
      <c r="H445" s="2" t="s">
        <v>11</v>
      </c>
      <c r="I445" s="3">
        <v>-1</v>
      </c>
    </row>
    <row r="446" spans="1:9" x14ac:dyDescent="0.25">
      <c r="A446" s="2">
        <v>444</v>
      </c>
      <c r="B446" s="2">
        <v>144</v>
      </c>
      <c r="C446" s="2">
        <v>12</v>
      </c>
      <c r="D446" s="4">
        <f t="shared" si="23"/>
        <v>288</v>
      </c>
      <c r="E446" s="5">
        <f t="shared" si="24"/>
        <v>0.64864864864864868</v>
      </c>
      <c r="F446" s="2">
        <v>3</v>
      </c>
      <c r="G446" s="3">
        <f t="shared" si="25"/>
        <v>24</v>
      </c>
      <c r="H446" s="2" t="s">
        <v>12</v>
      </c>
      <c r="I446" s="3"/>
    </row>
    <row r="447" spans="1:9" x14ac:dyDescent="0.25">
      <c r="A447" s="2">
        <v>445</v>
      </c>
      <c r="B447" s="2">
        <v>352</v>
      </c>
      <c r="C447" s="2">
        <v>4</v>
      </c>
      <c r="D447" s="4">
        <f t="shared" si="23"/>
        <v>89</v>
      </c>
      <c r="E447" s="5">
        <f t="shared" si="24"/>
        <v>0.2</v>
      </c>
      <c r="F447" s="2">
        <v>2</v>
      </c>
      <c r="G447" s="3">
        <f t="shared" si="25"/>
        <v>25</v>
      </c>
      <c r="H447" s="2" t="s">
        <v>12</v>
      </c>
      <c r="I447" s="3"/>
    </row>
    <row r="448" spans="1:9" x14ac:dyDescent="0.25">
      <c r="A448" s="2">
        <v>446</v>
      </c>
      <c r="B448" s="2">
        <v>222</v>
      </c>
      <c r="C448" s="2">
        <v>4</v>
      </c>
      <c r="D448" s="4">
        <f t="shared" si="23"/>
        <v>220</v>
      </c>
      <c r="E448" s="5">
        <f t="shared" si="24"/>
        <v>0.49327354260089684</v>
      </c>
      <c r="F448" s="2">
        <v>2</v>
      </c>
      <c r="G448" s="3">
        <f t="shared" si="25"/>
        <v>26</v>
      </c>
      <c r="H448" s="2" t="s">
        <v>12</v>
      </c>
      <c r="I448" s="3"/>
    </row>
    <row r="449" spans="1:9" x14ac:dyDescent="0.25">
      <c r="A449" s="2">
        <v>447</v>
      </c>
      <c r="B449" s="2">
        <v>296</v>
      </c>
      <c r="C449" s="2">
        <v>4</v>
      </c>
      <c r="D449" s="4">
        <f t="shared" si="23"/>
        <v>147</v>
      </c>
      <c r="E449" s="5">
        <f t="shared" si="24"/>
        <v>0.32885906040268459</v>
      </c>
      <c r="F449" s="2">
        <v>2</v>
      </c>
      <c r="G449" s="3">
        <f t="shared" si="25"/>
        <v>27</v>
      </c>
      <c r="H449" s="2" t="s">
        <v>12</v>
      </c>
      <c r="I449" s="3"/>
    </row>
    <row r="450" spans="1:9" x14ac:dyDescent="0.25">
      <c r="A450" s="2">
        <v>448</v>
      </c>
      <c r="B450" s="2">
        <v>192</v>
      </c>
      <c r="C450" s="2">
        <v>14</v>
      </c>
      <c r="D450" s="4">
        <f t="shared" si="23"/>
        <v>242</v>
      </c>
      <c r="E450" s="5">
        <f t="shared" si="24"/>
        <v>0.5401785714285714</v>
      </c>
      <c r="F450" s="2">
        <v>2</v>
      </c>
      <c r="G450" s="3">
        <f t="shared" si="25"/>
        <v>28</v>
      </c>
      <c r="H450" s="2" t="s">
        <v>12</v>
      </c>
      <c r="I450" s="3"/>
    </row>
    <row r="451" spans="1:9" x14ac:dyDescent="0.25">
      <c r="A451" s="2">
        <v>449</v>
      </c>
      <c r="B451" s="2">
        <v>448</v>
      </c>
      <c r="C451" s="2">
        <v>2</v>
      </c>
      <c r="D451" s="4">
        <f t="shared" ref="D451:D514" si="26">A451-B451-C451</f>
        <v>-1</v>
      </c>
      <c r="E451" s="5">
        <f t="shared" ref="E451:E514" si="27">D451/A451</f>
        <v>-2.2271714922048997E-3</v>
      </c>
      <c r="F451" s="2">
        <v>1</v>
      </c>
      <c r="G451" s="3">
        <f t="shared" ref="G451:G514" si="28">MOD(A451,30)</f>
        <v>29</v>
      </c>
      <c r="H451" s="2" t="s">
        <v>11</v>
      </c>
      <c r="I451" s="3">
        <v>-1</v>
      </c>
    </row>
    <row r="452" spans="1:9" x14ac:dyDescent="0.25">
      <c r="A452" s="2">
        <v>450</v>
      </c>
      <c r="B452" s="2">
        <v>120</v>
      </c>
      <c r="C452" s="2">
        <v>18</v>
      </c>
      <c r="D452" s="4">
        <f t="shared" si="26"/>
        <v>312</v>
      </c>
      <c r="E452" s="5">
        <f t="shared" si="27"/>
        <v>0.69333333333333336</v>
      </c>
      <c r="F452" s="2">
        <v>3</v>
      </c>
      <c r="G452" s="3">
        <f t="shared" si="28"/>
        <v>0</v>
      </c>
      <c r="H452" s="2" t="s">
        <v>12</v>
      </c>
      <c r="I452" s="3"/>
    </row>
    <row r="453" spans="1:9" x14ac:dyDescent="0.25">
      <c r="A453" s="2">
        <v>451</v>
      </c>
      <c r="B453" s="2">
        <v>400</v>
      </c>
      <c r="C453" s="2">
        <v>4</v>
      </c>
      <c r="D453" s="4">
        <f t="shared" si="26"/>
        <v>47</v>
      </c>
      <c r="E453" s="5">
        <f t="shared" si="27"/>
        <v>0.10421286031042129</v>
      </c>
      <c r="F453" s="2">
        <v>2</v>
      </c>
      <c r="G453" s="3">
        <f t="shared" si="28"/>
        <v>1</v>
      </c>
      <c r="H453" s="2" t="s">
        <v>12</v>
      </c>
      <c r="I453" s="3"/>
    </row>
    <row r="454" spans="1:9" x14ac:dyDescent="0.25">
      <c r="A454" s="2">
        <v>452</v>
      </c>
      <c r="B454" s="2">
        <v>224</v>
      </c>
      <c r="C454" s="2">
        <v>6</v>
      </c>
      <c r="D454" s="4">
        <f t="shared" si="26"/>
        <v>222</v>
      </c>
      <c r="E454" s="5">
        <f t="shared" si="27"/>
        <v>0.49115044247787609</v>
      </c>
      <c r="F454" s="2">
        <v>2</v>
      </c>
      <c r="G454" s="3">
        <f t="shared" si="28"/>
        <v>2</v>
      </c>
      <c r="H454" s="2" t="s">
        <v>12</v>
      </c>
      <c r="I454" s="3"/>
    </row>
    <row r="455" spans="1:9" x14ac:dyDescent="0.25">
      <c r="A455" s="2">
        <v>453</v>
      </c>
      <c r="B455" s="2">
        <v>300</v>
      </c>
      <c r="C455" s="2">
        <v>4</v>
      </c>
      <c r="D455" s="4">
        <f t="shared" si="26"/>
        <v>149</v>
      </c>
      <c r="E455" s="5">
        <f t="shared" si="27"/>
        <v>0.32891832229580575</v>
      </c>
      <c r="F455" s="2">
        <v>2</v>
      </c>
      <c r="G455" s="3">
        <f t="shared" si="28"/>
        <v>3</v>
      </c>
      <c r="H455" s="2" t="s">
        <v>12</v>
      </c>
      <c r="I455" s="3"/>
    </row>
    <row r="456" spans="1:9" x14ac:dyDescent="0.25">
      <c r="A456" s="2">
        <v>454</v>
      </c>
      <c r="B456" s="2">
        <v>226</v>
      </c>
      <c r="C456" s="2">
        <v>4</v>
      </c>
      <c r="D456" s="4">
        <f t="shared" si="26"/>
        <v>224</v>
      </c>
      <c r="E456" s="5">
        <f t="shared" si="27"/>
        <v>0.4933920704845815</v>
      </c>
      <c r="F456" s="2">
        <v>2</v>
      </c>
      <c r="G456" s="3">
        <f t="shared" si="28"/>
        <v>4</v>
      </c>
      <c r="H456" s="2" t="s">
        <v>12</v>
      </c>
      <c r="I456" s="3"/>
    </row>
    <row r="457" spans="1:9" x14ac:dyDescent="0.25">
      <c r="A457" s="2">
        <v>455</v>
      </c>
      <c r="B457" s="2">
        <v>288</v>
      </c>
      <c r="C457" s="2">
        <v>8</v>
      </c>
      <c r="D457" s="4">
        <f t="shared" si="26"/>
        <v>159</v>
      </c>
      <c r="E457" s="5">
        <f t="shared" si="27"/>
        <v>0.34945054945054943</v>
      </c>
      <c r="F457" s="2">
        <v>3</v>
      </c>
      <c r="G457" s="3">
        <f t="shared" si="28"/>
        <v>5</v>
      </c>
      <c r="H457" s="2" t="s">
        <v>12</v>
      </c>
      <c r="I457" s="3"/>
    </row>
    <row r="458" spans="1:9" x14ac:dyDescent="0.25">
      <c r="A458" s="2">
        <v>456</v>
      </c>
      <c r="B458" s="2">
        <v>144</v>
      </c>
      <c r="C458" s="2">
        <v>16</v>
      </c>
      <c r="D458" s="4">
        <f t="shared" si="26"/>
        <v>296</v>
      </c>
      <c r="E458" s="5">
        <f t="shared" si="27"/>
        <v>0.64912280701754388</v>
      </c>
      <c r="F458" s="2">
        <v>3</v>
      </c>
      <c r="G458" s="3">
        <f t="shared" si="28"/>
        <v>6</v>
      </c>
      <c r="H458" s="2" t="s">
        <v>12</v>
      </c>
      <c r="I458" s="3"/>
    </row>
    <row r="459" spans="1:9" x14ac:dyDescent="0.25">
      <c r="A459" s="2">
        <v>457</v>
      </c>
      <c r="B459" s="2">
        <v>456</v>
      </c>
      <c r="C459" s="2">
        <v>2</v>
      </c>
      <c r="D459" s="4">
        <f t="shared" si="26"/>
        <v>-1</v>
      </c>
      <c r="E459" s="5">
        <f t="shared" si="27"/>
        <v>-2.1881838074398249E-3</v>
      </c>
      <c r="F459" s="2">
        <v>1</v>
      </c>
      <c r="G459" s="3">
        <f t="shared" si="28"/>
        <v>7</v>
      </c>
      <c r="H459" s="2" t="s">
        <v>11</v>
      </c>
      <c r="I459" s="3">
        <v>-1</v>
      </c>
    </row>
    <row r="460" spans="1:9" x14ac:dyDescent="0.25">
      <c r="A460" s="2">
        <v>458</v>
      </c>
      <c r="B460" s="2">
        <v>228</v>
      </c>
      <c r="C460" s="2">
        <v>4</v>
      </c>
      <c r="D460" s="4">
        <f t="shared" si="26"/>
        <v>226</v>
      </c>
      <c r="E460" s="5">
        <f t="shared" si="27"/>
        <v>0.49344978165938863</v>
      </c>
      <c r="F460" s="2">
        <v>2</v>
      </c>
      <c r="G460" s="3">
        <f t="shared" si="28"/>
        <v>8</v>
      </c>
      <c r="H460" s="2" t="s">
        <v>12</v>
      </c>
      <c r="I460" s="3"/>
    </row>
    <row r="461" spans="1:9" x14ac:dyDescent="0.25">
      <c r="A461" s="2">
        <v>459</v>
      </c>
      <c r="B461" s="2">
        <v>288</v>
      </c>
      <c r="C461" s="2">
        <v>8</v>
      </c>
      <c r="D461" s="4">
        <f t="shared" si="26"/>
        <v>163</v>
      </c>
      <c r="E461" s="5">
        <f t="shared" si="27"/>
        <v>0.355119825708061</v>
      </c>
      <c r="F461" s="2">
        <v>2</v>
      </c>
      <c r="G461" s="3">
        <f t="shared" si="28"/>
        <v>9</v>
      </c>
      <c r="H461" s="2" t="s">
        <v>12</v>
      </c>
      <c r="I461" s="3"/>
    </row>
    <row r="462" spans="1:9" x14ac:dyDescent="0.25">
      <c r="A462" s="2">
        <v>460</v>
      </c>
      <c r="B462" s="2">
        <v>176</v>
      </c>
      <c r="C462" s="2">
        <v>12</v>
      </c>
      <c r="D462" s="4">
        <f t="shared" si="26"/>
        <v>272</v>
      </c>
      <c r="E462" s="5">
        <f t="shared" si="27"/>
        <v>0.59130434782608698</v>
      </c>
      <c r="F462" s="2">
        <v>3</v>
      </c>
      <c r="G462" s="3">
        <f t="shared" si="28"/>
        <v>10</v>
      </c>
      <c r="H462" s="2" t="s">
        <v>12</v>
      </c>
      <c r="I462" s="3"/>
    </row>
    <row r="463" spans="1:9" x14ac:dyDescent="0.25">
      <c r="A463" s="2">
        <v>461</v>
      </c>
      <c r="B463" s="2">
        <v>460</v>
      </c>
      <c r="C463" s="2">
        <v>2</v>
      </c>
      <c r="D463" s="4">
        <f t="shared" si="26"/>
        <v>-1</v>
      </c>
      <c r="E463" s="5">
        <f t="shared" si="27"/>
        <v>-2.1691973969631237E-3</v>
      </c>
      <c r="F463" s="2">
        <v>1</v>
      </c>
      <c r="G463" s="3">
        <f t="shared" si="28"/>
        <v>11</v>
      </c>
      <c r="H463" s="2" t="s">
        <v>11</v>
      </c>
      <c r="I463" s="3">
        <v>-1</v>
      </c>
    </row>
    <row r="464" spans="1:9" x14ac:dyDescent="0.25">
      <c r="A464" s="2">
        <v>462</v>
      </c>
      <c r="B464" s="2">
        <v>120</v>
      </c>
      <c r="C464" s="2">
        <v>16</v>
      </c>
      <c r="D464" s="4">
        <f t="shared" si="26"/>
        <v>326</v>
      </c>
      <c r="E464" s="5">
        <f t="shared" si="27"/>
        <v>0.7056277056277056</v>
      </c>
      <c r="F464" s="2">
        <v>4</v>
      </c>
      <c r="G464" s="3">
        <f t="shared" si="28"/>
        <v>12</v>
      </c>
      <c r="H464" s="2" t="s">
        <v>12</v>
      </c>
      <c r="I464" s="3"/>
    </row>
    <row r="465" spans="1:9" x14ac:dyDescent="0.25">
      <c r="A465" s="2">
        <v>463</v>
      </c>
      <c r="B465" s="2">
        <v>462</v>
      </c>
      <c r="C465" s="2">
        <v>2</v>
      </c>
      <c r="D465" s="4">
        <f t="shared" si="26"/>
        <v>-1</v>
      </c>
      <c r="E465" s="5">
        <f t="shared" si="27"/>
        <v>-2.1598272138228943E-3</v>
      </c>
      <c r="F465" s="2">
        <v>1</v>
      </c>
      <c r="G465" s="3">
        <f t="shared" si="28"/>
        <v>13</v>
      </c>
      <c r="H465" s="2" t="s">
        <v>11</v>
      </c>
      <c r="I465" s="3">
        <v>-1</v>
      </c>
    </row>
    <row r="466" spans="1:9" x14ac:dyDescent="0.25">
      <c r="A466" s="2">
        <v>464</v>
      </c>
      <c r="B466" s="2">
        <v>224</v>
      </c>
      <c r="C466" s="2">
        <v>10</v>
      </c>
      <c r="D466" s="4">
        <f t="shared" si="26"/>
        <v>230</v>
      </c>
      <c r="E466" s="5">
        <f t="shared" si="27"/>
        <v>0.49568965517241381</v>
      </c>
      <c r="F466" s="2">
        <v>2</v>
      </c>
      <c r="G466" s="3">
        <f t="shared" si="28"/>
        <v>14</v>
      </c>
      <c r="H466" s="2" t="s">
        <v>12</v>
      </c>
      <c r="I466" s="3"/>
    </row>
    <row r="467" spans="1:9" x14ac:dyDescent="0.25">
      <c r="A467" s="2">
        <v>465</v>
      </c>
      <c r="B467" s="2">
        <v>240</v>
      </c>
      <c r="C467" s="2">
        <v>8</v>
      </c>
      <c r="D467" s="4">
        <f t="shared" si="26"/>
        <v>217</v>
      </c>
      <c r="E467" s="5">
        <f t="shared" si="27"/>
        <v>0.46666666666666667</v>
      </c>
      <c r="F467" s="2">
        <v>3</v>
      </c>
      <c r="G467" s="3">
        <f t="shared" si="28"/>
        <v>15</v>
      </c>
      <c r="H467" s="2" t="s">
        <v>12</v>
      </c>
      <c r="I467" s="3"/>
    </row>
    <row r="468" spans="1:9" x14ac:dyDescent="0.25">
      <c r="A468" s="2">
        <v>466</v>
      </c>
      <c r="B468" s="2">
        <v>232</v>
      </c>
      <c r="C468" s="2">
        <v>4</v>
      </c>
      <c r="D468" s="4">
        <f t="shared" si="26"/>
        <v>230</v>
      </c>
      <c r="E468" s="5">
        <f t="shared" si="27"/>
        <v>0.49356223175965663</v>
      </c>
      <c r="F468" s="2">
        <v>2</v>
      </c>
      <c r="G468" s="3">
        <f t="shared" si="28"/>
        <v>16</v>
      </c>
      <c r="H468" s="2" t="s">
        <v>12</v>
      </c>
      <c r="I468" s="3"/>
    </row>
    <row r="469" spans="1:9" x14ac:dyDescent="0.25">
      <c r="A469" s="2">
        <v>467</v>
      </c>
      <c r="B469" s="2">
        <v>466</v>
      </c>
      <c r="C469" s="2">
        <v>2</v>
      </c>
      <c r="D469" s="4">
        <f t="shared" si="26"/>
        <v>-1</v>
      </c>
      <c r="E469" s="5">
        <f t="shared" si="27"/>
        <v>-2.1413276231263384E-3</v>
      </c>
      <c r="F469" s="2">
        <v>1</v>
      </c>
      <c r="G469" s="3">
        <f t="shared" si="28"/>
        <v>17</v>
      </c>
      <c r="H469" s="2" t="s">
        <v>11</v>
      </c>
      <c r="I469" s="3">
        <v>-1</v>
      </c>
    </row>
    <row r="470" spans="1:9" x14ac:dyDescent="0.25">
      <c r="A470" s="2">
        <v>468</v>
      </c>
      <c r="B470" s="2">
        <v>144</v>
      </c>
      <c r="C470" s="2">
        <v>18</v>
      </c>
      <c r="D470" s="4">
        <f t="shared" si="26"/>
        <v>306</v>
      </c>
      <c r="E470" s="5">
        <f t="shared" si="27"/>
        <v>0.65384615384615385</v>
      </c>
      <c r="F470" s="2">
        <v>3</v>
      </c>
      <c r="G470" s="3">
        <f t="shared" si="28"/>
        <v>18</v>
      </c>
      <c r="H470" s="2" t="s">
        <v>12</v>
      </c>
      <c r="I470" s="3"/>
    </row>
    <row r="471" spans="1:9" x14ac:dyDescent="0.25">
      <c r="A471" s="2">
        <v>469</v>
      </c>
      <c r="B471" s="2">
        <v>396</v>
      </c>
      <c r="C471" s="2">
        <v>4</v>
      </c>
      <c r="D471" s="4">
        <f t="shared" si="26"/>
        <v>69</v>
      </c>
      <c r="E471" s="5">
        <f t="shared" si="27"/>
        <v>0.14712153518123666</v>
      </c>
      <c r="F471" s="2">
        <v>2</v>
      </c>
      <c r="G471" s="3">
        <f t="shared" si="28"/>
        <v>19</v>
      </c>
      <c r="H471" s="2" t="s">
        <v>12</v>
      </c>
      <c r="I471" s="3"/>
    </row>
    <row r="472" spans="1:9" x14ac:dyDescent="0.25">
      <c r="A472" s="2">
        <v>470</v>
      </c>
      <c r="B472" s="2">
        <v>184</v>
      </c>
      <c r="C472" s="2">
        <v>8</v>
      </c>
      <c r="D472" s="4">
        <f t="shared" si="26"/>
        <v>278</v>
      </c>
      <c r="E472" s="5">
        <f t="shared" si="27"/>
        <v>0.59148936170212763</v>
      </c>
      <c r="F472" s="2">
        <v>3</v>
      </c>
      <c r="G472" s="3">
        <f t="shared" si="28"/>
        <v>20</v>
      </c>
      <c r="H472" s="2" t="s">
        <v>12</v>
      </c>
      <c r="I472" s="3"/>
    </row>
    <row r="473" spans="1:9" x14ac:dyDescent="0.25">
      <c r="A473" s="2">
        <v>471</v>
      </c>
      <c r="B473" s="2">
        <v>312</v>
      </c>
      <c r="C473" s="2">
        <v>4</v>
      </c>
      <c r="D473" s="4">
        <f t="shared" si="26"/>
        <v>155</v>
      </c>
      <c r="E473" s="5">
        <f t="shared" si="27"/>
        <v>0.32908704883227174</v>
      </c>
      <c r="F473" s="2">
        <v>2</v>
      </c>
      <c r="G473" s="3">
        <f t="shared" si="28"/>
        <v>21</v>
      </c>
      <c r="H473" s="2" t="s">
        <v>12</v>
      </c>
      <c r="I473" s="3"/>
    </row>
    <row r="474" spans="1:9" x14ac:dyDescent="0.25">
      <c r="A474" s="2">
        <v>472</v>
      </c>
      <c r="B474" s="2">
        <v>232</v>
      </c>
      <c r="C474" s="2">
        <v>8</v>
      </c>
      <c r="D474" s="4">
        <f t="shared" si="26"/>
        <v>232</v>
      </c>
      <c r="E474" s="5">
        <f t="shared" si="27"/>
        <v>0.49152542372881358</v>
      </c>
      <c r="F474" s="2">
        <v>2</v>
      </c>
      <c r="G474" s="3">
        <f t="shared" si="28"/>
        <v>22</v>
      </c>
      <c r="H474" s="2" t="s">
        <v>12</v>
      </c>
      <c r="I474" s="3"/>
    </row>
    <row r="475" spans="1:9" x14ac:dyDescent="0.25">
      <c r="A475" s="2">
        <v>473</v>
      </c>
      <c r="B475" s="2">
        <v>420</v>
      </c>
      <c r="C475" s="2">
        <v>4</v>
      </c>
      <c r="D475" s="4">
        <f t="shared" si="26"/>
        <v>49</v>
      </c>
      <c r="E475" s="5">
        <f t="shared" si="27"/>
        <v>0.10359408033826638</v>
      </c>
      <c r="F475" s="2">
        <v>2</v>
      </c>
      <c r="G475" s="3">
        <f t="shared" si="28"/>
        <v>23</v>
      </c>
      <c r="H475" s="2" t="s">
        <v>12</v>
      </c>
      <c r="I475" s="3"/>
    </row>
    <row r="476" spans="1:9" x14ac:dyDescent="0.25">
      <c r="A476" s="2">
        <v>474</v>
      </c>
      <c r="B476" s="2">
        <v>156</v>
      </c>
      <c r="C476" s="2">
        <v>8</v>
      </c>
      <c r="D476" s="4">
        <f t="shared" si="26"/>
        <v>310</v>
      </c>
      <c r="E476" s="5">
        <f t="shared" si="27"/>
        <v>0.65400843881856541</v>
      </c>
      <c r="F476" s="2">
        <v>3</v>
      </c>
      <c r="G476" s="3">
        <f t="shared" si="28"/>
        <v>24</v>
      </c>
      <c r="H476" s="2" t="s">
        <v>12</v>
      </c>
      <c r="I476" s="3"/>
    </row>
    <row r="477" spans="1:9" x14ac:dyDescent="0.25">
      <c r="A477" s="2">
        <v>475</v>
      </c>
      <c r="B477" s="2">
        <v>360</v>
      </c>
      <c r="C477" s="2">
        <v>6</v>
      </c>
      <c r="D477" s="4">
        <f t="shared" si="26"/>
        <v>109</v>
      </c>
      <c r="E477" s="5">
        <f t="shared" si="27"/>
        <v>0.2294736842105263</v>
      </c>
      <c r="F477" s="2">
        <v>2</v>
      </c>
      <c r="G477" s="3">
        <f t="shared" si="28"/>
        <v>25</v>
      </c>
      <c r="H477" s="2" t="s">
        <v>12</v>
      </c>
      <c r="I477" s="3"/>
    </row>
    <row r="478" spans="1:9" x14ac:dyDescent="0.25">
      <c r="A478" s="2">
        <v>476</v>
      </c>
      <c r="B478" s="2">
        <v>192</v>
      </c>
      <c r="C478" s="2">
        <v>12</v>
      </c>
      <c r="D478" s="4">
        <f t="shared" si="26"/>
        <v>272</v>
      </c>
      <c r="E478" s="5">
        <f t="shared" si="27"/>
        <v>0.5714285714285714</v>
      </c>
      <c r="F478" s="2">
        <v>3</v>
      </c>
      <c r="G478" s="3">
        <f t="shared" si="28"/>
        <v>26</v>
      </c>
      <c r="H478" s="2" t="s">
        <v>12</v>
      </c>
      <c r="I478" s="3"/>
    </row>
    <row r="479" spans="1:9" x14ac:dyDescent="0.25">
      <c r="A479" s="2">
        <v>477</v>
      </c>
      <c r="B479" s="2">
        <v>312</v>
      </c>
      <c r="C479" s="2">
        <v>6</v>
      </c>
      <c r="D479" s="4">
        <f t="shared" si="26"/>
        <v>159</v>
      </c>
      <c r="E479" s="5">
        <f t="shared" si="27"/>
        <v>0.33333333333333331</v>
      </c>
      <c r="F479" s="2">
        <v>2</v>
      </c>
      <c r="G479" s="3">
        <f t="shared" si="28"/>
        <v>27</v>
      </c>
      <c r="H479" s="2" t="s">
        <v>12</v>
      </c>
      <c r="I479" s="3"/>
    </row>
    <row r="480" spans="1:9" x14ac:dyDescent="0.25">
      <c r="A480" s="2">
        <v>478</v>
      </c>
      <c r="B480" s="2">
        <v>238</v>
      </c>
      <c r="C480" s="2">
        <v>4</v>
      </c>
      <c r="D480" s="4">
        <f t="shared" si="26"/>
        <v>236</v>
      </c>
      <c r="E480" s="5">
        <f t="shared" si="27"/>
        <v>0.49372384937238495</v>
      </c>
      <c r="F480" s="2">
        <v>2</v>
      </c>
      <c r="G480" s="3">
        <f t="shared" si="28"/>
        <v>28</v>
      </c>
      <c r="H480" s="2" t="s">
        <v>12</v>
      </c>
      <c r="I480" s="3"/>
    </row>
    <row r="481" spans="1:9" x14ac:dyDescent="0.25">
      <c r="A481" s="2">
        <v>479</v>
      </c>
      <c r="B481" s="2">
        <v>478</v>
      </c>
      <c r="C481" s="2">
        <v>2</v>
      </c>
      <c r="D481" s="4">
        <f t="shared" si="26"/>
        <v>-1</v>
      </c>
      <c r="E481" s="5">
        <f t="shared" si="27"/>
        <v>-2.0876826722338203E-3</v>
      </c>
      <c r="F481" s="2">
        <v>1</v>
      </c>
      <c r="G481" s="3">
        <f t="shared" si="28"/>
        <v>29</v>
      </c>
      <c r="H481" s="2" t="s">
        <v>11</v>
      </c>
      <c r="I481" s="3">
        <v>-1</v>
      </c>
    </row>
    <row r="482" spans="1:9" x14ac:dyDescent="0.25">
      <c r="A482" s="2">
        <v>480</v>
      </c>
      <c r="B482" s="2">
        <v>128</v>
      </c>
      <c r="C482" s="2">
        <v>24</v>
      </c>
      <c r="D482" s="4">
        <f t="shared" si="26"/>
        <v>328</v>
      </c>
      <c r="E482" s="5">
        <f t="shared" si="27"/>
        <v>0.68333333333333335</v>
      </c>
      <c r="F482" s="2">
        <v>3</v>
      </c>
      <c r="G482" s="3">
        <f t="shared" si="28"/>
        <v>0</v>
      </c>
      <c r="H482" s="2" t="s">
        <v>12</v>
      </c>
      <c r="I482" s="3"/>
    </row>
    <row r="483" spans="1:9" x14ac:dyDescent="0.25">
      <c r="A483" s="2">
        <v>481</v>
      </c>
      <c r="B483" s="2">
        <v>432</v>
      </c>
      <c r="C483" s="2">
        <v>4</v>
      </c>
      <c r="D483" s="4">
        <f t="shared" si="26"/>
        <v>45</v>
      </c>
      <c r="E483" s="5">
        <f t="shared" si="27"/>
        <v>9.355509355509356E-2</v>
      </c>
      <c r="F483" s="2">
        <v>2</v>
      </c>
      <c r="G483" s="3">
        <f t="shared" si="28"/>
        <v>1</v>
      </c>
      <c r="H483" s="2" t="s">
        <v>12</v>
      </c>
      <c r="I483" s="3"/>
    </row>
    <row r="484" spans="1:9" x14ac:dyDescent="0.25">
      <c r="A484" s="2">
        <v>482</v>
      </c>
      <c r="B484" s="2">
        <v>240</v>
      </c>
      <c r="C484" s="2">
        <v>4</v>
      </c>
      <c r="D484" s="4">
        <f t="shared" si="26"/>
        <v>238</v>
      </c>
      <c r="E484" s="5">
        <f t="shared" si="27"/>
        <v>0.49377593360995853</v>
      </c>
      <c r="F484" s="2">
        <v>2</v>
      </c>
      <c r="G484" s="3">
        <f t="shared" si="28"/>
        <v>2</v>
      </c>
      <c r="H484" s="2" t="s">
        <v>12</v>
      </c>
      <c r="I484" s="3"/>
    </row>
    <row r="485" spans="1:9" x14ac:dyDescent="0.25">
      <c r="A485" s="2">
        <v>483</v>
      </c>
      <c r="B485" s="2">
        <v>264</v>
      </c>
      <c r="C485" s="2">
        <v>8</v>
      </c>
      <c r="D485" s="4">
        <f t="shared" si="26"/>
        <v>211</v>
      </c>
      <c r="E485" s="5">
        <f t="shared" si="27"/>
        <v>0.43685300207039335</v>
      </c>
      <c r="F485" s="2">
        <v>3</v>
      </c>
      <c r="G485" s="3">
        <f t="shared" si="28"/>
        <v>3</v>
      </c>
      <c r="H485" s="2" t="s">
        <v>12</v>
      </c>
      <c r="I485" s="3"/>
    </row>
    <row r="486" spans="1:9" x14ac:dyDescent="0.25">
      <c r="A486" s="2">
        <v>484</v>
      </c>
      <c r="B486" s="2">
        <v>220</v>
      </c>
      <c r="C486" s="2">
        <v>9</v>
      </c>
      <c r="D486" s="4">
        <f t="shared" si="26"/>
        <v>255</v>
      </c>
      <c r="E486" s="5">
        <f t="shared" si="27"/>
        <v>0.52685950413223137</v>
      </c>
      <c r="F486" s="2">
        <v>2</v>
      </c>
      <c r="G486" s="3">
        <f t="shared" si="28"/>
        <v>4</v>
      </c>
      <c r="H486" s="2" t="s">
        <v>12</v>
      </c>
      <c r="I486" s="3"/>
    </row>
    <row r="487" spans="1:9" x14ac:dyDescent="0.25">
      <c r="A487" s="2">
        <v>485</v>
      </c>
      <c r="B487" s="2">
        <v>384</v>
      </c>
      <c r="C487" s="2">
        <v>4</v>
      </c>
      <c r="D487" s="4">
        <f t="shared" si="26"/>
        <v>97</v>
      </c>
      <c r="E487" s="5">
        <f t="shared" si="27"/>
        <v>0.2</v>
      </c>
      <c r="F487" s="2">
        <v>2</v>
      </c>
      <c r="G487" s="3">
        <f t="shared" si="28"/>
        <v>5</v>
      </c>
      <c r="H487" s="2" t="s">
        <v>12</v>
      </c>
      <c r="I487" s="3"/>
    </row>
    <row r="488" spans="1:9" x14ac:dyDescent="0.25">
      <c r="A488" s="2">
        <v>486</v>
      </c>
      <c r="B488" s="2">
        <v>162</v>
      </c>
      <c r="C488" s="2">
        <v>12</v>
      </c>
      <c r="D488" s="4">
        <f t="shared" si="26"/>
        <v>312</v>
      </c>
      <c r="E488" s="5">
        <f t="shared" si="27"/>
        <v>0.64197530864197527</v>
      </c>
      <c r="F488" s="2">
        <v>2</v>
      </c>
      <c r="G488" s="3">
        <f t="shared" si="28"/>
        <v>6</v>
      </c>
      <c r="H488" s="2" t="s">
        <v>12</v>
      </c>
      <c r="I488" s="3"/>
    </row>
    <row r="489" spans="1:9" x14ac:dyDescent="0.25">
      <c r="A489" s="2">
        <v>487</v>
      </c>
      <c r="B489" s="2">
        <v>486</v>
      </c>
      <c r="C489" s="2">
        <v>2</v>
      </c>
      <c r="D489" s="4">
        <f t="shared" si="26"/>
        <v>-1</v>
      </c>
      <c r="E489" s="5">
        <f t="shared" si="27"/>
        <v>-2.0533880903490761E-3</v>
      </c>
      <c r="F489" s="2">
        <v>1</v>
      </c>
      <c r="G489" s="3">
        <f t="shared" si="28"/>
        <v>7</v>
      </c>
      <c r="H489" s="2" t="s">
        <v>11</v>
      </c>
      <c r="I489" s="3">
        <v>-1</v>
      </c>
    </row>
    <row r="490" spans="1:9" x14ac:dyDescent="0.25">
      <c r="A490" s="2">
        <v>488</v>
      </c>
      <c r="B490" s="2">
        <v>240</v>
      </c>
      <c r="C490" s="2">
        <v>8</v>
      </c>
      <c r="D490" s="4">
        <f t="shared" si="26"/>
        <v>240</v>
      </c>
      <c r="E490" s="5">
        <f t="shared" si="27"/>
        <v>0.49180327868852458</v>
      </c>
      <c r="F490" s="2">
        <v>2</v>
      </c>
      <c r="G490" s="3">
        <f t="shared" si="28"/>
        <v>8</v>
      </c>
      <c r="H490" s="2" t="s">
        <v>12</v>
      </c>
      <c r="I490" s="3"/>
    </row>
    <row r="491" spans="1:9" x14ac:dyDescent="0.25">
      <c r="A491" s="2">
        <v>489</v>
      </c>
      <c r="B491" s="2">
        <v>324</v>
      </c>
      <c r="C491" s="2">
        <v>4</v>
      </c>
      <c r="D491" s="4">
        <f t="shared" si="26"/>
        <v>161</v>
      </c>
      <c r="E491" s="5">
        <f t="shared" si="27"/>
        <v>0.32924335378323111</v>
      </c>
      <c r="F491" s="2">
        <v>2</v>
      </c>
      <c r="G491" s="3">
        <f t="shared" si="28"/>
        <v>9</v>
      </c>
      <c r="H491" s="2" t="s">
        <v>12</v>
      </c>
      <c r="I491" s="3"/>
    </row>
    <row r="492" spans="1:9" x14ac:dyDescent="0.25">
      <c r="A492" s="2">
        <v>490</v>
      </c>
      <c r="B492" s="2">
        <v>168</v>
      </c>
      <c r="C492" s="2">
        <v>12</v>
      </c>
      <c r="D492" s="4">
        <f t="shared" si="26"/>
        <v>310</v>
      </c>
      <c r="E492" s="5">
        <f t="shared" si="27"/>
        <v>0.63265306122448983</v>
      </c>
      <c r="F492" s="2">
        <v>3</v>
      </c>
      <c r="G492" s="3">
        <f t="shared" si="28"/>
        <v>10</v>
      </c>
      <c r="H492" s="2" t="s">
        <v>12</v>
      </c>
      <c r="I492" s="3"/>
    </row>
    <row r="493" spans="1:9" x14ac:dyDescent="0.25">
      <c r="A493" s="2">
        <v>491</v>
      </c>
      <c r="B493" s="2">
        <v>490</v>
      </c>
      <c r="C493" s="2">
        <v>2</v>
      </c>
      <c r="D493" s="4">
        <f t="shared" si="26"/>
        <v>-1</v>
      </c>
      <c r="E493" s="5">
        <f t="shared" si="27"/>
        <v>-2.0366598778004071E-3</v>
      </c>
      <c r="F493" s="2">
        <v>1</v>
      </c>
      <c r="G493" s="3">
        <f t="shared" si="28"/>
        <v>11</v>
      </c>
      <c r="H493" s="2" t="s">
        <v>11</v>
      </c>
      <c r="I493" s="3">
        <v>-1</v>
      </c>
    </row>
    <row r="494" spans="1:9" x14ac:dyDescent="0.25">
      <c r="A494" s="2">
        <v>492</v>
      </c>
      <c r="B494" s="2">
        <v>160</v>
      </c>
      <c r="C494" s="2">
        <v>12</v>
      </c>
      <c r="D494" s="4">
        <f t="shared" si="26"/>
        <v>320</v>
      </c>
      <c r="E494" s="5">
        <f t="shared" si="27"/>
        <v>0.65040650406504064</v>
      </c>
      <c r="F494" s="2">
        <v>3</v>
      </c>
      <c r="G494" s="3">
        <f t="shared" si="28"/>
        <v>12</v>
      </c>
      <c r="H494" s="2" t="s">
        <v>12</v>
      </c>
      <c r="I494" s="3"/>
    </row>
    <row r="495" spans="1:9" x14ac:dyDescent="0.25">
      <c r="A495" s="2">
        <v>493</v>
      </c>
      <c r="B495" s="2">
        <v>448</v>
      </c>
      <c r="C495" s="2">
        <v>4</v>
      </c>
      <c r="D495" s="4">
        <f t="shared" si="26"/>
        <v>41</v>
      </c>
      <c r="E495" s="5">
        <f t="shared" si="27"/>
        <v>8.3164300202839755E-2</v>
      </c>
      <c r="F495" s="2">
        <v>2</v>
      </c>
      <c r="G495" s="3">
        <f t="shared" si="28"/>
        <v>13</v>
      </c>
      <c r="H495" s="2" t="s">
        <v>12</v>
      </c>
      <c r="I495" s="3"/>
    </row>
    <row r="496" spans="1:9" x14ac:dyDescent="0.25">
      <c r="A496" s="2">
        <v>494</v>
      </c>
      <c r="B496" s="2">
        <v>216</v>
      </c>
      <c r="C496" s="2">
        <v>8</v>
      </c>
      <c r="D496" s="4">
        <f t="shared" si="26"/>
        <v>270</v>
      </c>
      <c r="E496" s="5">
        <f t="shared" si="27"/>
        <v>0.54655870445344135</v>
      </c>
      <c r="F496" s="2">
        <v>3</v>
      </c>
      <c r="G496" s="3">
        <f t="shared" si="28"/>
        <v>14</v>
      </c>
      <c r="H496" s="2" t="s">
        <v>12</v>
      </c>
      <c r="I496" s="3"/>
    </row>
    <row r="497" spans="1:9" x14ac:dyDescent="0.25">
      <c r="A497" s="2">
        <v>495</v>
      </c>
      <c r="B497" s="2">
        <v>240</v>
      </c>
      <c r="C497" s="2">
        <v>12</v>
      </c>
      <c r="D497" s="4">
        <f t="shared" si="26"/>
        <v>243</v>
      </c>
      <c r="E497" s="5">
        <f t="shared" si="27"/>
        <v>0.49090909090909091</v>
      </c>
      <c r="F497" s="2">
        <v>3</v>
      </c>
      <c r="G497" s="3">
        <f t="shared" si="28"/>
        <v>15</v>
      </c>
      <c r="H497" s="2" t="s">
        <v>12</v>
      </c>
      <c r="I497" s="3"/>
    </row>
    <row r="498" spans="1:9" x14ac:dyDescent="0.25">
      <c r="A498" s="2">
        <v>496</v>
      </c>
      <c r="B498" s="2">
        <v>240</v>
      </c>
      <c r="C498" s="2">
        <v>10</v>
      </c>
      <c r="D498" s="4">
        <f t="shared" si="26"/>
        <v>246</v>
      </c>
      <c r="E498" s="5">
        <f t="shared" si="27"/>
        <v>0.49596774193548387</v>
      </c>
      <c r="F498" s="2">
        <v>2</v>
      </c>
      <c r="G498" s="3">
        <f t="shared" si="28"/>
        <v>16</v>
      </c>
      <c r="H498" s="2" t="s">
        <v>12</v>
      </c>
      <c r="I498" s="3"/>
    </row>
    <row r="499" spans="1:9" x14ac:dyDescent="0.25">
      <c r="A499" s="2">
        <v>497</v>
      </c>
      <c r="B499" s="2">
        <v>420</v>
      </c>
      <c r="C499" s="2">
        <v>4</v>
      </c>
      <c r="D499" s="4">
        <f t="shared" si="26"/>
        <v>73</v>
      </c>
      <c r="E499" s="5">
        <f t="shared" si="27"/>
        <v>0.14688128772635814</v>
      </c>
      <c r="F499" s="2">
        <v>2</v>
      </c>
      <c r="G499" s="3">
        <f t="shared" si="28"/>
        <v>17</v>
      </c>
      <c r="H499" s="2" t="s">
        <v>12</v>
      </c>
      <c r="I499" s="3"/>
    </row>
    <row r="500" spans="1:9" x14ac:dyDescent="0.25">
      <c r="A500" s="2">
        <v>498</v>
      </c>
      <c r="B500" s="2">
        <v>164</v>
      </c>
      <c r="C500" s="2">
        <v>8</v>
      </c>
      <c r="D500" s="4">
        <f t="shared" si="26"/>
        <v>326</v>
      </c>
      <c r="E500" s="5">
        <f t="shared" si="27"/>
        <v>0.65461847389558236</v>
      </c>
      <c r="F500" s="2">
        <v>3</v>
      </c>
      <c r="G500" s="3">
        <f t="shared" si="28"/>
        <v>18</v>
      </c>
      <c r="H500" s="2" t="s">
        <v>12</v>
      </c>
      <c r="I500" s="3"/>
    </row>
    <row r="501" spans="1:9" x14ac:dyDescent="0.25">
      <c r="A501" s="2">
        <v>499</v>
      </c>
      <c r="B501" s="2">
        <v>498</v>
      </c>
      <c r="C501" s="2">
        <v>2</v>
      </c>
      <c r="D501" s="4">
        <f t="shared" si="26"/>
        <v>-1</v>
      </c>
      <c r="E501" s="5">
        <f t="shared" si="27"/>
        <v>-2.004008016032064E-3</v>
      </c>
      <c r="F501" s="2">
        <v>1</v>
      </c>
      <c r="G501" s="3">
        <f t="shared" si="28"/>
        <v>19</v>
      </c>
      <c r="H501" s="2" t="s">
        <v>11</v>
      </c>
      <c r="I501" s="3">
        <v>-1</v>
      </c>
    </row>
    <row r="502" spans="1:9" x14ac:dyDescent="0.25">
      <c r="A502" s="2">
        <v>500</v>
      </c>
      <c r="B502" s="2">
        <v>200</v>
      </c>
      <c r="C502" s="2">
        <v>12</v>
      </c>
      <c r="D502" s="4">
        <f t="shared" si="26"/>
        <v>288</v>
      </c>
      <c r="E502" s="5">
        <f t="shared" si="27"/>
        <v>0.57599999999999996</v>
      </c>
      <c r="F502" s="2">
        <v>2</v>
      </c>
      <c r="G502" s="3">
        <f t="shared" si="28"/>
        <v>20</v>
      </c>
      <c r="H502" s="2" t="s">
        <v>12</v>
      </c>
      <c r="I502" s="3"/>
    </row>
    <row r="503" spans="1:9" x14ac:dyDescent="0.25">
      <c r="A503" s="2">
        <v>501</v>
      </c>
      <c r="B503" s="2">
        <v>332</v>
      </c>
      <c r="C503" s="2">
        <v>4</v>
      </c>
      <c r="D503" s="4">
        <f t="shared" si="26"/>
        <v>165</v>
      </c>
      <c r="E503" s="5">
        <f t="shared" si="27"/>
        <v>0.32934131736526945</v>
      </c>
      <c r="F503" s="2">
        <v>2</v>
      </c>
      <c r="G503" s="3">
        <f t="shared" si="28"/>
        <v>21</v>
      </c>
      <c r="H503" s="2" t="s">
        <v>12</v>
      </c>
      <c r="I503" s="3"/>
    </row>
    <row r="504" spans="1:9" x14ac:dyDescent="0.25">
      <c r="A504" s="2">
        <v>502</v>
      </c>
      <c r="B504" s="2">
        <v>250</v>
      </c>
      <c r="C504" s="2">
        <v>4</v>
      </c>
      <c r="D504" s="4">
        <f t="shared" si="26"/>
        <v>248</v>
      </c>
      <c r="E504" s="5">
        <f t="shared" si="27"/>
        <v>0.49402390438247012</v>
      </c>
      <c r="F504" s="2">
        <v>2</v>
      </c>
      <c r="G504" s="3">
        <f t="shared" si="28"/>
        <v>22</v>
      </c>
      <c r="H504" s="2" t="s">
        <v>12</v>
      </c>
      <c r="I504" s="3"/>
    </row>
    <row r="505" spans="1:9" x14ac:dyDescent="0.25">
      <c r="A505" s="2">
        <v>503</v>
      </c>
      <c r="B505" s="2">
        <v>502</v>
      </c>
      <c r="C505" s="2">
        <v>2</v>
      </c>
      <c r="D505" s="4">
        <f t="shared" si="26"/>
        <v>-1</v>
      </c>
      <c r="E505" s="5">
        <f t="shared" si="27"/>
        <v>-1.9880715705765406E-3</v>
      </c>
      <c r="F505" s="2">
        <v>1</v>
      </c>
      <c r="G505" s="3">
        <f t="shared" si="28"/>
        <v>23</v>
      </c>
      <c r="H505" s="2" t="s">
        <v>11</v>
      </c>
      <c r="I505" s="3">
        <v>-1</v>
      </c>
    </row>
    <row r="506" spans="1:9" x14ac:dyDescent="0.25">
      <c r="A506" s="2">
        <v>504</v>
      </c>
      <c r="B506" s="2">
        <v>144</v>
      </c>
      <c r="C506" s="2">
        <v>24</v>
      </c>
      <c r="D506" s="4">
        <f t="shared" si="26"/>
        <v>336</v>
      </c>
      <c r="E506" s="5">
        <f t="shared" si="27"/>
        <v>0.66666666666666663</v>
      </c>
      <c r="F506" s="2">
        <v>3</v>
      </c>
      <c r="G506" s="3">
        <f t="shared" si="28"/>
        <v>24</v>
      </c>
      <c r="H506" s="2" t="s">
        <v>12</v>
      </c>
      <c r="I506" s="3"/>
    </row>
    <row r="507" spans="1:9" x14ac:dyDescent="0.25">
      <c r="A507" s="2">
        <v>505</v>
      </c>
      <c r="B507" s="2">
        <v>400</v>
      </c>
      <c r="C507" s="2">
        <v>4</v>
      </c>
      <c r="D507" s="4">
        <f t="shared" si="26"/>
        <v>101</v>
      </c>
      <c r="E507" s="5">
        <f t="shared" si="27"/>
        <v>0.2</v>
      </c>
      <c r="F507" s="2">
        <v>2</v>
      </c>
      <c r="G507" s="3">
        <f t="shared" si="28"/>
        <v>25</v>
      </c>
      <c r="H507" s="2" t="s">
        <v>12</v>
      </c>
      <c r="I507" s="3"/>
    </row>
    <row r="508" spans="1:9" x14ac:dyDescent="0.25">
      <c r="A508" s="2">
        <v>506</v>
      </c>
      <c r="B508" s="2">
        <v>220</v>
      </c>
      <c r="C508" s="2">
        <v>8</v>
      </c>
      <c r="D508" s="4">
        <f t="shared" si="26"/>
        <v>278</v>
      </c>
      <c r="E508" s="5">
        <f t="shared" si="27"/>
        <v>0.54940711462450598</v>
      </c>
      <c r="F508" s="2">
        <v>3</v>
      </c>
      <c r="G508" s="3">
        <f t="shared" si="28"/>
        <v>26</v>
      </c>
      <c r="H508" s="2" t="s">
        <v>12</v>
      </c>
      <c r="I508" s="3"/>
    </row>
    <row r="509" spans="1:9" x14ac:dyDescent="0.25">
      <c r="A509" s="2">
        <v>507</v>
      </c>
      <c r="B509" s="2">
        <v>312</v>
      </c>
      <c r="C509" s="2">
        <v>6</v>
      </c>
      <c r="D509" s="4">
        <f t="shared" si="26"/>
        <v>189</v>
      </c>
      <c r="E509" s="5">
        <f t="shared" si="27"/>
        <v>0.37278106508875741</v>
      </c>
      <c r="F509" s="2">
        <v>2</v>
      </c>
      <c r="G509" s="3">
        <f t="shared" si="28"/>
        <v>27</v>
      </c>
      <c r="H509" s="2" t="s">
        <v>12</v>
      </c>
      <c r="I509" s="3"/>
    </row>
    <row r="510" spans="1:9" x14ac:dyDescent="0.25">
      <c r="A510" s="2">
        <v>508</v>
      </c>
      <c r="B510" s="2">
        <v>252</v>
      </c>
      <c r="C510" s="2">
        <v>6</v>
      </c>
      <c r="D510" s="4">
        <f t="shared" si="26"/>
        <v>250</v>
      </c>
      <c r="E510" s="5">
        <f t="shared" si="27"/>
        <v>0.49212598425196852</v>
      </c>
      <c r="F510" s="2">
        <v>2</v>
      </c>
      <c r="G510" s="3">
        <f t="shared" si="28"/>
        <v>28</v>
      </c>
      <c r="H510" s="2" t="s">
        <v>12</v>
      </c>
      <c r="I510" s="3"/>
    </row>
    <row r="511" spans="1:9" x14ac:dyDescent="0.25">
      <c r="A511" s="2">
        <v>509</v>
      </c>
      <c r="B511" s="2">
        <v>508</v>
      </c>
      <c r="C511" s="2">
        <v>2</v>
      </c>
      <c r="D511" s="4">
        <f t="shared" si="26"/>
        <v>-1</v>
      </c>
      <c r="E511" s="5">
        <f t="shared" si="27"/>
        <v>-1.9646365422396855E-3</v>
      </c>
      <c r="F511" s="2">
        <v>1</v>
      </c>
      <c r="G511" s="3">
        <f t="shared" si="28"/>
        <v>29</v>
      </c>
      <c r="H511" s="2" t="s">
        <v>11</v>
      </c>
      <c r="I511" s="3">
        <v>-1</v>
      </c>
    </row>
    <row r="512" spans="1:9" x14ac:dyDescent="0.25">
      <c r="A512" s="2">
        <v>510</v>
      </c>
      <c r="B512" s="2">
        <v>128</v>
      </c>
      <c r="C512" s="2">
        <v>16</v>
      </c>
      <c r="D512" s="4">
        <f t="shared" si="26"/>
        <v>366</v>
      </c>
      <c r="E512" s="5">
        <f t="shared" si="27"/>
        <v>0.71764705882352942</v>
      </c>
      <c r="F512" s="2">
        <v>4</v>
      </c>
      <c r="G512" s="3">
        <f t="shared" si="28"/>
        <v>0</v>
      </c>
      <c r="H512" s="2" t="s">
        <v>12</v>
      </c>
      <c r="I512" s="3"/>
    </row>
    <row r="513" spans="1:9" x14ac:dyDescent="0.25">
      <c r="A513" s="2">
        <v>511</v>
      </c>
      <c r="B513" s="2">
        <v>432</v>
      </c>
      <c r="C513" s="2">
        <v>4</v>
      </c>
      <c r="D513" s="4">
        <f t="shared" si="26"/>
        <v>75</v>
      </c>
      <c r="E513" s="5">
        <f t="shared" si="27"/>
        <v>0.14677103718199608</v>
      </c>
      <c r="F513" s="2">
        <v>2</v>
      </c>
      <c r="G513" s="3">
        <f t="shared" si="28"/>
        <v>1</v>
      </c>
      <c r="H513" s="2" t="s">
        <v>12</v>
      </c>
      <c r="I513" s="3"/>
    </row>
    <row r="514" spans="1:9" x14ac:dyDescent="0.25">
      <c r="A514" s="2">
        <v>512</v>
      </c>
      <c r="B514" s="2">
        <v>256</v>
      </c>
      <c r="C514" s="2">
        <v>10</v>
      </c>
      <c r="D514" s="4">
        <f t="shared" si="26"/>
        <v>246</v>
      </c>
      <c r="E514" s="5">
        <f t="shared" si="27"/>
        <v>0.48046875</v>
      </c>
      <c r="F514" s="2">
        <v>1</v>
      </c>
      <c r="G514" s="3">
        <f t="shared" si="28"/>
        <v>2</v>
      </c>
      <c r="H514" s="2" t="s">
        <v>12</v>
      </c>
      <c r="I514" s="3"/>
    </row>
    <row r="515" spans="1:9" x14ac:dyDescent="0.25">
      <c r="A515" s="2">
        <v>513</v>
      </c>
      <c r="B515" s="2">
        <v>324</v>
      </c>
      <c r="C515" s="2">
        <v>8</v>
      </c>
      <c r="D515" s="4">
        <f t="shared" ref="D515:D578" si="29">A515-B515-C515</f>
        <v>181</v>
      </c>
      <c r="E515" s="5">
        <f t="shared" ref="E515:E578" si="30">D515/A515</f>
        <v>0.35282651072124754</v>
      </c>
      <c r="F515" s="2">
        <v>2</v>
      </c>
      <c r="G515" s="3">
        <f t="shared" ref="G515:G578" si="31">MOD(A515,30)</f>
        <v>3</v>
      </c>
      <c r="H515" s="2" t="s">
        <v>12</v>
      </c>
      <c r="I515" s="3"/>
    </row>
    <row r="516" spans="1:9" x14ac:dyDescent="0.25">
      <c r="A516" s="2">
        <v>514</v>
      </c>
      <c r="B516" s="2">
        <v>256</v>
      </c>
      <c r="C516" s="2">
        <v>4</v>
      </c>
      <c r="D516" s="4">
        <f t="shared" si="29"/>
        <v>254</v>
      </c>
      <c r="E516" s="5">
        <f t="shared" si="30"/>
        <v>0.49416342412451364</v>
      </c>
      <c r="F516" s="2">
        <v>2</v>
      </c>
      <c r="G516" s="3">
        <f t="shared" si="31"/>
        <v>4</v>
      </c>
      <c r="H516" s="2" t="s">
        <v>12</v>
      </c>
      <c r="I516" s="3"/>
    </row>
    <row r="517" spans="1:9" x14ac:dyDescent="0.25">
      <c r="A517" s="2">
        <v>515</v>
      </c>
      <c r="B517" s="2">
        <v>408</v>
      </c>
      <c r="C517" s="2">
        <v>4</v>
      </c>
      <c r="D517" s="4">
        <f t="shared" si="29"/>
        <v>103</v>
      </c>
      <c r="E517" s="5">
        <f t="shared" si="30"/>
        <v>0.2</v>
      </c>
      <c r="F517" s="2">
        <v>2</v>
      </c>
      <c r="G517" s="3">
        <f t="shared" si="31"/>
        <v>5</v>
      </c>
      <c r="H517" s="2" t="s">
        <v>12</v>
      </c>
      <c r="I517" s="3"/>
    </row>
    <row r="518" spans="1:9" x14ac:dyDescent="0.25">
      <c r="A518" s="2">
        <v>516</v>
      </c>
      <c r="B518" s="2">
        <v>168</v>
      </c>
      <c r="C518" s="2">
        <v>12</v>
      </c>
      <c r="D518" s="4">
        <f t="shared" si="29"/>
        <v>336</v>
      </c>
      <c r="E518" s="5">
        <f t="shared" si="30"/>
        <v>0.65116279069767447</v>
      </c>
      <c r="F518" s="2">
        <v>3</v>
      </c>
      <c r="G518" s="3">
        <f t="shared" si="31"/>
        <v>6</v>
      </c>
      <c r="H518" s="2" t="s">
        <v>12</v>
      </c>
      <c r="I518" s="3"/>
    </row>
    <row r="519" spans="1:9" x14ac:dyDescent="0.25">
      <c r="A519" s="2">
        <v>517</v>
      </c>
      <c r="B519" s="2">
        <v>460</v>
      </c>
      <c r="C519" s="2">
        <v>4</v>
      </c>
      <c r="D519" s="4">
        <f t="shared" si="29"/>
        <v>53</v>
      </c>
      <c r="E519" s="5">
        <f t="shared" si="30"/>
        <v>0.10251450676982592</v>
      </c>
      <c r="F519" s="2">
        <v>2</v>
      </c>
      <c r="G519" s="3">
        <f t="shared" si="31"/>
        <v>7</v>
      </c>
      <c r="H519" s="2" t="s">
        <v>12</v>
      </c>
      <c r="I519" s="3"/>
    </row>
    <row r="520" spans="1:9" x14ac:dyDescent="0.25">
      <c r="A520" s="2">
        <v>518</v>
      </c>
      <c r="B520" s="2">
        <v>216</v>
      </c>
      <c r="C520" s="2">
        <v>8</v>
      </c>
      <c r="D520" s="4">
        <f t="shared" si="29"/>
        <v>294</v>
      </c>
      <c r="E520" s="5">
        <f t="shared" si="30"/>
        <v>0.56756756756756754</v>
      </c>
      <c r="F520" s="2">
        <v>3</v>
      </c>
      <c r="G520" s="3">
        <f t="shared" si="31"/>
        <v>8</v>
      </c>
      <c r="H520" s="2" t="s">
        <v>12</v>
      </c>
      <c r="I520" s="3"/>
    </row>
    <row r="521" spans="1:9" x14ac:dyDescent="0.25">
      <c r="A521" s="2">
        <v>519</v>
      </c>
      <c r="B521" s="2">
        <v>344</v>
      </c>
      <c r="C521" s="2">
        <v>4</v>
      </c>
      <c r="D521" s="4">
        <f t="shared" si="29"/>
        <v>171</v>
      </c>
      <c r="E521" s="5">
        <f t="shared" si="30"/>
        <v>0.32947976878612717</v>
      </c>
      <c r="F521" s="2">
        <v>2</v>
      </c>
      <c r="G521" s="3">
        <f t="shared" si="31"/>
        <v>9</v>
      </c>
      <c r="H521" s="2" t="s">
        <v>12</v>
      </c>
      <c r="I521" s="3"/>
    </row>
    <row r="522" spans="1:9" x14ac:dyDescent="0.25">
      <c r="A522" s="2">
        <v>520</v>
      </c>
      <c r="B522" s="2">
        <v>192</v>
      </c>
      <c r="C522" s="2">
        <v>16</v>
      </c>
      <c r="D522" s="4">
        <f t="shared" si="29"/>
        <v>312</v>
      </c>
      <c r="E522" s="5">
        <f t="shared" si="30"/>
        <v>0.6</v>
      </c>
      <c r="F522" s="2">
        <v>3</v>
      </c>
      <c r="G522" s="3">
        <f t="shared" si="31"/>
        <v>10</v>
      </c>
      <c r="H522" s="2" t="s">
        <v>12</v>
      </c>
      <c r="I522" s="3"/>
    </row>
    <row r="523" spans="1:9" x14ac:dyDescent="0.25">
      <c r="A523" s="2">
        <v>521</v>
      </c>
      <c r="B523" s="2">
        <v>520</v>
      </c>
      <c r="C523" s="2">
        <v>2</v>
      </c>
      <c r="D523" s="4">
        <f t="shared" si="29"/>
        <v>-1</v>
      </c>
      <c r="E523" s="5">
        <f t="shared" si="30"/>
        <v>-1.9193857965451055E-3</v>
      </c>
      <c r="F523" s="2">
        <v>1</v>
      </c>
      <c r="G523" s="3">
        <f t="shared" si="31"/>
        <v>11</v>
      </c>
      <c r="H523" s="2" t="s">
        <v>11</v>
      </c>
      <c r="I523" s="3">
        <v>-1</v>
      </c>
    </row>
    <row r="524" spans="1:9" x14ac:dyDescent="0.25">
      <c r="A524" s="2">
        <v>522</v>
      </c>
      <c r="B524" s="2">
        <v>168</v>
      </c>
      <c r="C524" s="2">
        <v>12</v>
      </c>
      <c r="D524" s="4">
        <f t="shared" si="29"/>
        <v>342</v>
      </c>
      <c r="E524" s="5">
        <f t="shared" si="30"/>
        <v>0.65517241379310343</v>
      </c>
      <c r="F524" s="2">
        <v>3</v>
      </c>
      <c r="G524" s="3">
        <f t="shared" si="31"/>
        <v>12</v>
      </c>
      <c r="H524" s="2" t="s">
        <v>12</v>
      </c>
      <c r="I524" s="3"/>
    </row>
    <row r="525" spans="1:9" x14ac:dyDescent="0.25">
      <c r="A525" s="2">
        <v>523</v>
      </c>
      <c r="B525" s="2">
        <v>522</v>
      </c>
      <c r="C525" s="2">
        <v>2</v>
      </c>
      <c r="D525" s="4">
        <f t="shared" si="29"/>
        <v>-1</v>
      </c>
      <c r="E525" s="5">
        <f t="shared" si="30"/>
        <v>-1.9120458891013384E-3</v>
      </c>
      <c r="F525" s="2">
        <v>1</v>
      </c>
      <c r="G525" s="3">
        <f t="shared" si="31"/>
        <v>13</v>
      </c>
      <c r="H525" s="2" t="s">
        <v>11</v>
      </c>
      <c r="I525" s="3">
        <v>-1</v>
      </c>
    </row>
    <row r="526" spans="1:9" x14ac:dyDescent="0.25">
      <c r="A526" s="2">
        <v>524</v>
      </c>
      <c r="B526" s="2">
        <v>260</v>
      </c>
      <c r="C526" s="2">
        <v>6</v>
      </c>
      <c r="D526" s="4">
        <f t="shared" si="29"/>
        <v>258</v>
      </c>
      <c r="E526" s="5">
        <f t="shared" si="30"/>
        <v>0.49236641221374045</v>
      </c>
      <c r="F526" s="2">
        <v>2</v>
      </c>
      <c r="G526" s="3">
        <f t="shared" si="31"/>
        <v>14</v>
      </c>
      <c r="H526" s="2" t="s">
        <v>12</v>
      </c>
      <c r="I526" s="3"/>
    </row>
    <row r="527" spans="1:9" x14ac:dyDescent="0.25">
      <c r="A527" s="2">
        <v>525</v>
      </c>
      <c r="B527" s="2">
        <v>240</v>
      </c>
      <c r="C527" s="2">
        <v>12</v>
      </c>
      <c r="D527" s="4">
        <f t="shared" si="29"/>
        <v>273</v>
      </c>
      <c r="E527" s="5">
        <f t="shared" si="30"/>
        <v>0.52</v>
      </c>
      <c r="F527" s="2">
        <v>3</v>
      </c>
      <c r="G527" s="3">
        <f t="shared" si="31"/>
        <v>15</v>
      </c>
      <c r="H527" s="2" t="s">
        <v>12</v>
      </c>
      <c r="I527" s="3"/>
    </row>
    <row r="528" spans="1:9" x14ac:dyDescent="0.25">
      <c r="A528" s="2">
        <v>526</v>
      </c>
      <c r="B528" s="2">
        <v>262</v>
      </c>
      <c r="C528" s="2">
        <v>4</v>
      </c>
      <c r="D528" s="4">
        <f t="shared" si="29"/>
        <v>260</v>
      </c>
      <c r="E528" s="5">
        <f t="shared" si="30"/>
        <v>0.49429657794676807</v>
      </c>
      <c r="F528" s="2">
        <v>2</v>
      </c>
      <c r="G528" s="3">
        <f t="shared" si="31"/>
        <v>16</v>
      </c>
      <c r="H528" s="2" t="s">
        <v>12</v>
      </c>
      <c r="I528" s="3"/>
    </row>
    <row r="529" spans="1:9" x14ac:dyDescent="0.25">
      <c r="A529" s="2">
        <v>527</v>
      </c>
      <c r="B529" s="2">
        <v>480</v>
      </c>
      <c r="C529" s="2">
        <v>4</v>
      </c>
      <c r="D529" s="4">
        <f t="shared" si="29"/>
        <v>43</v>
      </c>
      <c r="E529" s="5">
        <f t="shared" si="30"/>
        <v>8.1593927893738136E-2</v>
      </c>
      <c r="F529" s="2">
        <v>2</v>
      </c>
      <c r="G529" s="3">
        <f t="shared" si="31"/>
        <v>17</v>
      </c>
      <c r="H529" s="2" t="s">
        <v>12</v>
      </c>
      <c r="I529" s="3"/>
    </row>
    <row r="530" spans="1:9" x14ac:dyDescent="0.25">
      <c r="A530" s="2">
        <v>528</v>
      </c>
      <c r="B530" s="2">
        <v>160</v>
      </c>
      <c r="C530" s="2">
        <v>20</v>
      </c>
      <c r="D530" s="4">
        <f t="shared" si="29"/>
        <v>348</v>
      </c>
      <c r="E530" s="5">
        <f t="shared" si="30"/>
        <v>0.65909090909090906</v>
      </c>
      <c r="F530" s="2">
        <v>3</v>
      </c>
      <c r="G530" s="3">
        <f t="shared" si="31"/>
        <v>18</v>
      </c>
      <c r="H530" s="2" t="s">
        <v>12</v>
      </c>
      <c r="I530" s="3"/>
    </row>
    <row r="531" spans="1:9" x14ac:dyDescent="0.25">
      <c r="A531" s="2">
        <v>529</v>
      </c>
      <c r="B531" s="2">
        <v>506</v>
      </c>
      <c r="C531" s="2">
        <v>3</v>
      </c>
      <c r="D531" s="4">
        <f t="shared" si="29"/>
        <v>20</v>
      </c>
      <c r="E531" s="5">
        <f t="shared" si="30"/>
        <v>3.780718336483932E-2</v>
      </c>
      <c r="F531" s="2">
        <v>1</v>
      </c>
      <c r="G531" s="3">
        <f t="shared" si="31"/>
        <v>19</v>
      </c>
      <c r="H531" s="2" t="s">
        <v>12</v>
      </c>
      <c r="I531" s="3"/>
    </row>
    <row r="532" spans="1:9" x14ac:dyDescent="0.25">
      <c r="A532" s="2">
        <v>530</v>
      </c>
      <c r="B532" s="2">
        <v>208</v>
      </c>
      <c r="C532" s="2">
        <v>8</v>
      </c>
      <c r="D532" s="4">
        <f t="shared" si="29"/>
        <v>314</v>
      </c>
      <c r="E532" s="5">
        <f t="shared" si="30"/>
        <v>0.59245283018867922</v>
      </c>
      <c r="F532" s="2">
        <v>3</v>
      </c>
      <c r="G532" s="3">
        <f t="shared" si="31"/>
        <v>20</v>
      </c>
      <c r="H532" s="2" t="s">
        <v>12</v>
      </c>
      <c r="I532" s="3"/>
    </row>
    <row r="533" spans="1:9" x14ac:dyDescent="0.25">
      <c r="A533" s="2">
        <v>531</v>
      </c>
      <c r="B533" s="2">
        <v>348</v>
      </c>
      <c r="C533" s="2">
        <v>6</v>
      </c>
      <c r="D533" s="4">
        <f t="shared" si="29"/>
        <v>177</v>
      </c>
      <c r="E533" s="5">
        <f t="shared" si="30"/>
        <v>0.33333333333333331</v>
      </c>
      <c r="F533" s="2">
        <v>2</v>
      </c>
      <c r="G533" s="3">
        <f t="shared" si="31"/>
        <v>21</v>
      </c>
      <c r="H533" s="2" t="s">
        <v>12</v>
      </c>
      <c r="I533" s="3"/>
    </row>
    <row r="534" spans="1:9" x14ac:dyDescent="0.25">
      <c r="A534" s="2">
        <v>532</v>
      </c>
      <c r="B534" s="2">
        <v>216</v>
      </c>
      <c r="C534" s="2">
        <v>12</v>
      </c>
      <c r="D534" s="4">
        <f t="shared" si="29"/>
        <v>304</v>
      </c>
      <c r="E534" s="5">
        <f t="shared" si="30"/>
        <v>0.5714285714285714</v>
      </c>
      <c r="F534" s="2">
        <v>3</v>
      </c>
      <c r="G534" s="3">
        <f t="shared" si="31"/>
        <v>22</v>
      </c>
      <c r="H534" s="2" t="s">
        <v>12</v>
      </c>
      <c r="I534" s="3"/>
    </row>
    <row r="535" spans="1:9" x14ac:dyDescent="0.25">
      <c r="A535" s="2">
        <v>533</v>
      </c>
      <c r="B535" s="2">
        <v>480</v>
      </c>
      <c r="C535" s="2">
        <v>4</v>
      </c>
      <c r="D535" s="4">
        <f t="shared" si="29"/>
        <v>49</v>
      </c>
      <c r="E535" s="5">
        <f t="shared" si="30"/>
        <v>9.193245778611632E-2</v>
      </c>
      <c r="F535" s="2">
        <v>2</v>
      </c>
      <c r="G535" s="3">
        <f t="shared" si="31"/>
        <v>23</v>
      </c>
      <c r="H535" s="2" t="s">
        <v>12</v>
      </c>
      <c r="I535" s="3"/>
    </row>
    <row r="536" spans="1:9" x14ac:dyDescent="0.25">
      <c r="A536" s="2">
        <v>534</v>
      </c>
      <c r="B536" s="2">
        <v>176</v>
      </c>
      <c r="C536" s="2">
        <v>8</v>
      </c>
      <c r="D536" s="4">
        <f t="shared" si="29"/>
        <v>350</v>
      </c>
      <c r="E536" s="5">
        <f t="shared" si="30"/>
        <v>0.65543071161048694</v>
      </c>
      <c r="F536" s="2">
        <v>3</v>
      </c>
      <c r="G536" s="3">
        <f t="shared" si="31"/>
        <v>24</v>
      </c>
      <c r="H536" s="2" t="s">
        <v>12</v>
      </c>
      <c r="I536" s="3"/>
    </row>
    <row r="537" spans="1:9" x14ac:dyDescent="0.25">
      <c r="A537" s="2">
        <v>535</v>
      </c>
      <c r="B537" s="2">
        <v>424</v>
      </c>
      <c r="C537" s="2">
        <v>4</v>
      </c>
      <c r="D537" s="4">
        <f t="shared" si="29"/>
        <v>107</v>
      </c>
      <c r="E537" s="5">
        <f t="shared" si="30"/>
        <v>0.2</v>
      </c>
      <c r="F537" s="2">
        <v>2</v>
      </c>
      <c r="G537" s="3">
        <f t="shared" si="31"/>
        <v>25</v>
      </c>
      <c r="H537" s="2" t="s">
        <v>12</v>
      </c>
      <c r="I537" s="3"/>
    </row>
    <row r="538" spans="1:9" x14ac:dyDescent="0.25">
      <c r="A538" s="2">
        <v>536</v>
      </c>
      <c r="B538" s="2">
        <v>264</v>
      </c>
      <c r="C538" s="2">
        <v>8</v>
      </c>
      <c r="D538" s="4">
        <f t="shared" si="29"/>
        <v>264</v>
      </c>
      <c r="E538" s="5">
        <f t="shared" si="30"/>
        <v>0.4925373134328358</v>
      </c>
      <c r="F538" s="2">
        <v>2</v>
      </c>
      <c r="G538" s="3">
        <f t="shared" si="31"/>
        <v>26</v>
      </c>
      <c r="H538" s="2" t="s">
        <v>12</v>
      </c>
      <c r="I538" s="3"/>
    </row>
    <row r="539" spans="1:9" x14ac:dyDescent="0.25">
      <c r="A539" s="2">
        <v>537</v>
      </c>
      <c r="B539" s="2">
        <v>356</v>
      </c>
      <c r="C539" s="2">
        <v>4</v>
      </c>
      <c r="D539" s="4">
        <f t="shared" si="29"/>
        <v>177</v>
      </c>
      <c r="E539" s="5">
        <f t="shared" si="30"/>
        <v>0.32960893854748602</v>
      </c>
      <c r="F539" s="2">
        <v>2</v>
      </c>
      <c r="G539" s="3">
        <f t="shared" si="31"/>
        <v>27</v>
      </c>
      <c r="H539" s="2" t="s">
        <v>12</v>
      </c>
      <c r="I539" s="3"/>
    </row>
    <row r="540" spans="1:9" x14ac:dyDescent="0.25">
      <c r="A540" s="2">
        <v>538</v>
      </c>
      <c r="B540" s="2">
        <v>268</v>
      </c>
      <c r="C540" s="2">
        <v>4</v>
      </c>
      <c r="D540" s="4">
        <f t="shared" si="29"/>
        <v>266</v>
      </c>
      <c r="E540" s="5">
        <f t="shared" si="30"/>
        <v>0.49442379182156132</v>
      </c>
      <c r="F540" s="2">
        <v>2</v>
      </c>
      <c r="G540" s="3">
        <f t="shared" si="31"/>
        <v>28</v>
      </c>
      <c r="H540" s="2" t="s">
        <v>12</v>
      </c>
      <c r="I540" s="3"/>
    </row>
    <row r="541" spans="1:9" x14ac:dyDescent="0.25">
      <c r="A541" s="2">
        <v>539</v>
      </c>
      <c r="B541" s="2">
        <v>420</v>
      </c>
      <c r="C541" s="2">
        <v>6</v>
      </c>
      <c r="D541" s="4">
        <f t="shared" si="29"/>
        <v>113</v>
      </c>
      <c r="E541" s="5">
        <f t="shared" si="30"/>
        <v>0.20964749536178107</v>
      </c>
      <c r="F541" s="2">
        <v>2</v>
      </c>
      <c r="G541" s="3">
        <f t="shared" si="31"/>
        <v>29</v>
      </c>
      <c r="H541" s="2" t="s">
        <v>12</v>
      </c>
      <c r="I541" s="3"/>
    </row>
    <row r="542" spans="1:9" x14ac:dyDescent="0.25">
      <c r="A542" s="2">
        <v>540</v>
      </c>
      <c r="B542" s="2">
        <v>144</v>
      </c>
      <c r="C542" s="2">
        <v>24</v>
      </c>
      <c r="D542" s="4">
        <f t="shared" si="29"/>
        <v>372</v>
      </c>
      <c r="E542" s="5">
        <f t="shared" si="30"/>
        <v>0.68888888888888888</v>
      </c>
      <c r="F542" s="2">
        <v>3</v>
      </c>
      <c r="G542" s="3">
        <f t="shared" si="31"/>
        <v>0</v>
      </c>
      <c r="H542" s="2" t="s">
        <v>12</v>
      </c>
      <c r="I542" s="3"/>
    </row>
    <row r="543" spans="1:9" x14ac:dyDescent="0.25">
      <c r="A543" s="2">
        <v>541</v>
      </c>
      <c r="B543" s="2">
        <v>540</v>
      </c>
      <c r="C543" s="2">
        <v>2</v>
      </c>
      <c r="D543" s="4">
        <f t="shared" si="29"/>
        <v>-1</v>
      </c>
      <c r="E543" s="5">
        <f t="shared" si="30"/>
        <v>-1.8484288354898336E-3</v>
      </c>
      <c r="F543" s="2">
        <v>1</v>
      </c>
      <c r="G543" s="3">
        <f t="shared" si="31"/>
        <v>1</v>
      </c>
      <c r="H543" s="2" t="s">
        <v>11</v>
      </c>
      <c r="I543" s="3">
        <v>-1</v>
      </c>
    </row>
    <row r="544" spans="1:9" x14ac:dyDescent="0.25">
      <c r="A544" s="2">
        <v>542</v>
      </c>
      <c r="B544" s="2">
        <v>270</v>
      </c>
      <c r="C544" s="2">
        <v>4</v>
      </c>
      <c r="D544" s="4">
        <f t="shared" si="29"/>
        <v>268</v>
      </c>
      <c r="E544" s="5">
        <f t="shared" si="30"/>
        <v>0.49446494464944651</v>
      </c>
      <c r="F544" s="2">
        <v>2</v>
      </c>
      <c r="G544" s="3">
        <f t="shared" si="31"/>
        <v>2</v>
      </c>
      <c r="H544" s="2" t="s">
        <v>12</v>
      </c>
      <c r="I544" s="3"/>
    </row>
    <row r="545" spans="1:9" x14ac:dyDescent="0.25">
      <c r="A545" s="2">
        <v>543</v>
      </c>
      <c r="B545" s="2">
        <v>360</v>
      </c>
      <c r="C545" s="2">
        <v>4</v>
      </c>
      <c r="D545" s="4">
        <f t="shared" si="29"/>
        <v>179</v>
      </c>
      <c r="E545" s="5">
        <f t="shared" si="30"/>
        <v>0.3296500920810313</v>
      </c>
      <c r="F545" s="2">
        <v>2</v>
      </c>
      <c r="G545" s="3">
        <f t="shared" si="31"/>
        <v>3</v>
      </c>
      <c r="H545" s="2" t="s">
        <v>12</v>
      </c>
      <c r="I545" s="3"/>
    </row>
    <row r="546" spans="1:9" x14ac:dyDescent="0.25">
      <c r="A546" s="2">
        <v>544</v>
      </c>
      <c r="B546" s="2">
        <v>256</v>
      </c>
      <c r="C546" s="2">
        <v>12</v>
      </c>
      <c r="D546" s="4">
        <f t="shared" si="29"/>
        <v>276</v>
      </c>
      <c r="E546" s="5">
        <f t="shared" si="30"/>
        <v>0.50735294117647056</v>
      </c>
      <c r="F546" s="2">
        <v>2</v>
      </c>
      <c r="G546" s="3">
        <f t="shared" si="31"/>
        <v>4</v>
      </c>
      <c r="H546" s="2" t="s">
        <v>12</v>
      </c>
      <c r="I546" s="3"/>
    </row>
    <row r="547" spans="1:9" x14ac:dyDescent="0.25">
      <c r="A547" s="2">
        <v>545</v>
      </c>
      <c r="B547" s="2">
        <v>432</v>
      </c>
      <c r="C547" s="2">
        <v>4</v>
      </c>
      <c r="D547" s="4">
        <f t="shared" si="29"/>
        <v>109</v>
      </c>
      <c r="E547" s="5">
        <f t="shared" si="30"/>
        <v>0.2</v>
      </c>
      <c r="F547" s="2">
        <v>2</v>
      </c>
      <c r="G547" s="3">
        <f t="shared" si="31"/>
        <v>5</v>
      </c>
      <c r="H547" s="2" t="s">
        <v>12</v>
      </c>
      <c r="I547" s="3"/>
    </row>
    <row r="548" spans="1:9" x14ac:dyDescent="0.25">
      <c r="A548" s="2">
        <v>546</v>
      </c>
      <c r="B548" s="2">
        <v>144</v>
      </c>
      <c r="C548" s="2">
        <v>16</v>
      </c>
      <c r="D548" s="4">
        <f t="shared" si="29"/>
        <v>386</v>
      </c>
      <c r="E548" s="5">
        <f t="shared" si="30"/>
        <v>0.706959706959707</v>
      </c>
      <c r="F548" s="2">
        <v>4</v>
      </c>
      <c r="G548" s="3">
        <f t="shared" si="31"/>
        <v>6</v>
      </c>
      <c r="H548" s="2" t="s">
        <v>12</v>
      </c>
      <c r="I548" s="3"/>
    </row>
    <row r="549" spans="1:9" x14ac:dyDescent="0.25">
      <c r="A549" s="2">
        <v>547</v>
      </c>
      <c r="B549" s="2">
        <v>546</v>
      </c>
      <c r="C549" s="2">
        <v>2</v>
      </c>
      <c r="D549" s="4">
        <f t="shared" si="29"/>
        <v>-1</v>
      </c>
      <c r="E549" s="5">
        <f t="shared" si="30"/>
        <v>-1.8281535648994515E-3</v>
      </c>
      <c r="F549" s="2">
        <v>1</v>
      </c>
      <c r="G549" s="3">
        <f t="shared" si="31"/>
        <v>7</v>
      </c>
      <c r="H549" s="2" t="s">
        <v>11</v>
      </c>
      <c r="I549" s="3">
        <v>-1</v>
      </c>
    </row>
    <row r="550" spans="1:9" x14ac:dyDescent="0.25">
      <c r="A550" s="2">
        <v>548</v>
      </c>
      <c r="B550" s="2">
        <v>272</v>
      </c>
      <c r="C550" s="2">
        <v>6</v>
      </c>
      <c r="D550" s="4">
        <f t="shared" si="29"/>
        <v>270</v>
      </c>
      <c r="E550" s="5">
        <f t="shared" si="30"/>
        <v>0.49270072992700731</v>
      </c>
      <c r="F550" s="2">
        <v>2</v>
      </c>
      <c r="G550" s="3">
        <f t="shared" si="31"/>
        <v>8</v>
      </c>
      <c r="H550" s="2" t="s">
        <v>12</v>
      </c>
      <c r="I550" s="3"/>
    </row>
    <row r="551" spans="1:9" x14ac:dyDescent="0.25">
      <c r="A551" s="2">
        <v>549</v>
      </c>
      <c r="B551" s="2">
        <v>360</v>
      </c>
      <c r="C551" s="2">
        <v>6</v>
      </c>
      <c r="D551" s="4">
        <f t="shared" si="29"/>
        <v>183</v>
      </c>
      <c r="E551" s="5">
        <f t="shared" si="30"/>
        <v>0.33333333333333331</v>
      </c>
      <c r="F551" s="2">
        <v>2</v>
      </c>
      <c r="G551" s="3">
        <f t="shared" si="31"/>
        <v>9</v>
      </c>
      <c r="H551" s="2" t="s">
        <v>12</v>
      </c>
      <c r="I551" s="3"/>
    </row>
    <row r="552" spans="1:9" x14ac:dyDescent="0.25">
      <c r="A552" s="2">
        <v>550</v>
      </c>
      <c r="B552" s="2">
        <v>200</v>
      </c>
      <c r="C552" s="2">
        <v>12</v>
      </c>
      <c r="D552" s="4">
        <f t="shared" si="29"/>
        <v>338</v>
      </c>
      <c r="E552" s="5">
        <f t="shared" si="30"/>
        <v>0.61454545454545451</v>
      </c>
      <c r="F552" s="2">
        <v>3</v>
      </c>
      <c r="G552" s="3">
        <f t="shared" si="31"/>
        <v>10</v>
      </c>
      <c r="H552" s="2" t="s">
        <v>12</v>
      </c>
      <c r="I552" s="3"/>
    </row>
    <row r="553" spans="1:9" x14ac:dyDescent="0.25">
      <c r="A553" s="2">
        <v>551</v>
      </c>
      <c r="B553" s="2">
        <v>504</v>
      </c>
      <c r="C553" s="2">
        <v>4</v>
      </c>
      <c r="D553" s="4">
        <f t="shared" si="29"/>
        <v>43</v>
      </c>
      <c r="E553" s="5">
        <f t="shared" si="30"/>
        <v>7.8039927404718698E-2</v>
      </c>
      <c r="F553" s="2">
        <v>2</v>
      </c>
      <c r="G553" s="3">
        <f t="shared" si="31"/>
        <v>11</v>
      </c>
      <c r="H553" s="2" t="s">
        <v>12</v>
      </c>
      <c r="I553" s="3"/>
    </row>
    <row r="554" spans="1:9" x14ac:dyDescent="0.25">
      <c r="A554" s="2">
        <v>552</v>
      </c>
      <c r="B554" s="2">
        <v>176</v>
      </c>
      <c r="C554" s="2">
        <v>16</v>
      </c>
      <c r="D554" s="4">
        <f t="shared" si="29"/>
        <v>360</v>
      </c>
      <c r="E554" s="5">
        <f t="shared" si="30"/>
        <v>0.65217391304347827</v>
      </c>
      <c r="F554" s="2">
        <v>3</v>
      </c>
      <c r="G554" s="3">
        <f t="shared" si="31"/>
        <v>12</v>
      </c>
      <c r="H554" s="2" t="s">
        <v>12</v>
      </c>
      <c r="I554" s="3"/>
    </row>
    <row r="555" spans="1:9" x14ac:dyDescent="0.25">
      <c r="A555" s="2">
        <v>553</v>
      </c>
      <c r="B555" s="2">
        <v>468</v>
      </c>
      <c r="C555" s="2">
        <v>4</v>
      </c>
      <c r="D555" s="4">
        <f t="shared" si="29"/>
        <v>81</v>
      </c>
      <c r="E555" s="5">
        <f t="shared" si="30"/>
        <v>0.14647377938517178</v>
      </c>
      <c r="F555" s="2">
        <v>2</v>
      </c>
      <c r="G555" s="3">
        <f t="shared" si="31"/>
        <v>13</v>
      </c>
      <c r="H555" s="2" t="s">
        <v>12</v>
      </c>
      <c r="I555" s="3"/>
    </row>
    <row r="556" spans="1:9" x14ac:dyDescent="0.25">
      <c r="A556" s="2">
        <v>554</v>
      </c>
      <c r="B556" s="2">
        <v>276</v>
      </c>
      <c r="C556" s="2">
        <v>4</v>
      </c>
      <c r="D556" s="4">
        <f t="shared" si="29"/>
        <v>274</v>
      </c>
      <c r="E556" s="5">
        <f t="shared" si="30"/>
        <v>0.49458483754512633</v>
      </c>
      <c r="F556" s="2">
        <v>2</v>
      </c>
      <c r="G556" s="3">
        <f t="shared" si="31"/>
        <v>14</v>
      </c>
      <c r="H556" s="2" t="s">
        <v>12</v>
      </c>
      <c r="I556" s="3"/>
    </row>
    <row r="557" spans="1:9" x14ac:dyDescent="0.25">
      <c r="A557" s="2">
        <v>555</v>
      </c>
      <c r="B557" s="2">
        <v>288</v>
      </c>
      <c r="C557" s="2">
        <v>8</v>
      </c>
      <c r="D557" s="4">
        <f t="shared" si="29"/>
        <v>259</v>
      </c>
      <c r="E557" s="5">
        <f t="shared" si="30"/>
        <v>0.46666666666666667</v>
      </c>
      <c r="F557" s="2">
        <v>3</v>
      </c>
      <c r="G557" s="3">
        <f t="shared" si="31"/>
        <v>15</v>
      </c>
      <c r="H557" s="2" t="s">
        <v>12</v>
      </c>
      <c r="I557" s="3"/>
    </row>
    <row r="558" spans="1:9" x14ac:dyDescent="0.25">
      <c r="A558" s="2">
        <v>556</v>
      </c>
      <c r="B558" s="2">
        <v>276</v>
      </c>
      <c r="C558" s="2">
        <v>6</v>
      </c>
      <c r="D558" s="4">
        <f t="shared" si="29"/>
        <v>274</v>
      </c>
      <c r="E558" s="5">
        <f t="shared" si="30"/>
        <v>0.49280575539568344</v>
      </c>
      <c r="F558" s="2">
        <v>2</v>
      </c>
      <c r="G558" s="3">
        <f t="shared" si="31"/>
        <v>16</v>
      </c>
      <c r="H558" s="2" t="s">
        <v>12</v>
      </c>
      <c r="I558" s="3"/>
    </row>
    <row r="559" spans="1:9" x14ac:dyDescent="0.25">
      <c r="A559" s="2">
        <v>557</v>
      </c>
      <c r="B559" s="2">
        <v>556</v>
      </c>
      <c r="C559" s="2">
        <v>2</v>
      </c>
      <c r="D559" s="4">
        <f t="shared" si="29"/>
        <v>-1</v>
      </c>
      <c r="E559" s="5">
        <f t="shared" si="30"/>
        <v>-1.7953321364452424E-3</v>
      </c>
      <c r="F559" s="2">
        <v>1</v>
      </c>
      <c r="G559" s="3">
        <f t="shared" si="31"/>
        <v>17</v>
      </c>
      <c r="H559" s="2" t="s">
        <v>11</v>
      </c>
      <c r="I559" s="3">
        <v>-1</v>
      </c>
    </row>
    <row r="560" spans="1:9" x14ac:dyDescent="0.25">
      <c r="A560" s="2">
        <v>558</v>
      </c>
      <c r="B560" s="2">
        <v>180</v>
      </c>
      <c r="C560" s="2">
        <v>12</v>
      </c>
      <c r="D560" s="4">
        <f t="shared" si="29"/>
        <v>366</v>
      </c>
      <c r="E560" s="5">
        <f t="shared" si="30"/>
        <v>0.65591397849462363</v>
      </c>
      <c r="F560" s="2">
        <v>3</v>
      </c>
      <c r="G560" s="3">
        <f t="shared" si="31"/>
        <v>18</v>
      </c>
      <c r="H560" s="2" t="s">
        <v>12</v>
      </c>
      <c r="I560" s="3"/>
    </row>
    <row r="561" spans="1:9" x14ac:dyDescent="0.25">
      <c r="A561" s="2">
        <v>559</v>
      </c>
      <c r="B561" s="2">
        <v>504</v>
      </c>
      <c r="C561" s="2">
        <v>4</v>
      </c>
      <c r="D561" s="4">
        <f t="shared" si="29"/>
        <v>51</v>
      </c>
      <c r="E561" s="5">
        <f t="shared" si="30"/>
        <v>9.1234347048300538E-2</v>
      </c>
      <c r="F561" s="2">
        <v>2</v>
      </c>
      <c r="G561" s="3">
        <f t="shared" si="31"/>
        <v>19</v>
      </c>
      <c r="H561" s="2" t="s">
        <v>12</v>
      </c>
      <c r="I561" s="3"/>
    </row>
    <row r="562" spans="1:9" x14ac:dyDescent="0.25">
      <c r="A562" s="2">
        <v>560</v>
      </c>
      <c r="B562" s="2">
        <v>192</v>
      </c>
      <c r="C562" s="2">
        <v>20</v>
      </c>
      <c r="D562" s="4">
        <f t="shared" si="29"/>
        <v>348</v>
      </c>
      <c r="E562" s="5">
        <f t="shared" si="30"/>
        <v>0.62142857142857144</v>
      </c>
      <c r="F562" s="2">
        <v>3</v>
      </c>
      <c r="G562" s="3">
        <f t="shared" si="31"/>
        <v>20</v>
      </c>
      <c r="H562" s="2" t="s">
        <v>12</v>
      </c>
      <c r="I562" s="3"/>
    </row>
    <row r="563" spans="1:9" x14ac:dyDescent="0.25">
      <c r="A563" s="2">
        <v>561</v>
      </c>
      <c r="B563" s="2">
        <v>320</v>
      </c>
      <c r="C563" s="2">
        <v>8</v>
      </c>
      <c r="D563" s="4">
        <f t="shared" si="29"/>
        <v>233</v>
      </c>
      <c r="E563" s="5">
        <f t="shared" si="30"/>
        <v>0.41532976827094475</v>
      </c>
      <c r="F563" s="2">
        <v>3</v>
      </c>
      <c r="G563" s="3">
        <f t="shared" si="31"/>
        <v>21</v>
      </c>
      <c r="H563" s="2" t="s">
        <v>12</v>
      </c>
      <c r="I563" s="3"/>
    </row>
    <row r="564" spans="1:9" x14ac:dyDescent="0.25">
      <c r="A564" s="2">
        <v>562</v>
      </c>
      <c r="B564" s="2">
        <v>280</v>
      </c>
      <c r="C564" s="2">
        <v>4</v>
      </c>
      <c r="D564" s="4">
        <f t="shared" si="29"/>
        <v>278</v>
      </c>
      <c r="E564" s="5">
        <f t="shared" si="30"/>
        <v>0.49466192170818507</v>
      </c>
      <c r="F564" s="2">
        <v>2</v>
      </c>
      <c r="G564" s="3">
        <f t="shared" si="31"/>
        <v>22</v>
      </c>
      <c r="H564" s="2" t="s">
        <v>12</v>
      </c>
      <c r="I564" s="3"/>
    </row>
    <row r="565" spans="1:9" x14ac:dyDescent="0.25">
      <c r="A565" s="2">
        <v>563</v>
      </c>
      <c r="B565" s="2">
        <v>562</v>
      </c>
      <c r="C565" s="2">
        <v>2</v>
      </c>
      <c r="D565" s="4">
        <f t="shared" si="29"/>
        <v>-1</v>
      </c>
      <c r="E565" s="5">
        <f t="shared" si="30"/>
        <v>-1.7761989342806395E-3</v>
      </c>
      <c r="F565" s="2">
        <v>1</v>
      </c>
      <c r="G565" s="3">
        <f t="shared" si="31"/>
        <v>23</v>
      </c>
      <c r="H565" s="2" t="s">
        <v>11</v>
      </c>
      <c r="I565" s="3">
        <v>-1</v>
      </c>
    </row>
    <row r="566" spans="1:9" x14ac:dyDescent="0.25">
      <c r="A566" s="2">
        <v>564</v>
      </c>
      <c r="B566" s="2">
        <v>184</v>
      </c>
      <c r="C566" s="2">
        <v>12</v>
      </c>
      <c r="D566" s="4">
        <f t="shared" si="29"/>
        <v>368</v>
      </c>
      <c r="E566" s="5">
        <f t="shared" si="30"/>
        <v>0.65248226950354615</v>
      </c>
      <c r="F566" s="2">
        <v>3</v>
      </c>
      <c r="G566" s="3">
        <f t="shared" si="31"/>
        <v>24</v>
      </c>
      <c r="H566" s="2" t="s">
        <v>12</v>
      </c>
      <c r="I566" s="3"/>
    </row>
    <row r="567" spans="1:9" x14ac:dyDescent="0.25">
      <c r="A567" s="2">
        <v>565</v>
      </c>
      <c r="B567" s="2">
        <v>448</v>
      </c>
      <c r="C567" s="2">
        <v>4</v>
      </c>
      <c r="D567" s="4">
        <f t="shared" si="29"/>
        <v>113</v>
      </c>
      <c r="E567" s="5">
        <f t="shared" si="30"/>
        <v>0.2</v>
      </c>
      <c r="F567" s="2">
        <v>2</v>
      </c>
      <c r="G567" s="3">
        <f t="shared" si="31"/>
        <v>25</v>
      </c>
      <c r="H567" s="2" t="s">
        <v>12</v>
      </c>
      <c r="I567" s="3"/>
    </row>
    <row r="568" spans="1:9" x14ac:dyDescent="0.25">
      <c r="A568" s="2">
        <v>566</v>
      </c>
      <c r="B568" s="2">
        <v>282</v>
      </c>
      <c r="C568" s="2">
        <v>4</v>
      </c>
      <c r="D568" s="4">
        <f t="shared" si="29"/>
        <v>280</v>
      </c>
      <c r="E568" s="5">
        <f t="shared" si="30"/>
        <v>0.49469964664310956</v>
      </c>
      <c r="F568" s="2">
        <v>2</v>
      </c>
      <c r="G568" s="3">
        <f t="shared" si="31"/>
        <v>26</v>
      </c>
      <c r="H568" s="2" t="s">
        <v>12</v>
      </c>
      <c r="I568" s="3"/>
    </row>
    <row r="569" spans="1:9" x14ac:dyDescent="0.25">
      <c r="A569" s="2">
        <v>567</v>
      </c>
      <c r="B569" s="2">
        <v>324</v>
      </c>
      <c r="C569" s="2">
        <v>10</v>
      </c>
      <c r="D569" s="4">
        <f t="shared" si="29"/>
        <v>233</v>
      </c>
      <c r="E569" s="5">
        <f t="shared" si="30"/>
        <v>0.41093474426807758</v>
      </c>
      <c r="F569" s="2">
        <v>2</v>
      </c>
      <c r="G569" s="3">
        <f t="shared" si="31"/>
        <v>27</v>
      </c>
      <c r="H569" s="2" t="s">
        <v>12</v>
      </c>
      <c r="I569" s="3"/>
    </row>
    <row r="570" spans="1:9" x14ac:dyDescent="0.25">
      <c r="A570" s="2">
        <v>568</v>
      </c>
      <c r="B570" s="2">
        <v>280</v>
      </c>
      <c r="C570" s="2">
        <v>8</v>
      </c>
      <c r="D570" s="4">
        <f t="shared" si="29"/>
        <v>280</v>
      </c>
      <c r="E570" s="5">
        <f t="shared" si="30"/>
        <v>0.49295774647887325</v>
      </c>
      <c r="F570" s="2">
        <v>2</v>
      </c>
      <c r="G570" s="3">
        <f t="shared" si="31"/>
        <v>28</v>
      </c>
      <c r="H570" s="2" t="s">
        <v>12</v>
      </c>
      <c r="I570" s="3"/>
    </row>
    <row r="571" spans="1:9" x14ac:dyDescent="0.25">
      <c r="A571" s="2">
        <v>569</v>
      </c>
      <c r="B571" s="2">
        <v>568</v>
      </c>
      <c r="C571" s="2">
        <v>2</v>
      </c>
      <c r="D571" s="4">
        <f t="shared" si="29"/>
        <v>-1</v>
      </c>
      <c r="E571" s="5">
        <f t="shared" si="30"/>
        <v>-1.7574692442882249E-3</v>
      </c>
      <c r="F571" s="2">
        <v>1</v>
      </c>
      <c r="G571" s="3">
        <f t="shared" si="31"/>
        <v>29</v>
      </c>
      <c r="H571" s="2" t="s">
        <v>11</v>
      </c>
      <c r="I571" s="3">
        <v>-1</v>
      </c>
    </row>
    <row r="572" spans="1:9" x14ac:dyDescent="0.25">
      <c r="A572" s="2">
        <v>570</v>
      </c>
      <c r="B572" s="2">
        <v>144</v>
      </c>
      <c r="C572" s="2">
        <v>16</v>
      </c>
      <c r="D572" s="4">
        <f t="shared" si="29"/>
        <v>410</v>
      </c>
      <c r="E572" s="5">
        <f t="shared" si="30"/>
        <v>0.7192982456140351</v>
      </c>
      <c r="F572" s="2">
        <v>4</v>
      </c>
      <c r="G572" s="3">
        <f t="shared" si="31"/>
        <v>0</v>
      </c>
      <c r="H572" s="2" t="s">
        <v>12</v>
      </c>
      <c r="I572" s="3"/>
    </row>
    <row r="573" spans="1:9" x14ac:dyDescent="0.25">
      <c r="A573" s="2">
        <v>571</v>
      </c>
      <c r="B573" s="2">
        <v>570</v>
      </c>
      <c r="C573" s="2">
        <v>2</v>
      </c>
      <c r="D573" s="4">
        <f t="shared" si="29"/>
        <v>-1</v>
      </c>
      <c r="E573" s="5">
        <f t="shared" si="30"/>
        <v>-1.7513134851138354E-3</v>
      </c>
      <c r="F573" s="2">
        <v>1</v>
      </c>
      <c r="G573" s="3">
        <f t="shared" si="31"/>
        <v>1</v>
      </c>
      <c r="H573" s="2" t="s">
        <v>11</v>
      </c>
      <c r="I573" s="3">
        <v>-1</v>
      </c>
    </row>
    <row r="574" spans="1:9" x14ac:dyDescent="0.25">
      <c r="A574" s="2">
        <v>572</v>
      </c>
      <c r="B574" s="2">
        <v>240</v>
      </c>
      <c r="C574" s="2">
        <v>12</v>
      </c>
      <c r="D574" s="4">
        <f t="shared" si="29"/>
        <v>320</v>
      </c>
      <c r="E574" s="5">
        <f t="shared" si="30"/>
        <v>0.55944055944055948</v>
      </c>
      <c r="F574" s="2">
        <v>3</v>
      </c>
      <c r="G574" s="3">
        <f t="shared" si="31"/>
        <v>2</v>
      </c>
      <c r="H574" s="2" t="s">
        <v>12</v>
      </c>
      <c r="I574" s="3"/>
    </row>
    <row r="575" spans="1:9" x14ac:dyDescent="0.25">
      <c r="A575" s="2">
        <v>573</v>
      </c>
      <c r="B575" s="2">
        <v>380</v>
      </c>
      <c r="C575" s="2">
        <v>4</v>
      </c>
      <c r="D575" s="4">
        <f t="shared" si="29"/>
        <v>189</v>
      </c>
      <c r="E575" s="5">
        <f t="shared" si="30"/>
        <v>0.32984293193717279</v>
      </c>
      <c r="F575" s="2">
        <v>2</v>
      </c>
      <c r="G575" s="3">
        <f t="shared" si="31"/>
        <v>3</v>
      </c>
      <c r="H575" s="2" t="s">
        <v>12</v>
      </c>
      <c r="I575" s="3"/>
    </row>
    <row r="576" spans="1:9" x14ac:dyDescent="0.25">
      <c r="A576" s="2">
        <v>574</v>
      </c>
      <c r="B576" s="2">
        <v>240</v>
      </c>
      <c r="C576" s="2">
        <v>8</v>
      </c>
      <c r="D576" s="4">
        <f t="shared" si="29"/>
        <v>326</v>
      </c>
      <c r="E576" s="5">
        <f t="shared" si="30"/>
        <v>0.56794425087108014</v>
      </c>
      <c r="F576" s="2">
        <v>3</v>
      </c>
      <c r="G576" s="3">
        <f t="shared" si="31"/>
        <v>4</v>
      </c>
      <c r="H576" s="2" t="s">
        <v>12</v>
      </c>
      <c r="I576" s="3"/>
    </row>
    <row r="577" spans="1:9" x14ac:dyDescent="0.25">
      <c r="A577" s="2">
        <v>575</v>
      </c>
      <c r="B577" s="2">
        <v>440</v>
      </c>
      <c r="C577" s="2">
        <v>6</v>
      </c>
      <c r="D577" s="4">
        <f t="shared" si="29"/>
        <v>129</v>
      </c>
      <c r="E577" s="5">
        <f t="shared" si="30"/>
        <v>0.22434782608695653</v>
      </c>
      <c r="F577" s="2">
        <v>2</v>
      </c>
      <c r="G577" s="3">
        <f t="shared" si="31"/>
        <v>5</v>
      </c>
      <c r="H577" s="2" t="s">
        <v>12</v>
      </c>
      <c r="I577" s="3"/>
    </row>
    <row r="578" spans="1:9" x14ac:dyDescent="0.25">
      <c r="A578" s="2">
        <v>576</v>
      </c>
      <c r="B578" s="2">
        <v>192</v>
      </c>
      <c r="C578" s="2">
        <v>21</v>
      </c>
      <c r="D578" s="4">
        <f t="shared" si="29"/>
        <v>363</v>
      </c>
      <c r="E578" s="5">
        <f t="shared" si="30"/>
        <v>0.63020833333333337</v>
      </c>
      <c r="F578" s="2">
        <v>2</v>
      </c>
      <c r="G578" s="3">
        <f t="shared" si="31"/>
        <v>6</v>
      </c>
      <c r="H578" s="2" t="s">
        <v>12</v>
      </c>
      <c r="I578" s="3"/>
    </row>
    <row r="579" spans="1:9" x14ac:dyDescent="0.25">
      <c r="A579" s="2">
        <v>577</v>
      </c>
      <c r="B579" s="2">
        <v>576</v>
      </c>
      <c r="C579" s="2">
        <v>2</v>
      </c>
      <c r="D579" s="4">
        <f t="shared" ref="D579:D642" si="32">A579-B579-C579</f>
        <v>-1</v>
      </c>
      <c r="E579" s="5">
        <f t="shared" ref="E579:E642" si="33">D579/A579</f>
        <v>-1.7331022530329288E-3</v>
      </c>
      <c r="F579" s="2">
        <v>1</v>
      </c>
      <c r="G579" s="3">
        <f t="shared" ref="G579:G642" si="34">MOD(A579,30)</f>
        <v>7</v>
      </c>
      <c r="H579" s="2" t="s">
        <v>11</v>
      </c>
      <c r="I579" s="3">
        <v>-1</v>
      </c>
    </row>
    <row r="580" spans="1:9" x14ac:dyDescent="0.25">
      <c r="A580" s="2">
        <v>578</v>
      </c>
      <c r="B580" s="2">
        <v>272</v>
      </c>
      <c r="C580" s="2">
        <v>6</v>
      </c>
      <c r="D580" s="4">
        <f t="shared" si="32"/>
        <v>300</v>
      </c>
      <c r="E580" s="5">
        <f t="shared" si="33"/>
        <v>0.51903114186851207</v>
      </c>
      <c r="F580" s="2">
        <v>2</v>
      </c>
      <c r="G580" s="3">
        <f t="shared" si="34"/>
        <v>8</v>
      </c>
      <c r="H580" s="2" t="s">
        <v>12</v>
      </c>
      <c r="I580" s="3"/>
    </row>
    <row r="581" spans="1:9" x14ac:dyDescent="0.25">
      <c r="A581" s="2">
        <v>579</v>
      </c>
      <c r="B581" s="2">
        <v>384</v>
      </c>
      <c r="C581" s="2">
        <v>4</v>
      </c>
      <c r="D581" s="4">
        <f t="shared" si="32"/>
        <v>191</v>
      </c>
      <c r="E581" s="5">
        <f t="shared" si="33"/>
        <v>0.32987910189982728</v>
      </c>
      <c r="F581" s="2">
        <v>2</v>
      </c>
      <c r="G581" s="3">
        <f t="shared" si="34"/>
        <v>9</v>
      </c>
      <c r="H581" s="2" t="s">
        <v>12</v>
      </c>
      <c r="I581" s="3"/>
    </row>
    <row r="582" spans="1:9" x14ac:dyDescent="0.25">
      <c r="A582" s="2">
        <v>580</v>
      </c>
      <c r="B582" s="2">
        <v>224</v>
      </c>
      <c r="C582" s="2">
        <v>12</v>
      </c>
      <c r="D582" s="4">
        <f t="shared" si="32"/>
        <v>344</v>
      </c>
      <c r="E582" s="5">
        <f t="shared" si="33"/>
        <v>0.59310344827586203</v>
      </c>
      <c r="F582" s="2">
        <v>3</v>
      </c>
      <c r="G582" s="3">
        <f t="shared" si="34"/>
        <v>10</v>
      </c>
      <c r="H582" s="2" t="s">
        <v>12</v>
      </c>
      <c r="I582" s="3"/>
    </row>
    <row r="583" spans="1:9" x14ac:dyDescent="0.25">
      <c r="A583" s="2">
        <v>581</v>
      </c>
      <c r="B583" s="2">
        <v>492</v>
      </c>
      <c r="C583" s="2">
        <v>4</v>
      </c>
      <c r="D583" s="4">
        <f t="shared" si="32"/>
        <v>85</v>
      </c>
      <c r="E583" s="5">
        <f t="shared" si="33"/>
        <v>0.14629948364888123</v>
      </c>
      <c r="F583" s="2">
        <v>2</v>
      </c>
      <c r="G583" s="3">
        <f t="shared" si="34"/>
        <v>11</v>
      </c>
      <c r="H583" s="2" t="s">
        <v>12</v>
      </c>
      <c r="I583" s="3"/>
    </row>
    <row r="584" spans="1:9" x14ac:dyDescent="0.25">
      <c r="A584" s="2">
        <v>582</v>
      </c>
      <c r="B584" s="2">
        <v>192</v>
      </c>
      <c r="C584" s="2">
        <v>8</v>
      </c>
      <c r="D584" s="4">
        <f t="shared" si="32"/>
        <v>382</v>
      </c>
      <c r="E584" s="5">
        <f t="shared" si="33"/>
        <v>0.6563573883161512</v>
      </c>
      <c r="F584" s="2">
        <v>3</v>
      </c>
      <c r="G584" s="3">
        <f t="shared" si="34"/>
        <v>12</v>
      </c>
      <c r="H584" s="2" t="s">
        <v>12</v>
      </c>
      <c r="I584" s="3"/>
    </row>
    <row r="585" spans="1:9" x14ac:dyDescent="0.25">
      <c r="A585" s="2">
        <v>583</v>
      </c>
      <c r="B585" s="2">
        <v>520</v>
      </c>
      <c r="C585" s="2">
        <v>4</v>
      </c>
      <c r="D585" s="4">
        <f t="shared" si="32"/>
        <v>59</v>
      </c>
      <c r="E585" s="5">
        <f t="shared" si="33"/>
        <v>0.10120068610634649</v>
      </c>
      <c r="F585" s="2">
        <v>2</v>
      </c>
      <c r="G585" s="3">
        <f t="shared" si="34"/>
        <v>13</v>
      </c>
      <c r="H585" s="2" t="s">
        <v>12</v>
      </c>
      <c r="I585" s="3"/>
    </row>
    <row r="586" spans="1:9" x14ac:dyDescent="0.25">
      <c r="A586" s="2">
        <v>584</v>
      </c>
      <c r="B586" s="2">
        <v>288</v>
      </c>
      <c r="C586" s="2">
        <v>8</v>
      </c>
      <c r="D586" s="4">
        <f t="shared" si="32"/>
        <v>288</v>
      </c>
      <c r="E586" s="5">
        <f t="shared" si="33"/>
        <v>0.49315068493150682</v>
      </c>
      <c r="F586" s="2">
        <v>2</v>
      </c>
      <c r="G586" s="3">
        <f t="shared" si="34"/>
        <v>14</v>
      </c>
      <c r="H586" s="2" t="s">
        <v>12</v>
      </c>
      <c r="I586" s="3"/>
    </row>
    <row r="587" spans="1:9" x14ac:dyDescent="0.25">
      <c r="A587" s="2">
        <v>585</v>
      </c>
      <c r="B587" s="2">
        <v>288</v>
      </c>
      <c r="C587" s="2">
        <v>12</v>
      </c>
      <c r="D587" s="4">
        <f t="shared" si="32"/>
        <v>285</v>
      </c>
      <c r="E587" s="5">
        <f t="shared" si="33"/>
        <v>0.48717948717948717</v>
      </c>
      <c r="F587" s="2">
        <v>3</v>
      </c>
      <c r="G587" s="3">
        <f t="shared" si="34"/>
        <v>15</v>
      </c>
      <c r="H587" s="2" t="s">
        <v>12</v>
      </c>
      <c r="I587" s="3"/>
    </row>
    <row r="588" spans="1:9" x14ac:dyDescent="0.25">
      <c r="A588" s="2">
        <v>586</v>
      </c>
      <c r="B588" s="2">
        <v>292</v>
      </c>
      <c r="C588" s="2">
        <v>4</v>
      </c>
      <c r="D588" s="4">
        <f t="shared" si="32"/>
        <v>290</v>
      </c>
      <c r="E588" s="5">
        <f t="shared" si="33"/>
        <v>0.4948805460750853</v>
      </c>
      <c r="F588" s="2">
        <v>2</v>
      </c>
      <c r="G588" s="3">
        <f t="shared" si="34"/>
        <v>16</v>
      </c>
      <c r="H588" s="2" t="s">
        <v>12</v>
      </c>
      <c r="I588" s="3"/>
    </row>
    <row r="589" spans="1:9" x14ac:dyDescent="0.25">
      <c r="A589" s="2">
        <v>587</v>
      </c>
      <c r="B589" s="2">
        <v>586</v>
      </c>
      <c r="C589" s="2">
        <v>2</v>
      </c>
      <c r="D589" s="4">
        <f t="shared" si="32"/>
        <v>-1</v>
      </c>
      <c r="E589" s="5">
        <f t="shared" si="33"/>
        <v>-1.7035775127768314E-3</v>
      </c>
      <c r="F589" s="2">
        <v>1</v>
      </c>
      <c r="G589" s="3">
        <f t="shared" si="34"/>
        <v>17</v>
      </c>
      <c r="H589" s="2" t="s">
        <v>11</v>
      </c>
      <c r="I589" s="3">
        <v>-1</v>
      </c>
    </row>
    <row r="590" spans="1:9" x14ac:dyDescent="0.25">
      <c r="A590" s="2">
        <v>588</v>
      </c>
      <c r="B590" s="2">
        <v>168</v>
      </c>
      <c r="C590" s="2">
        <v>18</v>
      </c>
      <c r="D590" s="4">
        <f t="shared" si="32"/>
        <v>402</v>
      </c>
      <c r="E590" s="5">
        <f t="shared" si="33"/>
        <v>0.68367346938775508</v>
      </c>
      <c r="F590" s="2">
        <v>3</v>
      </c>
      <c r="G590" s="3">
        <f t="shared" si="34"/>
        <v>18</v>
      </c>
      <c r="H590" s="2" t="s">
        <v>12</v>
      </c>
      <c r="I590" s="3"/>
    </row>
    <row r="591" spans="1:9" x14ac:dyDescent="0.25">
      <c r="A591" s="2">
        <v>589</v>
      </c>
      <c r="B591" s="2">
        <v>540</v>
      </c>
      <c r="C591" s="2">
        <v>4</v>
      </c>
      <c r="D591" s="4">
        <f t="shared" si="32"/>
        <v>45</v>
      </c>
      <c r="E591" s="5">
        <f t="shared" si="33"/>
        <v>7.6400679117147707E-2</v>
      </c>
      <c r="F591" s="2">
        <v>2</v>
      </c>
      <c r="G591" s="3">
        <f t="shared" si="34"/>
        <v>19</v>
      </c>
      <c r="H591" s="2" t="s">
        <v>12</v>
      </c>
      <c r="I591" s="3"/>
    </row>
    <row r="592" spans="1:9" x14ac:dyDescent="0.25">
      <c r="A592" s="2">
        <v>590</v>
      </c>
      <c r="B592" s="2">
        <v>232</v>
      </c>
      <c r="C592" s="2">
        <v>8</v>
      </c>
      <c r="D592" s="4">
        <f t="shared" si="32"/>
        <v>350</v>
      </c>
      <c r="E592" s="5">
        <f t="shared" si="33"/>
        <v>0.59322033898305082</v>
      </c>
      <c r="F592" s="2">
        <v>3</v>
      </c>
      <c r="G592" s="3">
        <f t="shared" si="34"/>
        <v>20</v>
      </c>
      <c r="H592" s="2" t="s">
        <v>12</v>
      </c>
      <c r="I592" s="3"/>
    </row>
    <row r="593" spans="1:9" x14ac:dyDescent="0.25">
      <c r="A593" s="2">
        <v>591</v>
      </c>
      <c r="B593" s="2">
        <v>392</v>
      </c>
      <c r="C593" s="2">
        <v>4</v>
      </c>
      <c r="D593" s="4">
        <f t="shared" si="32"/>
        <v>195</v>
      </c>
      <c r="E593" s="5">
        <f t="shared" si="33"/>
        <v>0.32994923857868019</v>
      </c>
      <c r="F593" s="2">
        <v>2</v>
      </c>
      <c r="G593" s="3">
        <f t="shared" si="34"/>
        <v>21</v>
      </c>
      <c r="H593" s="2" t="s">
        <v>12</v>
      </c>
      <c r="I593" s="3"/>
    </row>
    <row r="594" spans="1:9" x14ac:dyDescent="0.25">
      <c r="A594" s="2">
        <v>592</v>
      </c>
      <c r="B594" s="2">
        <v>288</v>
      </c>
      <c r="C594" s="2">
        <v>10</v>
      </c>
      <c r="D594" s="4">
        <f t="shared" si="32"/>
        <v>294</v>
      </c>
      <c r="E594" s="5">
        <f t="shared" si="33"/>
        <v>0.4966216216216216</v>
      </c>
      <c r="F594" s="2">
        <v>2</v>
      </c>
      <c r="G594" s="3">
        <f t="shared" si="34"/>
        <v>22</v>
      </c>
      <c r="H594" s="2" t="s">
        <v>12</v>
      </c>
      <c r="I594" s="3"/>
    </row>
    <row r="595" spans="1:9" x14ac:dyDescent="0.25">
      <c r="A595" s="2">
        <v>593</v>
      </c>
      <c r="B595" s="2">
        <v>592</v>
      </c>
      <c r="C595" s="2">
        <v>2</v>
      </c>
      <c r="D595" s="4">
        <f t="shared" si="32"/>
        <v>-1</v>
      </c>
      <c r="E595" s="5">
        <f t="shared" si="33"/>
        <v>-1.6863406408094434E-3</v>
      </c>
      <c r="F595" s="2">
        <v>1</v>
      </c>
      <c r="G595" s="3">
        <f t="shared" si="34"/>
        <v>23</v>
      </c>
      <c r="H595" s="2" t="s">
        <v>11</v>
      </c>
      <c r="I595" s="3">
        <v>-1</v>
      </c>
    </row>
    <row r="596" spans="1:9" x14ac:dyDescent="0.25">
      <c r="A596" s="2">
        <v>594</v>
      </c>
      <c r="B596" s="2">
        <v>180</v>
      </c>
      <c r="C596" s="2">
        <v>16</v>
      </c>
      <c r="D596" s="4">
        <f t="shared" si="32"/>
        <v>398</v>
      </c>
      <c r="E596" s="5">
        <f t="shared" si="33"/>
        <v>0.67003367003366998</v>
      </c>
      <c r="F596" s="2">
        <v>3</v>
      </c>
      <c r="G596" s="3">
        <f t="shared" si="34"/>
        <v>24</v>
      </c>
      <c r="H596" s="2" t="s">
        <v>12</v>
      </c>
      <c r="I596" s="3"/>
    </row>
    <row r="597" spans="1:9" x14ac:dyDescent="0.25">
      <c r="A597" s="2">
        <v>595</v>
      </c>
      <c r="B597" s="2">
        <v>384</v>
      </c>
      <c r="C597" s="2">
        <v>8</v>
      </c>
      <c r="D597" s="4">
        <f t="shared" si="32"/>
        <v>203</v>
      </c>
      <c r="E597" s="5">
        <f t="shared" si="33"/>
        <v>0.3411764705882353</v>
      </c>
      <c r="F597" s="2">
        <v>3</v>
      </c>
      <c r="G597" s="3">
        <f t="shared" si="34"/>
        <v>25</v>
      </c>
      <c r="H597" s="2" t="s">
        <v>12</v>
      </c>
      <c r="I597" s="3"/>
    </row>
    <row r="598" spans="1:9" x14ac:dyDescent="0.25">
      <c r="A598" s="2">
        <v>596</v>
      </c>
      <c r="B598" s="2">
        <v>296</v>
      </c>
      <c r="C598" s="2">
        <v>6</v>
      </c>
      <c r="D598" s="4">
        <f t="shared" si="32"/>
        <v>294</v>
      </c>
      <c r="E598" s="5">
        <f t="shared" si="33"/>
        <v>0.49328859060402686</v>
      </c>
      <c r="F598" s="2">
        <v>2</v>
      </c>
      <c r="G598" s="3">
        <f t="shared" si="34"/>
        <v>26</v>
      </c>
      <c r="H598" s="2" t="s">
        <v>12</v>
      </c>
      <c r="I598" s="3"/>
    </row>
    <row r="599" spans="1:9" x14ac:dyDescent="0.25">
      <c r="A599" s="2">
        <v>597</v>
      </c>
      <c r="B599" s="2">
        <v>396</v>
      </c>
      <c r="C599" s="2">
        <v>4</v>
      </c>
      <c r="D599" s="4">
        <f t="shared" si="32"/>
        <v>197</v>
      </c>
      <c r="E599" s="5">
        <f t="shared" si="33"/>
        <v>0.32998324958123953</v>
      </c>
      <c r="F599" s="2">
        <v>2</v>
      </c>
      <c r="G599" s="3">
        <f t="shared" si="34"/>
        <v>27</v>
      </c>
      <c r="H599" s="2" t="s">
        <v>12</v>
      </c>
      <c r="I599" s="3"/>
    </row>
    <row r="600" spans="1:9" x14ac:dyDescent="0.25">
      <c r="A600" s="2">
        <v>598</v>
      </c>
      <c r="B600" s="2">
        <v>264</v>
      </c>
      <c r="C600" s="2">
        <v>8</v>
      </c>
      <c r="D600" s="4">
        <f t="shared" si="32"/>
        <v>326</v>
      </c>
      <c r="E600" s="5">
        <f t="shared" si="33"/>
        <v>0.54515050167224077</v>
      </c>
      <c r="F600" s="2">
        <v>3</v>
      </c>
      <c r="G600" s="3">
        <f t="shared" si="34"/>
        <v>28</v>
      </c>
      <c r="H600" s="2" t="s">
        <v>12</v>
      </c>
      <c r="I600" s="3"/>
    </row>
    <row r="601" spans="1:9" x14ac:dyDescent="0.25">
      <c r="A601" s="2">
        <v>599</v>
      </c>
      <c r="B601" s="2">
        <v>598</v>
      </c>
      <c r="C601" s="2">
        <v>2</v>
      </c>
      <c r="D601" s="4">
        <f t="shared" si="32"/>
        <v>-1</v>
      </c>
      <c r="E601" s="5">
        <f t="shared" si="33"/>
        <v>-1.6694490818030051E-3</v>
      </c>
      <c r="F601" s="2">
        <v>1</v>
      </c>
      <c r="G601" s="3">
        <f t="shared" si="34"/>
        <v>29</v>
      </c>
      <c r="H601" s="2" t="s">
        <v>11</v>
      </c>
      <c r="I601" s="3">
        <v>-1</v>
      </c>
    </row>
    <row r="602" spans="1:9" x14ac:dyDescent="0.25">
      <c r="A602" s="2">
        <v>600</v>
      </c>
      <c r="B602" s="2">
        <v>160</v>
      </c>
      <c r="C602" s="2">
        <v>24</v>
      </c>
      <c r="D602" s="4">
        <f t="shared" si="32"/>
        <v>416</v>
      </c>
      <c r="E602" s="5">
        <f t="shared" si="33"/>
        <v>0.69333333333333336</v>
      </c>
      <c r="F602" s="2">
        <v>3</v>
      </c>
      <c r="G602" s="3">
        <f t="shared" si="34"/>
        <v>0</v>
      </c>
      <c r="H602" s="2" t="s">
        <v>12</v>
      </c>
      <c r="I602" s="3"/>
    </row>
    <row r="603" spans="1:9" x14ac:dyDescent="0.25">
      <c r="A603" s="2">
        <v>601</v>
      </c>
      <c r="B603" s="2">
        <v>600</v>
      </c>
      <c r="C603" s="2">
        <v>2</v>
      </c>
      <c r="D603" s="4">
        <f t="shared" si="32"/>
        <v>-1</v>
      </c>
      <c r="E603" s="5">
        <f t="shared" si="33"/>
        <v>-1.6638935108153079E-3</v>
      </c>
      <c r="F603" s="2">
        <v>1</v>
      </c>
      <c r="G603" s="3">
        <f t="shared" si="34"/>
        <v>1</v>
      </c>
      <c r="H603" s="2" t="s">
        <v>11</v>
      </c>
      <c r="I603" s="3">
        <v>-1</v>
      </c>
    </row>
    <row r="604" spans="1:9" x14ac:dyDescent="0.25">
      <c r="A604" s="2">
        <v>602</v>
      </c>
      <c r="B604" s="2">
        <v>252</v>
      </c>
      <c r="C604" s="2">
        <v>8</v>
      </c>
      <c r="D604" s="4">
        <f t="shared" si="32"/>
        <v>342</v>
      </c>
      <c r="E604" s="5">
        <f t="shared" si="33"/>
        <v>0.56810631229235875</v>
      </c>
      <c r="F604" s="2">
        <v>3</v>
      </c>
      <c r="G604" s="3">
        <f t="shared" si="34"/>
        <v>2</v>
      </c>
      <c r="H604" s="2" t="s">
        <v>12</v>
      </c>
      <c r="I604" s="3"/>
    </row>
    <row r="605" spans="1:9" x14ac:dyDescent="0.25">
      <c r="A605" s="2">
        <v>603</v>
      </c>
      <c r="B605" s="2">
        <v>396</v>
      </c>
      <c r="C605" s="2">
        <v>6</v>
      </c>
      <c r="D605" s="4">
        <f t="shared" si="32"/>
        <v>201</v>
      </c>
      <c r="E605" s="5">
        <f t="shared" si="33"/>
        <v>0.33333333333333331</v>
      </c>
      <c r="F605" s="2">
        <v>2</v>
      </c>
      <c r="G605" s="3">
        <f t="shared" si="34"/>
        <v>3</v>
      </c>
      <c r="H605" s="2" t="s">
        <v>12</v>
      </c>
      <c r="I605" s="3"/>
    </row>
    <row r="606" spans="1:9" x14ac:dyDescent="0.25">
      <c r="A606" s="2">
        <v>604</v>
      </c>
      <c r="B606" s="2">
        <v>300</v>
      </c>
      <c r="C606" s="2">
        <v>6</v>
      </c>
      <c r="D606" s="4">
        <f t="shared" si="32"/>
        <v>298</v>
      </c>
      <c r="E606" s="5">
        <f t="shared" si="33"/>
        <v>0.49337748344370863</v>
      </c>
      <c r="F606" s="2">
        <v>2</v>
      </c>
      <c r="G606" s="3">
        <f t="shared" si="34"/>
        <v>4</v>
      </c>
      <c r="H606" s="2" t="s">
        <v>12</v>
      </c>
      <c r="I606" s="3"/>
    </row>
    <row r="607" spans="1:9" x14ac:dyDescent="0.25">
      <c r="A607" s="2">
        <v>605</v>
      </c>
      <c r="B607" s="2">
        <v>440</v>
      </c>
      <c r="C607" s="2">
        <v>6</v>
      </c>
      <c r="D607" s="4">
        <f t="shared" si="32"/>
        <v>159</v>
      </c>
      <c r="E607" s="5">
        <f t="shared" si="33"/>
        <v>0.2628099173553719</v>
      </c>
      <c r="F607" s="2">
        <v>2</v>
      </c>
      <c r="G607" s="3">
        <f t="shared" si="34"/>
        <v>5</v>
      </c>
      <c r="H607" s="2" t="s">
        <v>12</v>
      </c>
      <c r="I607" s="3"/>
    </row>
    <row r="608" spans="1:9" x14ac:dyDescent="0.25">
      <c r="A608" s="2">
        <v>606</v>
      </c>
      <c r="B608" s="2">
        <v>200</v>
      </c>
      <c r="C608" s="2">
        <v>8</v>
      </c>
      <c r="D608" s="4">
        <f t="shared" si="32"/>
        <v>398</v>
      </c>
      <c r="E608" s="5">
        <f t="shared" si="33"/>
        <v>0.65676567656765672</v>
      </c>
      <c r="F608" s="2">
        <v>3</v>
      </c>
      <c r="G608" s="3">
        <f t="shared" si="34"/>
        <v>6</v>
      </c>
      <c r="H608" s="2" t="s">
        <v>12</v>
      </c>
      <c r="I608" s="3"/>
    </row>
    <row r="609" spans="1:9" x14ac:dyDescent="0.25">
      <c r="A609" s="2">
        <v>607</v>
      </c>
      <c r="B609" s="2">
        <v>606</v>
      </c>
      <c r="C609" s="2">
        <v>2</v>
      </c>
      <c r="D609" s="4">
        <f t="shared" si="32"/>
        <v>-1</v>
      </c>
      <c r="E609" s="5">
        <f t="shared" si="33"/>
        <v>-1.6474464579901153E-3</v>
      </c>
      <c r="F609" s="2">
        <v>1</v>
      </c>
      <c r="G609" s="3">
        <f t="shared" si="34"/>
        <v>7</v>
      </c>
      <c r="H609" s="2" t="s">
        <v>11</v>
      </c>
      <c r="I609" s="3">
        <v>-1</v>
      </c>
    </row>
    <row r="610" spans="1:9" x14ac:dyDescent="0.25">
      <c r="A610" s="2">
        <v>608</v>
      </c>
      <c r="B610" s="2">
        <v>288</v>
      </c>
      <c r="C610" s="2">
        <v>12</v>
      </c>
      <c r="D610" s="4">
        <f t="shared" si="32"/>
        <v>308</v>
      </c>
      <c r="E610" s="5">
        <f t="shared" si="33"/>
        <v>0.50657894736842102</v>
      </c>
      <c r="F610" s="2">
        <v>2</v>
      </c>
      <c r="G610" s="3">
        <f t="shared" si="34"/>
        <v>8</v>
      </c>
      <c r="H610" s="2" t="s">
        <v>12</v>
      </c>
      <c r="I610" s="3"/>
    </row>
    <row r="611" spans="1:9" x14ac:dyDescent="0.25">
      <c r="A611" s="2">
        <v>609</v>
      </c>
      <c r="B611" s="2">
        <v>336</v>
      </c>
      <c r="C611" s="2">
        <v>8</v>
      </c>
      <c r="D611" s="4">
        <f t="shared" si="32"/>
        <v>265</v>
      </c>
      <c r="E611" s="5">
        <f t="shared" si="33"/>
        <v>0.43513957307060758</v>
      </c>
      <c r="F611" s="2">
        <v>3</v>
      </c>
      <c r="G611" s="3">
        <f t="shared" si="34"/>
        <v>9</v>
      </c>
      <c r="H611" s="2" t="s">
        <v>12</v>
      </c>
      <c r="I611" s="3"/>
    </row>
    <row r="612" spans="1:9" x14ac:dyDescent="0.25">
      <c r="A612" s="2">
        <v>610</v>
      </c>
      <c r="B612" s="2">
        <v>240</v>
      </c>
      <c r="C612" s="2">
        <v>8</v>
      </c>
      <c r="D612" s="4">
        <f t="shared" si="32"/>
        <v>362</v>
      </c>
      <c r="E612" s="5">
        <f t="shared" si="33"/>
        <v>0.59344262295081962</v>
      </c>
      <c r="F612" s="2">
        <v>3</v>
      </c>
      <c r="G612" s="3">
        <f t="shared" si="34"/>
        <v>10</v>
      </c>
      <c r="H612" s="2" t="s">
        <v>12</v>
      </c>
      <c r="I612" s="3"/>
    </row>
    <row r="613" spans="1:9" x14ac:dyDescent="0.25">
      <c r="A613" s="2">
        <v>611</v>
      </c>
      <c r="B613" s="2">
        <v>552</v>
      </c>
      <c r="C613" s="2">
        <v>4</v>
      </c>
      <c r="D613" s="4">
        <f t="shared" si="32"/>
        <v>55</v>
      </c>
      <c r="E613" s="5">
        <f t="shared" si="33"/>
        <v>9.0016366612111293E-2</v>
      </c>
      <c r="F613" s="2">
        <v>2</v>
      </c>
      <c r="G613" s="3">
        <f t="shared" si="34"/>
        <v>11</v>
      </c>
      <c r="H613" s="2" t="s">
        <v>12</v>
      </c>
      <c r="I613" s="3"/>
    </row>
    <row r="614" spans="1:9" x14ac:dyDescent="0.25">
      <c r="A614" s="2">
        <v>612</v>
      </c>
      <c r="B614" s="2">
        <v>192</v>
      </c>
      <c r="C614" s="2">
        <v>18</v>
      </c>
      <c r="D614" s="4">
        <f t="shared" si="32"/>
        <v>402</v>
      </c>
      <c r="E614" s="5">
        <f t="shared" si="33"/>
        <v>0.65686274509803921</v>
      </c>
      <c r="F614" s="2">
        <v>3</v>
      </c>
      <c r="G614" s="3">
        <f t="shared" si="34"/>
        <v>12</v>
      </c>
      <c r="H614" s="2" t="s">
        <v>12</v>
      </c>
      <c r="I614" s="3"/>
    </row>
    <row r="615" spans="1:9" x14ac:dyDescent="0.25">
      <c r="A615" s="2">
        <v>613</v>
      </c>
      <c r="B615" s="2">
        <v>612</v>
      </c>
      <c r="C615" s="2">
        <v>2</v>
      </c>
      <c r="D615" s="4">
        <f t="shared" si="32"/>
        <v>-1</v>
      </c>
      <c r="E615" s="5">
        <f t="shared" si="33"/>
        <v>-1.6313213703099511E-3</v>
      </c>
      <c r="F615" s="2">
        <v>1</v>
      </c>
      <c r="G615" s="3">
        <f t="shared" si="34"/>
        <v>13</v>
      </c>
      <c r="H615" s="2" t="s">
        <v>11</v>
      </c>
      <c r="I615" s="3">
        <v>-1</v>
      </c>
    </row>
    <row r="616" spans="1:9" x14ac:dyDescent="0.25">
      <c r="A616" s="2">
        <v>614</v>
      </c>
      <c r="B616" s="2">
        <v>306</v>
      </c>
      <c r="C616" s="2">
        <v>4</v>
      </c>
      <c r="D616" s="4">
        <f t="shared" si="32"/>
        <v>304</v>
      </c>
      <c r="E616" s="5">
        <f t="shared" si="33"/>
        <v>0.49511400651465798</v>
      </c>
      <c r="F616" s="2">
        <v>2</v>
      </c>
      <c r="G616" s="3">
        <f t="shared" si="34"/>
        <v>14</v>
      </c>
      <c r="H616" s="2" t="s">
        <v>12</v>
      </c>
      <c r="I616" s="3"/>
    </row>
    <row r="617" spans="1:9" x14ac:dyDescent="0.25">
      <c r="A617" s="2">
        <v>615</v>
      </c>
      <c r="B617" s="2">
        <v>320</v>
      </c>
      <c r="C617" s="2">
        <v>8</v>
      </c>
      <c r="D617" s="4">
        <f t="shared" si="32"/>
        <v>287</v>
      </c>
      <c r="E617" s="5">
        <f t="shared" si="33"/>
        <v>0.46666666666666667</v>
      </c>
      <c r="F617" s="2">
        <v>3</v>
      </c>
      <c r="G617" s="3">
        <f t="shared" si="34"/>
        <v>15</v>
      </c>
      <c r="H617" s="2" t="s">
        <v>12</v>
      </c>
      <c r="I617" s="3"/>
    </row>
    <row r="618" spans="1:9" x14ac:dyDescent="0.25">
      <c r="A618" s="2">
        <v>616</v>
      </c>
      <c r="B618" s="2">
        <v>240</v>
      </c>
      <c r="C618" s="2">
        <v>16</v>
      </c>
      <c r="D618" s="4">
        <f t="shared" si="32"/>
        <v>360</v>
      </c>
      <c r="E618" s="5">
        <f t="shared" si="33"/>
        <v>0.58441558441558439</v>
      </c>
      <c r="F618" s="2">
        <v>3</v>
      </c>
      <c r="G618" s="3">
        <f t="shared" si="34"/>
        <v>16</v>
      </c>
      <c r="H618" s="2" t="s">
        <v>12</v>
      </c>
      <c r="I618" s="3"/>
    </row>
    <row r="619" spans="1:9" x14ac:dyDescent="0.25">
      <c r="A619" s="2">
        <v>617</v>
      </c>
      <c r="B619" s="2">
        <v>616</v>
      </c>
      <c r="C619" s="2">
        <v>2</v>
      </c>
      <c r="D619" s="4">
        <f t="shared" si="32"/>
        <v>-1</v>
      </c>
      <c r="E619" s="5">
        <f t="shared" si="33"/>
        <v>-1.6207455429497568E-3</v>
      </c>
      <c r="F619" s="2">
        <v>1</v>
      </c>
      <c r="G619" s="3">
        <f t="shared" si="34"/>
        <v>17</v>
      </c>
      <c r="H619" s="2" t="s">
        <v>11</v>
      </c>
      <c r="I619" s="3">
        <v>-1</v>
      </c>
    </row>
    <row r="620" spans="1:9" x14ac:dyDescent="0.25">
      <c r="A620" s="2">
        <v>618</v>
      </c>
      <c r="B620" s="2">
        <v>204</v>
      </c>
      <c r="C620" s="2">
        <v>8</v>
      </c>
      <c r="D620" s="4">
        <f t="shared" si="32"/>
        <v>406</v>
      </c>
      <c r="E620" s="5">
        <f t="shared" si="33"/>
        <v>0.65695792880258896</v>
      </c>
      <c r="F620" s="2">
        <v>3</v>
      </c>
      <c r="G620" s="3">
        <f t="shared" si="34"/>
        <v>18</v>
      </c>
      <c r="H620" s="2" t="s">
        <v>12</v>
      </c>
      <c r="I620" s="3"/>
    </row>
    <row r="621" spans="1:9" x14ac:dyDescent="0.25">
      <c r="A621" s="2">
        <v>619</v>
      </c>
      <c r="B621" s="2">
        <v>618</v>
      </c>
      <c r="C621" s="2">
        <v>2</v>
      </c>
      <c r="D621" s="4">
        <f t="shared" si="32"/>
        <v>-1</v>
      </c>
      <c r="E621" s="5">
        <f t="shared" si="33"/>
        <v>-1.6155088852988692E-3</v>
      </c>
      <c r="F621" s="2">
        <v>1</v>
      </c>
      <c r="G621" s="3">
        <f t="shared" si="34"/>
        <v>19</v>
      </c>
      <c r="H621" s="2" t="s">
        <v>11</v>
      </c>
      <c r="I621" s="3">
        <v>-1</v>
      </c>
    </row>
    <row r="622" spans="1:9" x14ac:dyDescent="0.25">
      <c r="A622" s="2">
        <v>620</v>
      </c>
      <c r="B622" s="2">
        <v>240</v>
      </c>
      <c r="C622" s="2">
        <v>12</v>
      </c>
      <c r="D622" s="4">
        <f t="shared" si="32"/>
        <v>368</v>
      </c>
      <c r="E622" s="5">
        <f t="shared" si="33"/>
        <v>0.59354838709677415</v>
      </c>
      <c r="F622" s="2">
        <v>3</v>
      </c>
      <c r="G622" s="3">
        <f t="shared" si="34"/>
        <v>20</v>
      </c>
      <c r="H622" s="2" t="s">
        <v>12</v>
      </c>
      <c r="I622" s="3"/>
    </row>
    <row r="623" spans="1:9" x14ac:dyDescent="0.25">
      <c r="A623" s="2">
        <v>621</v>
      </c>
      <c r="B623" s="2">
        <v>396</v>
      </c>
      <c r="C623" s="2">
        <v>8</v>
      </c>
      <c r="D623" s="4">
        <f t="shared" si="32"/>
        <v>217</v>
      </c>
      <c r="E623" s="5">
        <f t="shared" si="33"/>
        <v>0.34943639291465378</v>
      </c>
      <c r="F623" s="2">
        <v>2</v>
      </c>
      <c r="G623" s="3">
        <f t="shared" si="34"/>
        <v>21</v>
      </c>
      <c r="H623" s="2" t="s">
        <v>12</v>
      </c>
      <c r="I623" s="3"/>
    </row>
    <row r="624" spans="1:9" x14ac:dyDescent="0.25">
      <c r="A624" s="2">
        <v>622</v>
      </c>
      <c r="B624" s="2">
        <v>310</v>
      </c>
      <c r="C624" s="2">
        <v>4</v>
      </c>
      <c r="D624" s="4">
        <f t="shared" si="32"/>
        <v>308</v>
      </c>
      <c r="E624" s="5">
        <f t="shared" si="33"/>
        <v>0.49517684887459806</v>
      </c>
      <c r="F624" s="2">
        <v>2</v>
      </c>
      <c r="G624" s="3">
        <f t="shared" si="34"/>
        <v>22</v>
      </c>
      <c r="H624" s="2" t="s">
        <v>12</v>
      </c>
      <c r="I624" s="3"/>
    </row>
    <row r="625" spans="1:9" x14ac:dyDescent="0.25">
      <c r="A625" s="2">
        <v>623</v>
      </c>
      <c r="B625" s="2">
        <v>528</v>
      </c>
      <c r="C625" s="2">
        <v>4</v>
      </c>
      <c r="D625" s="4">
        <f t="shared" si="32"/>
        <v>91</v>
      </c>
      <c r="E625" s="5">
        <f t="shared" si="33"/>
        <v>0.14606741573033707</v>
      </c>
      <c r="F625" s="2">
        <v>2</v>
      </c>
      <c r="G625" s="3">
        <f t="shared" si="34"/>
        <v>23</v>
      </c>
      <c r="H625" s="2" t="s">
        <v>12</v>
      </c>
      <c r="I625" s="3"/>
    </row>
    <row r="626" spans="1:9" x14ac:dyDescent="0.25">
      <c r="A626" s="2">
        <v>624</v>
      </c>
      <c r="B626" s="2">
        <v>192</v>
      </c>
      <c r="C626" s="2">
        <v>20</v>
      </c>
      <c r="D626" s="4">
        <f t="shared" si="32"/>
        <v>412</v>
      </c>
      <c r="E626" s="5">
        <f t="shared" si="33"/>
        <v>0.66025641025641024</v>
      </c>
      <c r="F626" s="2">
        <v>3</v>
      </c>
      <c r="G626" s="3">
        <f t="shared" si="34"/>
        <v>24</v>
      </c>
      <c r="H626" s="2" t="s">
        <v>12</v>
      </c>
      <c r="I626" s="3"/>
    </row>
    <row r="627" spans="1:9" x14ac:dyDescent="0.25">
      <c r="A627" s="2">
        <v>625</v>
      </c>
      <c r="B627" s="2">
        <v>500</v>
      </c>
      <c r="C627" s="2">
        <v>5</v>
      </c>
      <c r="D627" s="4">
        <f t="shared" si="32"/>
        <v>120</v>
      </c>
      <c r="E627" s="5">
        <f t="shared" si="33"/>
        <v>0.192</v>
      </c>
      <c r="F627" s="2">
        <v>1</v>
      </c>
      <c r="G627" s="3">
        <f t="shared" si="34"/>
        <v>25</v>
      </c>
      <c r="H627" s="2" t="s">
        <v>12</v>
      </c>
      <c r="I627" s="3"/>
    </row>
    <row r="628" spans="1:9" x14ac:dyDescent="0.25">
      <c r="A628" s="2">
        <v>626</v>
      </c>
      <c r="B628" s="2">
        <v>312</v>
      </c>
      <c r="C628" s="2">
        <v>4</v>
      </c>
      <c r="D628" s="4">
        <f t="shared" si="32"/>
        <v>310</v>
      </c>
      <c r="E628" s="5">
        <f t="shared" si="33"/>
        <v>0.49520766773162939</v>
      </c>
      <c r="F628" s="2">
        <v>2</v>
      </c>
      <c r="G628" s="3">
        <f t="shared" si="34"/>
        <v>26</v>
      </c>
      <c r="H628" s="2" t="s">
        <v>12</v>
      </c>
      <c r="I628" s="3"/>
    </row>
    <row r="629" spans="1:9" x14ac:dyDescent="0.25">
      <c r="A629" s="2">
        <v>627</v>
      </c>
      <c r="B629" s="2">
        <v>360</v>
      </c>
      <c r="C629" s="2">
        <v>8</v>
      </c>
      <c r="D629" s="4">
        <f t="shared" si="32"/>
        <v>259</v>
      </c>
      <c r="E629" s="5">
        <f t="shared" si="33"/>
        <v>0.41307814992025521</v>
      </c>
      <c r="F629" s="2">
        <v>3</v>
      </c>
      <c r="G629" s="3">
        <f t="shared" si="34"/>
        <v>27</v>
      </c>
      <c r="H629" s="2" t="s">
        <v>12</v>
      </c>
      <c r="I629" s="3"/>
    </row>
    <row r="630" spans="1:9" x14ac:dyDescent="0.25">
      <c r="A630" s="2">
        <v>628</v>
      </c>
      <c r="B630" s="2">
        <v>312</v>
      </c>
      <c r="C630" s="2">
        <v>6</v>
      </c>
      <c r="D630" s="4">
        <f t="shared" si="32"/>
        <v>310</v>
      </c>
      <c r="E630" s="5">
        <f t="shared" si="33"/>
        <v>0.49363057324840764</v>
      </c>
      <c r="F630" s="2">
        <v>2</v>
      </c>
      <c r="G630" s="3">
        <f t="shared" si="34"/>
        <v>28</v>
      </c>
      <c r="H630" s="2" t="s">
        <v>12</v>
      </c>
      <c r="I630" s="3"/>
    </row>
    <row r="631" spans="1:9" x14ac:dyDescent="0.25">
      <c r="A631" s="2">
        <v>629</v>
      </c>
      <c r="B631" s="2">
        <v>576</v>
      </c>
      <c r="C631" s="2">
        <v>4</v>
      </c>
      <c r="D631" s="4">
        <f t="shared" si="32"/>
        <v>49</v>
      </c>
      <c r="E631" s="5">
        <f t="shared" si="33"/>
        <v>7.7901430842607311E-2</v>
      </c>
      <c r="F631" s="2">
        <v>2</v>
      </c>
      <c r="G631" s="3">
        <f t="shared" si="34"/>
        <v>29</v>
      </c>
      <c r="H631" s="2" t="s">
        <v>12</v>
      </c>
      <c r="I631" s="3"/>
    </row>
    <row r="632" spans="1:9" x14ac:dyDescent="0.25">
      <c r="A632" s="2">
        <v>630</v>
      </c>
      <c r="B632" s="2">
        <v>144</v>
      </c>
      <c r="C632" s="2">
        <v>24</v>
      </c>
      <c r="D632" s="4">
        <f t="shared" si="32"/>
        <v>462</v>
      </c>
      <c r="E632" s="5">
        <f t="shared" si="33"/>
        <v>0.73333333333333328</v>
      </c>
      <c r="F632" s="2">
        <v>4</v>
      </c>
      <c r="G632" s="3">
        <f t="shared" si="34"/>
        <v>0</v>
      </c>
      <c r="H632" s="2" t="s">
        <v>12</v>
      </c>
      <c r="I632" s="3"/>
    </row>
    <row r="633" spans="1:9" x14ac:dyDescent="0.25">
      <c r="A633" s="2">
        <v>631</v>
      </c>
      <c r="B633" s="2">
        <v>630</v>
      </c>
      <c r="C633" s="2">
        <v>2</v>
      </c>
      <c r="D633" s="4">
        <f t="shared" si="32"/>
        <v>-1</v>
      </c>
      <c r="E633" s="5">
        <f t="shared" si="33"/>
        <v>-1.5847860538827259E-3</v>
      </c>
      <c r="F633" s="2">
        <v>1</v>
      </c>
      <c r="G633" s="3">
        <f t="shared" si="34"/>
        <v>1</v>
      </c>
      <c r="H633" s="2" t="s">
        <v>11</v>
      </c>
      <c r="I633" s="3">
        <v>-1</v>
      </c>
    </row>
    <row r="634" spans="1:9" x14ac:dyDescent="0.25">
      <c r="A634" s="2">
        <v>632</v>
      </c>
      <c r="B634" s="2">
        <v>312</v>
      </c>
      <c r="C634" s="2">
        <v>8</v>
      </c>
      <c r="D634" s="4">
        <f t="shared" si="32"/>
        <v>312</v>
      </c>
      <c r="E634" s="5">
        <f t="shared" si="33"/>
        <v>0.49367088607594939</v>
      </c>
      <c r="F634" s="2">
        <v>2</v>
      </c>
      <c r="G634" s="3">
        <f t="shared" si="34"/>
        <v>2</v>
      </c>
      <c r="H634" s="2" t="s">
        <v>12</v>
      </c>
      <c r="I634" s="3"/>
    </row>
    <row r="635" spans="1:9" x14ac:dyDescent="0.25">
      <c r="A635" s="2">
        <v>633</v>
      </c>
      <c r="B635" s="2">
        <v>420</v>
      </c>
      <c r="C635" s="2">
        <v>4</v>
      </c>
      <c r="D635" s="4">
        <f t="shared" si="32"/>
        <v>209</v>
      </c>
      <c r="E635" s="5">
        <f t="shared" si="33"/>
        <v>0.33017377567140599</v>
      </c>
      <c r="F635" s="2">
        <v>2</v>
      </c>
      <c r="G635" s="3">
        <f t="shared" si="34"/>
        <v>3</v>
      </c>
      <c r="H635" s="2" t="s">
        <v>12</v>
      </c>
      <c r="I635" s="3"/>
    </row>
    <row r="636" spans="1:9" x14ac:dyDescent="0.25">
      <c r="A636" s="2">
        <v>634</v>
      </c>
      <c r="B636" s="2">
        <v>316</v>
      </c>
      <c r="C636" s="2">
        <v>4</v>
      </c>
      <c r="D636" s="4">
        <f t="shared" si="32"/>
        <v>314</v>
      </c>
      <c r="E636" s="5">
        <f t="shared" si="33"/>
        <v>0.4952681388012618</v>
      </c>
      <c r="F636" s="2">
        <v>2</v>
      </c>
      <c r="G636" s="3">
        <f t="shared" si="34"/>
        <v>4</v>
      </c>
      <c r="H636" s="2" t="s">
        <v>12</v>
      </c>
      <c r="I636" s="3"/>
    </row>
    <row r="637" spans="1:9" x14ac:dyDescent="0.25">
      <c r="A637" s="2">
        <v>635</v>
      </c>
      <c r="B637" s="2">
        <v>504</v>
      </c>
      <c r="C637" s="2">
        <v>4</v>
      </c>
      <c r="D637" s="4">
        <f t="shared" si="32"/>
        <v>127</v>
      </c>
      <c r="E637" s="5">
        <f t="shared" si="33"/>
        <v>0.2</v>
      </c>
      <c r="F637" s="2">
        <v>2</v>
      </c>
      <c r="G637" s="3">
        <f t="shared" si="34"/>
        <v>5</v>
      </c>
      <c r="H637" s="2" t="s">
        <v>12</v>
      </c>
      <c r="I637" s="3"/>
    </row>
    <row r="638" spans="1:9" x14ac:dyDescent="0.25">
      <c r="A638" s="2">
        <v>636</v>
      </c>
      <c r="B638" s="2">
        <v>208</v>
      </c>
      <c r="C638" s="2">
        <v>12</v>
      </c>
      <c r="D638" s="4">
        <f t="shared" si="32"/>
        <v>416</v>
      </c>
      <c r="E638" s="5">
        <f t="shared" si="33"/>
        <v>0.65408805031446537</v>
      </c>
      <c r="F638" s="2">
        <v>3</v>
      </c>
      <c r="G638" s="3">
        <f t="shared" si="34"/>
        <v>6</v>
      </c>
      <c r="H638" s="2" t="s">
        <v>12</v>
      </c>
      <c r="I638" s="3"/>
    </row>
    <row r="639" spans="1:9" x14ac:dyDescent="0.25">
      <c r="A639" s="2">
        <v>637</v>
      </c>
      <c r="B639" s="2">
        <v>504</v>
      </c>
      <c r="C639" s="2">
        <v>6</v>
      </c>
      <c r="D639" s="4">
        <f t="shared" si="32"/>
        <v>127</v>
      </c>
      <c r="E639" s="5">
        <f t="shared" si="33"/>
        <v>0.19937205651491366</v>
      </c>
      <c r="F639" s="2">
        <v>2</v>
      </c>
      <c r="G639" s="3">
        <f t="shared" si="34"/>
        <v>7</v>
      </c>
      <c r="H639" s="2" t="s">
        <v>12</v>
      </c>
      <c r="I639" s="3"/>
    </row>
    <row r="640" spans="1:9" x14ac:dyDescent="0.25">
      <c r="A640" s="2">
        <v>638</v>
      </c>
      <c r="B640" s="2">
        <v>280</v>
      </c>
      <c r="C640" s="2">
        <v>8</v>
      </c>
      <c r="D640" s="4">
        <f t="shared" si="32"/>
        <v>350</v>
      </c>
      <c r="E640" s="5">
        <f t="shared" si="33"/>
        <v>0.54858934169278994</v>
      </c>
      <c r="F640" s="2">
        <v>3</v>
      </c>
      <c r="G640" s="3">
        <f t="shared" si="34"/>
        <v>8</v>
      </c>
      <c r="H640" s="2" t="s">
        <v>12</v>
      </c>
      <c r="I640" s="3"/>
    </row>
    <row r="641" spans="1:9" x14ac:dyDescent="0.25">
      <c r="A641" s="2">
        <v>639</v>
      </c>
      <c r="B641" s="2">
        <v>420</v>
      </c>
      <c r="C641" s="2">
        <v>6</v>
      </c>
      <c r="D641" s="4">
        <f t="shared" si="32"/>
        <v>213</v>
      </c>
      <c r="E641" s="5">
        <f t="shared" si="33"/>
        <v>0.33333333333333331</v>
      </c>
      <c r="F641" s="2">
        <v>2</v>
      </c>
      <c r="G641" s="3">
        <f t="shared" si="34"/>
        <v>9</v>
      </c>
      <c r="H641" s="2" t="s">
        <v>12</v>
      </c>
      <c r="I641" s="3"/>
    </row>
    <row r="642" spans="1:9" x14ac:dyDescent="0.25">
      <c r="A642" s="2">
        <v>640</v>
      </c>
      <c r="B642" s="2">
        <v>256</v>
      </c>
      <c r="C642" s="2">
        <v>16</v>
      </c>
      <c r="D642" s="4">
        <f t="shared" si="32"/>
        <v>368</v>
      </c>
      <c r="E642" s="5">
        <f t="shared" si="33"/>
        <v>0.57499999999999996</v>
      </c>
      <c r="F642" s="2">
        <v>2</v>
      </c>
      <c r="G642" s="3">
        <f t="shared" si="34"/>
        <v>10</v>
      </c>
      <c r="H642" s="2" t="s">
        <v>12</v>
      </c>
      <c r="I642" s="3"/>
    </row>
    <row r="643" spans="1:9" x14ac:dyDescent="0.25">
      <c r="A643" s="2">
        <v>641</v>
      </c>
      <c r="B643" s="2">
        <v>640</v>
      </c>
      <c r="C643" s="2">
        <v>2</v>
      </c>
      <c r="D643" s="4">
        <f t="shared" ref="D643:D706" si="35">A643-B643-C643</f>
        <v>-1</v>
      </c>
      <c r="E643" s="5">
        <f t="shared" ref="E643:E706" si="36">D643/A643</f>
        <v>-1.5600624024960999E-3</v>
      </c>
      <c r="F643" s="2">
        <v>1</v>
      </c>
      <c r="G643" s="3">
        <f t="shared" ref="G643:G706" si="37">MOD(A643,30)</f>
        <v>11</v>
      </c>
      <c r="H643" s="2" t="s">
        <v>11</v>
      </c>
      <c r="I643" s="3">
        <v>-1</v>
      </c>
    </row>
    <row r="644" spans="1:9" x14ac:dyDescent="0.25">
      <c r="A644" s="2">
        <v>642</v>
      </c>
      <c r="B644" s="2">
        <v>212</v>
      </c>
      <c r="C644" s="2">
        <v>8</v>
      </c>
      <c r="D644" s="4">
        <f t="shared" si="35"/>
        <v>422</v>
      </c>
      <c r="E644" s="5">
        <f t="shared" si="36"/>
        <v>0.65732087227414326</v>
      </c>
      <c r="F644" s="2">
        <v>3</v>
      </c>
      <c r="G644" s="3">
        <f t="shared" si="37"/>
        <v>12</v>
      </c>
      <c r="H644" s="2" t="s">
        <v>12</v>
      </c>
      <c r="I644" s="3"/>
    </row>
    <row r="645" spans="1:9" x14ac:dyDescent="0.25">
      <c r="A645" s="2">
        <v>643</v>
      </c>
      <c r="B645" s="2">
        <v>642</v>
      </c>
      <c r="C645" s="2">
        <v>2</v>
      </c>
      <c r="D645" s="4">
        <f t="shared" si="35"/>
        <v>-1</v>
      </c>
      <c r="E645" s="5">
        <f t="shared" si="36"/>
        <v>-1.5552099533437014E-3</v>
      </c>
      <c r="F645" s="2">
        <v>1</v>
      </c>
      <c r="G645" s="3">
        <f t="shared" si="37"/>
        <v>13</v>
      </c>
      <c r="H645" s="2" t="s">
        <v>11</v>
      </c>
      <c r="I645" s="3">
        <v>-1</v>
      </c>
    </row>
    <row r="646" spans="1:9" x14ac:dyDescent="0.25">
      <c r="A646" s="2">
        <v>644</v>
      </c>
      <c r="B646" s="2">
        <v>264</v>
      </c>
      <c r="C646" s="2">
        <v>12</v>
      </c>
      <c r="D646" s="4">
        <f t="shared" si="35"/>
        <v>368</v>
      </c>
      <c r="E646" s="5">
        <f t="shared" si="36"/>
        <v>0.5714285714285714</v>
      </c>
      <c r="F646" s="2">
        <v>3</v>
      </c>
      <c r="G646" s="3">
        <f t="shared" si="37"/>
        <v>14</v>
      </c>
      <c r="H646" s="2" t="s">
        <v>12</v>
      </c>
      <c r="I646" s="3"/>
    </row>
    <row r="647" spans="1:9" x14ac:dyDescent="0.25">
      <c r="A647" s="2">
        <v>645</v>
      </c>
      <c r="B647" s="2">
        <v>336</v>
      </c>
      <c r="C647" s="2">
        <v>8</v>
      </c>
      <c r="D647" s="4">
        <f t="shared" si="35"/>
        <v>301</v>
      </c>
      <c r="E647" s="5">
        <f t="shared" si="36"/>
        <v>0.46666666666666667</v>
      </c>
      <c r="F647" s="2">
        <v>3</v>
      </c>
      <c r="G647" s="3">
        <f t="shared" si="37"/>
        <v>15</v>
      </c>
      <c r="H647" s="2" t="s">
        <v>12</v>
      </c>
      <c r="I647" s="3"/>
    </row>
    <row r="648" spans="1:9" x14ac:dyDescent="0.25">
      <c r="A648" s="2">
        <v>646</v>
      </c>
      <c r="B648" s="2">
        <v>288</v>
      </c>
      <c r="C648" s="2">
        <v>8</v>
      </c>
      <c r="D648" s="4">
        <f t="shared" si="35"/>
        <v>350</v>
      </c>
      <c r="E648" s="5">
        <f t="shared" si="36"/>
        <v>0.54179566563467496</v>
      </c>
      <c r="F648" s="2">
        <v>3</v>
      </c>
      <c r="G648" s="3">
        <f t="shared" si="37"/>
        <v>16</v>
      </c>
      <c r="H648" s="2" t="s">
        <v>12</v>
      </c>
      <c r="I648" s="3"/>
    </row>
    <row r="649" spans="1:9" x14ac:dyDescent="0.25">
      <c r="A649" s="2">
        <v>647</v>
      </c>
      <c r="B649" s="2">
        <v>646</v>
      </c>
      <c r="C649" s="2">
        <v>2</v>
      </c>
      <c r="D649" s="4">
        <f t="shared" si="35"/>
        <v>-1</v>
      </c>
      <c r="E649" s="5">
        <f t="shared" si="36"/>
        <v>-1.5455950540958269E-3</v>
      </c>
      <c r="F649" s="2">
        <v>1</v>
      </c>
      <c r="G649" s="3">
        <f t="shared" si="37"/>
        <v>17</v>
      </c>
      <c r="H649" s="2" t="s">
        <v>11</v>
      </c>
      <c r="I649" s="3">
        <v>-1</v>
      </c>
    </row>
    <row r="650" spans="1:9" x14ac:dyDescent="0.25">
      <c r="A650" s="2">
        <v>648</v>
      </c>
      <c r="B650" s="2">
        <v>216</v>
      </c>
      <c r="C650" s="2">
        <v>20</v>
      </c>
      <c r="D650" s="4">
        <f t="shared" si="35"/>
        <v>412</v>
      </c>
      <c r="E650" s="5">
        <f t="shared" si="36"/>
        <v>0.63580246913580252</v>
      </c>
      <c r="F650" s="2">
        <v>2</v>
      </c>
      <c r="G650" s="3">
        <f t="shared" si="37"/>
        <v>18</v>
      </c>
      <c r="H650" s="2" t="s">
        <v>12</v>
      </c>
      <c r="I650" s="3"/>
    </row>
    <row r="651" spans="1:9" x14ac:dyDescent="0.25">
      <c r="A651" s="2">
        <v>649</v>
      </c>
      <c r="B651" s="2">
        <v>580</v>
      </c>
      <c r="C651" s="2">
        <v>4</v>
      </c>
      <c r="D651" s="4">
        <f t="shared" si="35"/>
        <v>65</v>
      </c>
      <c r="E651" s="5">
        <f t="shared" si="36"/>
        <v>0.10015408320493066</v>
      </c>
      <c r="F651" s="2">
        <v>2</v>
      </c>
      <c r="G651" s="3">
        <f t="shared" si="37"/>
        <v>19</v>
      </c>
      <c r="H651" s="2" t="s">
        <v>12</v>
      </c>
      <c r="I651" s="3"/>
    </row>
    <row r="652" spans="1:9" x14ac:dyDescent="0.25">
      <c r="A652" s="2">
        <v>650</v>
      </c>
      <c r="B652" s="2">
        <v>240</v>
      </c>
      <c r="C652" s="2">
        <v>12</v>
      </c>
      <c r="D652" s="4">
        <f t="shared" si="35"/>
        <v>398</v>
      </c>
      <c r="E652" s="5">
        <f t="shared" si="36"/>
        <v>0.61230769230769233</v>
      </c>
      <c r="F652" s="2">
        <v>3</v>
      </c>
      <c r="G652" s="3">
        <f t="shared" si="37"/>
        <v>20</v>
      </c>
      <c r="H652" s="2" t="s">
        <v>12</v>
      </c>
      <c r="I652" s="3"/>
    </row>
    <row r="653" spans="1:9" x14ac:dyDescent="0.25">
      <c r="A653" s="2">
        <v>651</v>
      </c>
      <c r="B653" s="2">
        <v>360</v>
      </c>
      <c r="C653" s="2">
        <v>8</v>
      </c>
      <c r="D653" s="4">
        <f t="shared" si="35"/>
        <v>283</v>
      </c>
      <c r="E653" s="5">
        <f t="shared" si="36"/>
        <v>0.43471582181259599</v>
      </c>
      <c r="F653" s="2">
        <v>3</v>
      </c>
      <c r="G653" s="3">
        <f t="shared" si="37"/>
        <v>21</v>
      </c>
      <c r="H653" s="2" t="s">
        <v>12</v>
      </c>
      <c r="I653" s="3"/>
    </row>
    <row r="654" spans="1:9" x14ac:dyDescent="0.25">
      <c r="A654" s="2">
        <v>652</v>
      </c>
      <c r="B654" s="2">
        <v>324</v>
      </c>
      <c r="C654" s="2">
        <v>6</v>
      </c>
      <c r="D654" s="4">
        <f t="shared" si="35"/>
        <v>322</v>
      </c>
      <c r="E654" s="5">
        <f t="shared" si="36"/>
        <v>0.49386503067484661</v>
      </c>
      <c r="F654" s="2">
        <v>2</v>
      </c>
      <c r="G654" s="3">
        <f t="shared" si="37"/>
        <v>22</v>
      </c>
      <c r="H654" s="2" t="s">
        <v>12</v>
      </c>
      <c r="I654" s="3"/>
    </row>
    <row r="655" spans="1:9" x14ac:dyDescent="0.25">
      <c r="A655" s="2">
        <v>653</v>
      </c>
      <c r="B655" s="2">
        <v>652</v>
      </c>
      <c r="C655" s="2">
        <v>2</v>
      </c>
      <c r="D655" s="4">
        <f t="shared" si="35"/>
        <v>-1</v>
      </c>
      <c r="E655" s="5">
        <f t="shared" si="36"/>
        <v>-1.5313935681470138E-3</v>
      </c>
      <c r="F655" s="2">
        <v>1</v>
      </c>
      <c r="G655" s="3">
        <f t="shared" si="37"/>
        <v>23</v>
      </c>
      <c r="H655" s="2" t="s">
        <v>11</v>
      </c>
      <c r="I655" s="3">
        <v>-1</v>
      </c>
    </row>
    <row r="656" spans="1:9" x14ac:dyDescent="0.25">
      <c r="A656" s="2">
        <v>654</v>
      </c>
      <c r="B656" s="2">
        <v>216</v>
      </c>
      <c r="C656" s="2">
        <v>8</v>
      </c>
      <c r="D656" s="4">
        <f t="shared" si="35"/>
        <v>430</v>
      </c>
      <c r="E656" s="5">
        <f t="shared" si="36"/>
        <v>0.65749235474006118</v>
      </c>
      <c r="F656" s="2">
        <v>3</v>
      </c>
      <c r="G656" s="3">
        <f t="shared" si="37"/>
        <v>24</v>
      </c>
      <c r="H656" s="2" t="s">
        <v>12</v>
      </c>
      <c r="I656" s="3"/>
    </row>
    <row r="657" spans="1:9" x14ac:dyDescent="0.25">
      <c r="A657" s="2">
        <v>655</v>
      </c>
      <c r="B657" s="2">
        <v>520</v>
      </c>
      <c r="C657" s="2">
        <v>4</v>
      </c>
      <c r="D657" s="4">
        <f t="shared" si="35"/>
        <v>131</v>
      </c>
      <c r="E657" s="5">
        <f t="shared" si="36"/>
        <v>0.2</v>
      </c>
      <c r="F657" s="2">
        <v>2</v>
      </c>
      <c r="G657" s="3">
        <f t="shared" si="37"/>
        <v>25</v>
      </c>
      <c r="H657" s="2" t="s">
        <v>12</v>
      </c>
      <c r="I657" s="3"/>
    </row>
    <row r="658" spans="1:9" x14ac:dyDescent="0.25">
      <c r="A658" s="2">
        <v>656</v>
      </c>
      <c r="B658" s="2">
        <v>320</v>
      </c>
      <c r="C658" s="2">
        <v>10</v>
      </c>
      <c r="D658" s="4">
        <f t="shared" si="35"/>
        <v>326</v>
      </c>
      <c r="E658" s="5">
        <f t="shared" si="36"/>
        <v>0.49695121951219512</v>
      </c>
      <c r="F658" s="2">
        <v>2</v>
      </c>
      <c r="G658" s="3">
        <f t="shared" si="37"/>
        <v>26</v>
      </c>
      <c r="H658" s="2" t="s">
        <v>12</v>
      </c>
      <c r="I658" s="3"/>
    </row>
    <row r="659" spans="1:9" x14ac:dyDescent="0.25">
      <c r="A659" s="2">
        <v>657</v>
      </c>
      <c r="B659" s="2">
        <v>432</v>
      </c>
      <c r="C659" s="2">
        <v>6</v>
      </c>
      <c r="D659" s="4">
        <f t="shared" si="35"/>
        <v>219</v>
      </c>
      <c r="E659" s="5">
        <f t="shared" si="36"/>
        <v>0.33333333333333331</v>
      </c>
      <c r="F659" s="2">
        <v>2</v>
      </c>
      <c r="G659" s="3">
        <f t="shared" si="37"/>
        <v>27</v>
      </c>
      <c r="H659" s="2" t="s">
        <v>12</v>
      </c>
      <c r="I659" s="3"/>
    </row>
    <row r="660" spans="1:9" x14ac:dyDescent="0.25">
      <c r="A660" s="2">
        <v>658</v>
      </c>
      <c r="B660" s="2">
        <v>276</v>
      </c>
      <c r="C660" s="2">
        <v>8</v>
      </c>
      <c r="D660" s="4">
        <f t="shared" si="35"/>
        <v>374</v>
      </c>
      <c r="E660" s="5">
        <f t="shared" si="36"/>
        <v>0.56838905775075987</v>
      </c>
      <c r="F660" s="2">
        <v>3</v>
      </c>
      <c r="G660" s="3">
        <f t="shared" si="37"/>
        <v>28</v>
      </c>
      <c r="H660" s="2" t="s">
        <v>12</v>
      </c>
      <c r="I660" s="3"/>
    </row>
    <row r="661" spans="1:9" x14ac:dyDescent="0.25">
      <c r="A661" s="2">
        <v>659</v>
      </c>
      <c r="B661" s="2">
        <v>658</v>
      </c>
      <c r="C661" s="2">
        <v>2</v>
      </c>
      <c r="D661" s="4">
        <f t="shared" si="35"/>
        <v>-1</v>
      </c>
      <c r="E661" s="5">
        <f t="shared" si="36"/>
        <v>-1.5174506828528073E-3</v>
      </c>
      <c r="F661" s="2">
        <v>1</v>
      </c>
      <c r="G661" s="3">
        <f t="shared" si="37"/>
        <v>29</v>
      </c>
      <c r="H661" s="2" t="s">
        <v>11</v>
      </c>
      <c r="I661" s="3">
        <v>-1</v>
      </c>
    </row>
    <row r="662" spans="1:9" x14ac:dyDescent="0.25">
      <c r="A662" s="2">
        <v>660</v>
      </c>
      <c r="B662" s="2">
        <v>160</v>
      </c>
      <c r="C662" s="2">
        <v>24</v>
      </c>
      <c r="D662" s="4">
        <f t="shared" si="35"/>
        <v>476</v>
      </c>
      <c r="E662" s="5">
        <f t="shared" si="36"/>
        <v>0.72121212121212119</v>
      </c>
      <c r="F662" s="2">
        <v>4</v>
      </c>
      <c r="G662" s="3">
        <f t="shared" si="37"/>
        <v>0</v>
      </c>
      <c r="H662" s="2" t="s">
        <v>12</v>
      </c>
      <c r="I662" s="3"/>
    </row>
    <row r="663" spans="1:9" x14ac:dyDescent="0.25">
      <c r="A663" s="2">
        <v>661</v>
      </c>
      <c r="B663" s="2">
        <v>660</v>
      </c>
      <c r="C663" s="2">
        <v>2</v>
      </c>
      <c r="D663" s="4">
        <f t="shared" si="35"/>
        <v>-1</v>
      </c>
      <c r="E663" s="5">
        <f t="shared" si="36"/>
        <v>-1.5128593040847202E-3</v>
      </c>
      <c r="F663" s="2">
        <v>1</v>
      </c>
      <c r="G663" s="3">
        <f t="shared" si="37"/>
        <v>1</v>
      </c>
      <c r="H663" s="2" t="s">
        <v>11</v>
      </c>
      <c r="I663" s="3">
        <v>-1</v>
      </c>
    </row>
    <row r="664" spans="1:9" x14ac:dyDescent="0.25">
      <c r="A664" s="2">
        <v>662</v>
      </c>
      <c r="B664" s="2">
        <v>330</v>
      </c>
      <c r="C664" s="2">
        <v>4</v>
      </c>
      <c r="D664" s="4">
        <f t="shared" si="35"/>
        <v>328</v>
      </c>
      <c r="E664" s="5">
        <f t="shared" si="36"/>
        <v>0.49546827794561932</v>
      </c>
      <c r="F664" s="2">
        <v>2</v>
      </c>
      <c r="G664" s="3">
        <f t="shared" si="37"/>
        <v>2</v>
      </c>
      <c r="H664" s="2" t="s">
        <v>12</v>
      </c>
      <c r="I664" s="3"/>
    </row>
    <row r="665" spans="1:9" x14ac:dyDescent="0.25">
      <c r="A665" s="2">
        <v>663</v>
      </c>
      <c r="B665" s="2">
        <v>384</v>
      </c>
      <c r="C665" s="2">
        <v>8</v>
      </c>
      <c r="D665" s="4">
        <f t="shared" si="35"/>
        <v>271</v>
      </c>
      <c r="E665" s="5">
        <f t="shared" si="36"/>
        <v>0.40874811463046756</v>
      </c>
      <c r="F665" s="2">
        <v>3</v>
      </c>
      <c r="G665" s="3">
        <f t="shared" si="37"/>
        <v>3</v>
      </c>
      <c r="H665" s="2" t="s">
        <v>12</v>
      </c>
      <c r="I665" s="3"/>
    </row>
    <row r="666" spans="1:9" x14ac:dyDescent="0.25">
      <c r="A666" s="2">
        <v>664</v>
      </c>
      <c r="B666" s="2">
        <v>328</v>
      </c>
      <c r="C666" s="2">
        <v>8</v>
      </c>
      <c r="D666" s="4">
        <f t="shared" si="35"/>
        <v>328</v>
      </c>
      <c r="E666" s="5">
        <f t="shared" si="36"/>
        <v>0.49397590361445781</v>
      </c>
      <c r="F666" s="2">
        <v>2</v>
      </c>
      <c r="G666" s="3">
        <f t="shared" si="37"/>
        <v>4</v>
      </c>
      <c r="H666" s="2" t="s">
        <v>12</v>
      </c>
      <c r="I666" s="3"/>
    </row>
    <row r="667" spans="1:9" x14ac:dyDescent="0.25">
      <c r="A667" s="2">
        <v>665</v>
      </c>
      <c r="B667" s="2">
        <v>432</v>
      </c>
      <c r="C667" s="2">
        <v>8</v>
      </c>
      <c r="D667" s="4">
        <f t="shared" si="35"/>
        <v>225</v>
      </c>
      <c r="E667" s="5">
        <f t="shared" si="36"/>
        <v>0.33834586466165412</v>
      </c>
      <c r="F667" s="2">
        <v>3</v>
      </c>
      <c r="G667" s="3">
        <f t="shared" si="37"/>
        <v>5</v>
      </c>
      <c r="H667" s="2" t="s">
        <v>12</v>
      </c>
      <c r="I667" s="3"/>
    </row>
    <row r="668" spans="1:9" x14ac:dyDescent="0.25">
      <c r="A668" s="2">
        <v>666</v>
      </c>
      <c r="B668" s="2">
        <v>216</v>
      </c>
      <c r="C668" s="2">
        <v>12</v>
      </c>
      <c r="D668" s="4">
        <f t="shared" si="35"/>
        <v>438</v>
      </c>
      <c r="E668" s="5">
        <f t="shared" si="36"/>
        <v>0.65765765765765771</v>
      </c>
      <c r="F668" s="2">
        <v>3</v>
      </c>
      <c r="G668" s="3">
        <f t="shared" si="37"/>
        <v>6</v>
      </c>
      <c r="H668" s="2" t="s">
        <v>12</v>
      </c>
      <c r="I668" s="3"/>
    </row>
    <row r="669" spans="1:9" x14ac:dyDescent="0.25">
      <c r="A669" s="2">
        <v>667</v>
      </c>
      <c r="B669" s="2">
        <v>616</v>
      </c>
      <c r="C669" s="2">
        <v>4</v>
      </c>
      <c r="D669" s="4">
        <f t="shared" si="35"/>
        <v>47</v>
      </c>
      <c r="E669" s="5">
        <f t="shared" si="36"/>
        <v>7.0464767616191901E-2</v>
      </c>
      <c r="F669" s="2">
        <v>2</v>
      </c>
      <c r="G669" s="3">
        <f t="shared" si="37"/>
        <v>7</v>
      </c>
      <c r="H669" s="2" t="s">
        <v>12</v>
      </c>
      <c r="I669" s="3"/>
    </row>
    <row r="670" spans="1:9" x14ac:dyDescent="0.25">
      <c r="A670" s="2">
        <v>668</v>
      </c>
      <c r="B670" s="2">
        <v>332</v>
      </c>
      <c r="C670" s="2">
        <v>6</v>
      </c>
      <c r="D670" s="4">
        <f t="shared" si="35"/>
        <v>330</v>
      </c>
      <c r="E670" s="5">
        <f t="shared" si="36"/>
        <v>0.4940119760479042</v>
      </c>
      <c r="F670" s="2">
        <v>2</v>
      </c>
      <c r="G670" s="3">
        <f t="shared" si="37"/>
        <v>8</v>
      </c>
      <c r="H670" s="2" t="s">
        <v>12</v>
      </c>
      <c r="I670" s="3"/>
    </row>
    <row r="671" spans="1:9" x14ac:dyDescent="0.25">
      <c r="A671" s="2">
        <v>669</v>
      </c>
      <c r="B671" s="2">
        <v>444</v>
      </c>
      <c r="C671" s="2">
        <v>4</v>
      </c>
      <c r="D671" s="4">
        <f t="shared" si="35"/>
        <v>221</v>
      </c>
      <c r="E671" s="5">
        <f t="shared" si="36"/>
        <v>0.33034379671150971</v>
      </c>
      <c r="F671" s="2">
        <v>2</v>
      </c>
      <c r="G671" s="3">
        <f t="shared" si="37"/>
        <v>9</v>
      </c>
      <c r="H671" s="2" t="s">
        <v>12</v>
      </c>
      <c r="I671" s="3"/>
    </row>
    <row r="672" spans="1:9" x14ac:dyDescent="0.25">
      <c r="A672" s="2">
        <v>670</v>
      </c>
      <c r="B672" s="2">
        <v>264</v>
      </c>
      <c r="C672" s="2">
        <v>8</v>
      </c>
      <c r="D672" s="4">
        <f t="shared" si="35"/>
        <v>398</v>
      </c>
      <c r="E672" s="5">
        <f t="shared" si="36"/>
        <v>0.59402985074626868</v>
      </c>
      <c r="F672" s="2">
        <v>3</v>
      </c>
      <c r="G672" s="3">
        <f t="shared" si="37"/>
        <v>10</v>
      </c>
      <c r="H672" s="2" t="s">
        <v>12</v>
      </c>
      <c r="I672" s="3"/>
    </row>
    <row r="673" spans="1:9" x14ac:dyDescent="0.25">
      <c r="A673" s="2">
        <v>671</v>
      </c>
      <c r="B673" s="2">
        <v>600</v>
      </c>
      <c r="C673" s="2">
        <v>4</v>
      </c>
      <c r="D673" s="4">
        <f t="shared" si="35"/>
        <v>67</v>
      </c>
      <c r="E673" s="5">
        <f t="shared" si="36"/>
        <v>9.9850968703427717E-2</v>
      </c>
      <c r="F673" s="2">
        <v>2</v>
      </c>
      <c r="G673" s="3">
        <f t="shared" si="37"/>
        <v>11</v>
      </c>
      <c r="H673" s="2" t="s">
        <v>12</v>
      </c>
      <c r="I673" s="3"/>
    </row>
    <row r="674" spans="1:9" x14ac:dyDescent="0.25">
      <c r="A674" s="2">
        <v>672</v>
      </c>
      <c r="B674" s="2">
        <v>192</v>
      </c>
      <c r="C674" s="2">
        <v>24</v>
      </c>
      <c r="D674" s="4">
        <f t="shared" si="35"/>
        <v>456</v>
      </c>
      <c r="E674" s="5">
        <f t="shared" si="36"/>
        <v>0.6785714285714286</v>
      </c>
      <c r="F674" s="2">
        <v>3</v>
      </c>
      <c r="G674" s="3">
        <f t="shared" si="37"/>
        <v>12</v>
      </c>
      <c r="H674" s="2" t="s">
        <v>12</v>
      </c>
      <c r="I674" s="3"/>
    </row>
    <row r="675" spans="1:9" x14ac:dyDescent="0.25">
      <c r="A675" s="2">
        <v>673</v>
      </c>
      <c r="B675" s="2">
        <v>672</v>
      </c>
      <c r="C675" s="2">
        <v>2</v>
      </c>
      <c r="D675" s="4">
        <f t="shared" si="35"/>
        <v>-1</v>
      </c>
      <c r="E675" s="5">
        <f t="shared" si="36"/>
        <v>-1.4858841010401188E-3</v>
      </c>
      <c r="F675" s="2">
        <v>1</v>
      </c>
      <c r="G675" s="3">
        <f t="shared" si="37"/>
        <v>13</v>
      </c>
      <c r="H675" s="2" t="s">
        <v>11</v>
      </c>
      <c r="I675" s="3">
        <v>-1</v>
      </c>
    </row>
    <row r="676" spans="1:9" x14ac:dyDescent="0.25">
      <c r="A676" s="2">
        <v>674</v>
      </c>
      <c r="B676" s="2">
        <v>336</v>
      </c>
      <c r="C676" s="2">
        <v>4</v>
      </c>
      <c r="D676" s="4">
        <f t="shared" si="35"/>
        <v>334</v>
      </c>
      <c r="E676" s="5">
        <f t="shared" si="36"/>
        <v>0.49554896142433236</v>
      </c>
      <c r="F676" s="2">
        <v>2</v>
      </c>
      <c r="G676" s="3">
        <f t="shared" si="37"/>
        <v>14</v>
      </c>
      <c r="H676" s="2" t="s">
        <v>12</v>
      </c>
      <c r="I676" s="3"/>
    </row>
    <row r="677" spans="1:9" x14ac:dyDescent="0.25">
      <c r="A677" s="2">
        <v>675</v>
      </c>
      <c r="B677" s="2">
        <v>360</v>
      </c>
      <c r="C677" s="2">
        <v>12</v>
      </c>
      <c r="D677" s="4">
        <f t="shared" si="35"/>
        <v>303</v>
      </c>
      <c r="E677" s="5">
        <f t="shared" si="36"/>
        <v>0.44888888888888889</v>
      </c>
      <c r="F677" s="2">
        <v>2</v>
      </c>
      <c r="G677" s="3">
        <f t="shared" si="37"/>
        <v>15</v>
      </c>
      <c r="H677" s="2" t="s">
        <v>12</v>
      </c>
      <c r="I677" s="3"/>
    </row>
    <row r="678" spans="1:9" x14ac:dyDescent="0.25">
      <c r="A678" s="2">
        <v>676</v>
      </c>
      <c r="B678" s="2">
        <v>312</v>
      </c>
      <c r="C678" s="2">
        <v>9</v>
      </c>
      <c r="D678" s="4">
        <f t="shared" si="35"/>
        <v>355</v>
      </c>
      <c r="E678" s="5">
        <f t="shared" si="36"/>
        <v>0.5251479289940828</v>
      </c>
      <c r="F678" s="2">
        <v>2</v>
      </c>
      <c r="G678" s="3">
        <f t="shared" si="37"/>
        <v>16</v>
      </c>
      <c r="H678" s="2" t="s">
        <v>12</v>
      </c>
      <c r="I678" s="3"/>
    </row>
    <row r="679" spans="1:9" x14ac:dyDescent="0.25">
      <c r="A679" s="2">
        <v>677</v>
      </c>
      <c r="B679" s="2">
        <v>676</v>
      </c>
      <c r="C679" s="2">
        <v>2</v>
      </c>
      <c r="D679" s="4">
        <f t="shared" si="35"/>
        <v>-1</v>
      </c>
      <c r="E679" s="5">
        <f t="shared" si="36"/>
        <v>-1.4771048744460858E-3</v>
      </c>
      <c r="F679" s="2">
        <v>1</v>
      </c>
      <c r="G679" s="3">
        <f t="shared" si="37"/>
        <v>17</v>
      </c>
      <c r="H679" s="2" t="s">
        <v>11</v>
      </c>
      <c r="I679" s="3">
        <v>-1</v>
      </c>
    </row>
    <row r="680" spans="1:9" x14ac:dyDescent="0.25">
      <c r="A680" s="2">
        <v>678</v>
      </c>
      <c r="B680" s="2">
        <v>224</v>
      </c>
      <c r="C680" s="2">
        <v>8</v>
      </c>
      <c r="D680" s="4">
        <f t="shared" si="35"/>
        <v>446</v>
      </c>
      <c r="E680" s="5">
        <f t="shared" si="36"/>
        <v>0.65781710914454272</v>
      </c>
      <c r="F680" s="2">
        <v>3</v>
      </c>
      <c r="G680" s="3">
        <f t="shared" si="37"/>
        <v>18</v>
      </c>
      <c r="H680" s="2" t="s">
        <v>12</v>
      </c>
      <c r="I680" s="3"/>
    </row>
    <row r="681" spans="1:9" x14ac:dyDescent="0.25">
      <c r="A681" s="2">
        <v>679</v>
      </c>
      <c r="B681" s="2">
        <v>576</v>
      </c>
      <c r="C681" s="2">
        <v>4</v>
      </c>
      <c r="D681" s="4">
        <f t="shared" si="35"/>
        <v>99</v>
      </c>
      <c r="E681" s="5">
        <f t="shared" si="36"/>
        <v>0.14580265095729014</v>
      </c>
      <c r="F681" s="2">
        <v>2</v>
      </c>
      <c r="G681" s="3">
        <f t="shared" si="37"/>
        <v>19</v>
      </c>
      <c r="H681" s="2" t="s">
        <v>12</v>
      </c>
      <c r="I681" s="3"/>
    </row>
    <row r="682" spans="1:9" x14ac:dyDescent="0.25">
      <c r="A682" s="2">
        <v>680</v>
      </c>
      <c r="B682" s="2">
        <v>256</v>
      </c>
      <c r="C682" s="2">
        <v>16</v>
      </c>
      <c r="D682" s="4">
        <f t="shared" si="35"/>
        <v>408</v>
      </c>
      <c r="E682" s="5">
        <f t="shared" si="36"/>
        <v>0.6</v>
      </c>
      <c r="F682" s="2">
        <v>3</v>
      </c>
      <c r="G682" s="3">
        <f t="shared" si="37"/>
        <v>20</v>
      </c>
      <c r="H682" s="2" t="s">
        <v>12</v>
      </c>
      <c r="I682" s="3"/>
    </row>
    <row r="683" spans="1:9" x14ac:dyDescent="0.25">
      <c r="A683" s="2">
        <v>681</v>
      </c>
      <c r="B683" s="2">
        <v>452</v>
      </c>
      <c r="C683" s="2">
        <v>4</v>
      </c>
      <c r="D683" s="4">
        <f t="shared" si="35"/>
        <v>225</v>
      </c>
      <c r="E683" s="5">
        <f t="shared" si="36"/>
        <v>0.33039647577092512</v>
      </c>
      <c r="F683" s="2">
        <v>2</v>
      </c>
      <c r="G683" s="3">
        <f t="shared" si="37"/>
        <v>21</v>
      </c>
      <c r="H683" s="2" t="s">
        <v>12</v>
      </c>
      <c r="I683" s="3"/>
    </row>
    <row r="684" spans="1:9" x14ac:dyDescent="0.25">
      <c r="A684" s="2">
        <v>682</v>
      </c>
      <c r="B684" s="2">
        <v>300</v>
      </c>
      <c r="C684" s="2">
        <v>8</v>
      </c>
      <c r="D684" s="4">
        <f t="shared" si="35"/>
        <v>374</v>
      </c>
      <c r="E684" s="5">
        <f t="shared" si="36"/>
        <v>0.54838709677419351</v>
      </c>
      <c r="F684" s="2">
        <v>3</v>
      </c>
      <c r="G684" s="3">
        <f t="shared" si="37"/>
        <v>22</v>
      </c>
      <c r="H684" s="2" t="s">
        <v>12</v>
      </c>
      <c r="I684" s="3"/>
    </row>
    <row r="685" spans="1:9" x14ac:dyDescent="0.25">
      <c r="A685" s="2">
        <v>683</v>
      </c>
      <c r="B685" s="2">
        <v>682</v>
      </c>
      <c r="C685" s="2">
        <v>2</v>
      </c>
      <c r="D685" s="4">
        <f t="shared" si="35"/>
        <v>-1</v>
      </c>
      <c r="E685" s="5">
        <f t="shared" si="36"/>
        <v>-1.4641288433382138E-3</v>
      </c>
      <c r="F685" s="2">
        <v>1</v>
      </c>
      <c r="G685" s="3">
        <f t="shared" si="37"/>
        <v>23</v>
      </c>
      <c r="H685" s="2" t="s">
        <v>11</v>
      </c>
      <c r="I685" s="3">
        <v>-1</v>
      </c>
    </row>
    <row r="686" spans="1:9" x14ac:dyDescent="0.25">
      <c r="A686" s="2">
        <v>684</v>
      </c>
      <c r="B686" s="2">
        <v>216</v>
      </c>
      <c r="C686" s="2">
        <v>18</v>
      </c>
      <c r="D686" s="4">
        <f t="shared" si="35"/>
        <v>450</v>
      </c>
      <c r="E686" s="5">
        <f t="shared" si="36"/>
        <v>0.65789473684210531</v>
      </c>
      <c r="F686" s="2">
        <v>3</v>
      </c>
      <c r="G686" s="3">
        <f t="shared" si="37"/>
        <v>24</v>
      </c>
      <c r="H686" s="2" t="s">
        <v>12</v>
      </c>
      <c r="I686" s="3"/>
    </row>
    <row r="687" spans="1:9" x14ac:dyDescent="0.25">
      <c r="A687" s="2">
        <v>685</v>
      </c>
      <c r="B687" s="2">
        <v>544</v>
      </c>
      <c r="C687" s="2">
        <v>4</v>
      </c>
      <c r="D687" s="4">
        <f t="shared" si="35"/>
        <v>137</v>
      </c>
      <c r="E687" s="5">
        <f t="shared" si="36"/>
        <v>0.2</v>
      </c>
      <c r="F687" s="2">
        <v>2</v>
      </c>
      <c r="G687" s="3">
        <f t="shared" si="37"/>
        <v>25</v>
      </c>
      <c r="H687" s="2" t="s">
        <v>12</v>
      </c>
      <c r="I687" s="3"/>
    </row>
    <row r="688" spans="1:9" x14ac:dyDescent="0.25">
      <c r="A688" s="2">
        <v>686</v>
      </c>
      <c r="B688" s="2">
        <v>294</v>
      </c>
      <c r="C688" s="2">
        <v>8</v>
      </c>
      <c r="D688" s="4">
        <f t="shared" si="35"/>
        <v>384</v>
      </c>
      <c r="E688" s="5">
        <f t="shared" si="36"/>
        <v>0.55976676384839652</v>
      </c>
      <c r="F688" s="2">
        <v>2</v>
      </c>
      <c r="G688" s="3">
        <f t="shared" si="37"/>
        <v>26</v>
      </c>
      <c r="H688" s="2" t="s">
        <v>12</v>
      </c>
      <c r="I688" s="3"/>
    </row>
    <row r="689" spans="1:9" x14ac:dyDescent="0.25">
      <c r="A689" s="2">
        <v>687</v>
      </c>
      <c r="B689" s="2">
        <v>456</v>
      </c>
      <c r="C689" s="2">
        <v>4</v>
      </c>
      <c r="D689" s="4">
        <f t="shared" si="35"/>
        <v>227</v>
      </c>
      <c r="E689" s="5">
        <f t="shared" si="36"/>
        <v>0.33042212518195052</v>
      </c>
      <c r="F689" s="2">
        <v>2</v>
      </c>
      <c r="G689" s="3">
        <f t="shared" si="37"/>
        <v>27</v>
      </c>
      <c r="H689" s="2" t="s">
        <v>12</v>
      </c>
      <c r="I689" s="3"/>
    </row>
    <row r="690" spans="1:9" x14ac:dyDescent="0.25">
      <c r="A690" s="2">
        <v>688</v>
      </c>
      <c r="B690" s="2">
        <v>336</v>
      </c>
      <c r="C690" s="2">
        <v>10</v>
      </c>
      <c r="D690" s="4">
        <f t="shared" si="35"/>
        <v>342</v>
      </c>
      <c r="E690" s="5">
        <f t="shared" si="36"/>
        <v>0.49709302325581395</v>
      </c>
      <c r="F690" s="2">
        <v>2</v>
      </c>
      <c r="G690" s="3">
        <f t="shared" si="37"/>
        <v>28</v>
      </c>
      <c r="H690" s="2" t="s">
        <v>12</v>
      </c>
      <c r="I690" s="3"/>
    </row>
    <row r="691" spans="1:9" x14ac:dyDescent="0.25">
      <c r="A691" s="2">
        <v>689</v>
      </c>
      <c r="B691" s="2">
        <v>624</v>
      </c>
      <c r="C691" s="2">
        <v>4</v>
      </c>
      <c r="D691" s="4">
        <f t="shared" si="35"/>
        <v>61</v>
      </c>
      <c r="E691" s="5">
        <f t="shared" si="36"/>
        <v>8.8534107402031936E-2</v>
      </c>
      <c r="F691" s="2">
        <v>2</v>
      </c>
      <c r="G691" s="3">
        <f t="shared" si="37"/>
        <v>29</v>
      </c>
      <c r="H691" s="2" t="s">
        <v>12</v>
      </c>
      <c r="I691" s="3"/>
    </row>
    <row r="692" spans="1:9" x14ac:dyDescent="0.25">
      <c r="A692" s="2">
        <v>690</v>
      </c>
      <c r="B692" s="2">
        <v>176</v>
      </c>
      <c r="C692" s="2">
        <v>16</v>
      </c>
      <c r="D692" s="4">
        <f t="shared" si="35"/>
        <v>498</v>
      </c>
      <c r="E692" s="5">
        <f t="shared" si="36"/>
        <v>0.72173913043478266</v>
      </c>
      <c r="F692" s="2">
        <v>4</v>
      </c>
      <c r="G692" s="3">
        <f t="shared" si="37"/>
        <v>0</v>
      </c>
      <c r="H692" s="2" t="s">
        <v>12</v>
      </c>
      <c r="I692" s="3"/>
    </row>
    <row r="693" spans="1:9" x14ac:dyDescent="0.25">
      <c r="A693" s="2">
        <v>691</v>
      </c>
      <c r="B693" s="2">
        <v>690</v>
      </c>
      <c r="C693" s="2">
        <v>2</v>
      </c>
      <c r="D693" s="4">
        <f t="shared" si="35"/>
        <v>-1</v>
      </c>
      <c r="E693" s="5">
        <f t="shared" si="36"/>
        <v>-1.4471780028943559E-3</v>
      </c>
      <c r="F693" s="2">
        <v>1</v>
      </c>
      <c r="G693" s="3">
        <f t="shared" si="37"/>
        <v>1</v>
      </c>
      <c r="H693" s="2" t="s">
        <v>11</v>
      </c>
      <c r="I693" s="3">
        <v>-1</v>
      </c>
    </row>
    <row r="694" spans="1:9" x14ac:dyDescent="0.25">
      <c r="A694" s="2">
        <v>692</v>
      </c>
      <c r="B694" s="2">
        <v>344</v>
      </c>
      <c r="C694" s="2">
        <v>6</v>
      </c>
      <c r="D694" s="4">
        <f t="shared" si="35"/>
        <v>342</v>
      </c>
      <c r="E694" s="5">
        <f t="shared" si="36"/>
        <v>0.49421965317919075</v>
      </c>
      <c r="F694" s="2">
        <v>2</v>
      </c>
      <c r="G694" s="3">
        <f t="shared" si="37"/>
        <v>2</v>
      </c>
      <c r="H694" s="2" t="s">
        <v>12</v>
      </c>
      <c r="I694" s="3"/>
    </row>
    <row r="695" spans="1:9" x14ac:dyDescent="0.25">
      <c r="A695" s="2">
        <v>693</v>
      </c>
      <c r="B695" s="2">
        <v>360</v>
      </c>
      <c r="C695" s="2">
        <v>12</v>
      </c>
      <c r="D695" s="4">
        <f t="shared" si="35"/>
        <v>321</v>
      </c>
      <c r="E695" s="5">
        <f t="shared" si="36"/>
        <v>0.46320346320346323</v>
      </c>
      <c r="F695" s="2">
        <v>3</v>
      </c>
      <c r="G695" s="3">
        <f t="shared" si="37"/>
        <v>3</v>
      </c>
      <c r="H695" s="2" t="s">
        <v>12</v>
      </c>
      <c r="I695" s="3"/>
    </row>
    <row r="696" spans="1:9" x14ac:dyDescent="0.25">
      <c r="A696" s="2">
        <v>694</v>
      </c>
      <c r="B696" s="2">
        <v>346</v>
      </c>
      <c r="C696" s="2">
        <v>4</v>
      </c>
      <c r="D696" s="4">
        <f t="shared" si="35"/>
        <v>344</v>
      </c>
      <c r="E696" s="5">
        <f t="shared" si="36"/>
        <v>0.49567723342939479</v>
      </c>
      <c r="F696" s="2">
        <v>2</v>
      </c>
      <c r="G696" s="3">
        <f t="shared" si="37"/>
        <v>4</v>
      </c>
      <c r="H696" s="2" t="s">
        <v>12</v>
      </c>
      <c r="I696" s="3"/>
    </row>
    <row r="697" spans="1:9" x14ac:dyDescent="0.25">
      <c r="A697" s="2">
        <v>695</v>
      </c>
      <c r="B697" s="2">
        <v>552</v>
      </c>
      <c r="C697" s="2">
        <v>4</v>
      </c>
      <c r="D697" s="4">
        <f t="shared" si="35"/>
        <v>139</v>
      </c>
      <c r="E697" s="5">
        <f t="shared" si="36"/>
        <v>0.2</v>
      </c>
      <c r="F697" s="2">
        <v>2</v>
      </c>
      <c r="G697" s="3">
        <f t="shared" si="37"/>
        <v>5</v>
      </c>
      <c r="H697" s="2" t="s">
        <v>12</v>
      </c>
      <c r="I697" s="3"/>
    </row>
    <row r="698" spans="1:9" x14ac:dyDescent="0.25">
      <c r="A698" s="2">
        <v>696</v>
      </c>
      <c r="B698" s="2">
        <v>224</v>
      </c>
      <c r="C698" s="2">
        <v>16</v>
      </c>
      <c r="D698" s="4">
        <f t="shared" si="35"/>
        <v>456</v>
      </c>
      <c r="E698" s="5">
        <f t="shared" si="36"/>
        <v>0.65517241379310343</v>
      </c>
      <c r="F698" s="2">
        <v>3</v>
      </c>
      <c r="G698" s="3">
        <f t="shared" si="37"/>
        <v>6</v>
      </c>
      <c r="H698" s="2" t="s">
        <v>12</v>
      </c>
      <c r="I698" s="3"/>
    </row>
    <row r="699" spans="1:9" x14ac:dyDescent="0.25">
      <c r="A699" s="2">
        <v>697</v>
      </c>
      <c r="B699" s="2">
        <v>640</v>
      </c>
      <c r="C699" s="2">
        <v>4</v>
      </c>
      <c r="D699" s="4">
        <f t="shared" si="35"/>
        <v>53</v>
      </c>
      <c r="E699" s="5">
        <f t="shared" si="36"/>
        <v>7.6040172166427542E-2</v>
      </c>
      <c r="F699" s="2">
        <v>2</v>
      </c>
      <c r="G699" s="3">
        <f t="shared" si="37"/>
        <v>7</v>
      </c>
      <c r="H699" s="2" t="s">
        <v>12</v>
      </c>
      <c r="I699" s="3"/>
    </row>
    <row r="700" spans="1:9" x14ac:dyDescent="0.25">
      <c r="A700" s="2">
        <v>698</v>
      </c>
      <c r="B700" s="2">
        <v>348</v>
      </c>
      <c r="C700" s="2">
        <v>4</v>
      </c>
      <c r="D700" s="4">
        <f t="shared" si="35"/>
        <v>346</v>
      </c>
      <c r="E700" s="5">
        <f t="shared" si="36"/>
        <v>0.49570200573065903</v>
      </c>
      <c r="F700" s="2">
        <v>2</v>
      </c>
      <c r="G700" s="3">
        <f t="shared" si="37"/>
        <v>8</v>
      </c>
      <c r="H700" s="2" t="s">
        <v>12</v>
      </c>
      <c r="I700" s="3"/>
    </row>
    <row r="701" spans="1:9" x14ac:dyDescent="0.25">
      <c r="A701" s="2">
        <v>699</v>
      </c>
      <c r="B701" s="2">
        <v>464</v>
      </c>
      <c r="C701" s="2">
        <v>4</v>
      </c>
      <c r="D701" s="4">
        <f t="shared" si="35"/>
        <v>231</v>
      </c>
      <c r="E701" s="5">
        <f t="shared" si="36"/>
        <v>0.33047210300429186</v>
      </c>
      <c r="F701" s="2">
        <v>2</v>
      </c>
      <c r="G701" s="3">
        <f t="shared" si="37"/>
        <v>9</v>
      </c>
      <c r="H701" s="2" t="s">
        <v>12</v>
      </c>
      <c r="I701" s="3"/>
    </row>
    <row r="702" spans="1:9" x14ac:dyDescent="0.25">
      <c r="A702" s="2">
        <v>700</v>
      </c>
      <c r="B702" s="2">
        <v>240</v>
      </c>
      <c r="C702" s="2">
        <v>18</v>
      </c>
      <c r="D702" s="4">
        <f t="shared" si="35"/>
        <v>442</v>
      </c>
      <c r="E702" s="5">
        <f t="shared" si="36"/>
        <v>0.63142857142857145</v>
      </c>
      <c r="F702" s="2">
        <v>3</v>
      </c>
      <c r="G702" s="3">
        <f t="shared" si="37"/>
        <v>10</v>
      </c>
      <c r="H702" s="2" t="s">
        <v>12</v>
      </c>
      <c r="I702" s="3"/>
    </row>
    <row r="703" spans="1:9" x14ac:dyDescent="0.25">
      <c r="A703" s="2">
        <v>701</v>
      </c>
      <c r="B703" s="2">
        <v>700</v>
      </c>
      <c r="C703" s="2">
        <v>2</v>
      </c>
      <c r="D703" s="4">
        <f t="shared" si="35"/>
        <v>-1</v>
      </c>
      <c r="E703" s="5">
        <f t="shared" si="36"/>
        <v>-1.4265335235378032E-3</v>
      </c>
      <c r="F703" s="2">
        <v>1</v>
      </c>
      <c r="G703" s="3">
        <f t="shared" si="37"/>
        <v>11</v>
      </c>
      <c r="H703" s="2" t="s">
        <v>11</v>
      </c>
      <c r="I703" s="3">
        <v>-1</v>
      </c>
    </row>
    <row r="704" spans="1:9" x14ac:dyDescent="0.25">
      <c r="A704" s="2">
        <v>702</v>
      </c>
      <c r="B704" s="2">
        <v>216</v>
      </c>
      <c r="C704" s="2">
        <v>16</v>
      </c>
      <c r="D704" s="4">
        <f t="shared" si="35"/>
        <v>470</v>
      </c>
      <c r="E704" s="5">
        <f t="shared" si="36"/>
        <v>0.66951566951566954</v>
      </c>
      <c r="F704" s="2">
        <v>3</v>
      </c>
      <c r="G704" s="3">
        <f t="shared" si="37"/>
        <v>12</v>
      </c>
      <c r="H704" s="2" t="s">
        <v>12</v>
      </c>
      <c r="I704" s="3"/>
    </row>
    <row r="705" spans="1:9" x14ac:dyDescent="0.25">
      <c r="A705" s="2">
        <v>703</v>
      </c>
      <c r="B705" s="2">
        <v>648</v>
      </c>
      <c r="C705" s="2">
        <v>4</v>
      </c>
      <c r="D705" s="4">
        <f t="shared" si="35"/>
        <v>51</v>
      </c>
      <c r="E705" s="5">
        <f t="shared" si="36"/>
        <v>7.254623044096728E-2</v>
      </c>
      <c r="F705" s="2">
        <v>2</v>
      </c>
      <c r="G705" s="3">
        <f t="shared" si="37"/>
        <v>13</v>
      </c>
      <c r="H705" s="2" t="s">
        <v>12</v>
      </c>
      <c r="I705" s="3"/>
    </row>
    <row r="706" spans="1:9" x14ac:dyDescent="0.25">
      <c r="A706" s="2">
        <v>704</v>
      </c>
      <c r="B706" s="2">
        <v>320</v>
      </c>
      <c r="C706" s="2">
        <v>14</v>
      </c>
      <c r="D706" s="4">
        <f t="shared" si="35"/>
        <v>370</v>
      </c>
      <c r="E706" s="5">
        <f t="shared" si="36"/>
        <v>0.52556818181818177</v>
      </c>
      <c r="F706" s="2">
        <v>2</v>
      </c>
      <c r="G706" s="3">
        <f t="shared" si="37"/>
        <v>14</v>
      </c>
      <c r="H706" s="2" t="s">
        <v>12</v>
      </c>
      <c r="I706" s="3"/>
    </row>
    <row r="707" spans="1:9" x14ac:dyDescent="0.25">
      <c r="A707" s="2">
        <v>705</v>
      </c>
      <c r="B707" s="2">
        <v>368</v>
      </c>
      <c r="C707" s="2">
        <v>8</v>
      </c>
      <c r="D707" s="4">
        <f t="shared" ref="D707:D770" si="38">A707-B707-C707</f>
        <v>329</v>
      </c>
      <c r="E707" s="5">
        <f t="shared" ref="E707:E770" si="39">D707/A707</f>
        <v>0.46666666666666667</v>
      </c>
      <c r="F707" s="2">
        <v>3</v>
      </c>
      <c r="G707" s="3">
        <f t="shared" ref="G707:G770" si="40">MOD(A707,30)</f>
        <v>15</v>
      </c>
      <c r="H707" s="2" t="s">
        <v>12</v>
      </c>
      <c r="I707" s="3"/>
    </row>
    <row r="708" spans="1:9" x14ac:dyDescent="0.25">
      <c r="A708" s="2">
        <v>706</v>
      </c>
      <c r="B708" s="2">
        <v>352</v>
      </c>
      <c r="C708" s="2">
        <v>4</v>
      </c>
      <c r="D708" s="4">
        <f t="shared" si="38"/>
        <v>350</v>
      </c>
      <c r="E708" s="5">
        <f t="shared" si="39"/>
        <v>0.49575070821529743</v>
      </c>
      <c r="F708" s="2">
        <v>2</v>
      </c>
      <c r="G708" s="3">
        <f t="shared" si="40"/>
        <v>16</v>
      </c>
      <c r="H708" s="2" t="s">
        <v>12</v>
      </c>
      <c r="I708" s="3"/>
    </row>
    <row r="709" spans="1:9" x14ac:dyDescent="0.25">
      <c r="A709" s="2">
        <v>707</v>
      </c>
      <c r="B709" s="2">
        <v>600</v>
      </c>
      <c r="C709" s="2">
        <v>4</v>
      </c>
      <c r="D709" s="4">
        <f t="shared" si="38"/>
        <v>103</v>
      </c>
      <c r="E709" s="5">
        <f t="shared" si="39"/>
        <v>0.14568599717114569</v>
      </c>
      <c r="F709" s="2">
        <v>2</v>
      </c>
      <c r="G709" s="3">
        <f t="shared" si="40"/>
        <v>17</v>
      </c>
      <c r="H709" s="2" t="s">
        <v>12</v>
      </c>
      <c r="I709" s="3"/>
    </row>
    <row r="710" spans="1:9" x14ac:dyDescent="0.25">
      <c r="A710" s="2">
        <v>708</v>
      </c>
      <c r="B710" s="2">
        <v>232</v>
      </c>
      <c r="C710" s="2">
        <v>12</v>
      </c>
      <c r="D710" s="4">
        <f t="shared" si="38"/>
        <v>464</v>
      </c>
      <c r="E710" s="5">
        <f t="shared" si="39"/>
        <v>0.65536723163841804</v>
      </c>
      <c r="F710" s="2">
        <v>3</v>
      </c>
      <c r="G710" s="3">
        <f t="shared" si="40"/>
        <v>18</v>
      </c>
      <c r="H710" s="2" t="s">
        <v>12</v>
      </c>
      <c r="I710" s="3"/>
    </row>
    <row r="711" spans="1:9" x14ac:dyDescent="0.25">
      <c r="A711" s="2">
        <v>709</v>
      </c>
      <c r="B711" s="2">
        <v>708</v>
      </c>
      <c r="C711" s="2">
        <v>2</v>
      </c>
      <c r="D711" s="4">
        <f t="shared" si="38"/>
        <v>-1</v>
      </c>
      <c r="E711" s="5">
        <f t="shared" si="39"/>
        <v>-1.4104372355430183E-3</v>
      </c>
      <c r="F711" s="2">
        <v>1</v>
      </c>
      <c r="G711" s="3">
        <f t="shared" si="40"/>
        <v>19</v>
      </c>
      <c r="H711" s="2" t="s">
        <v>11</v>
      </c>
      <c r="I711" s="3">
        <v>-1</v>
      </c>
    </row>
    <row r="712" spans="1:9" x14ac:dyDescent="0.25">
      <c r="A712" s="2">
        <v>710</v>
      </c>
      <c r="B712" s="2">
        <v>280</v>
      </c>
      <c r="C712" s="2">
        <v>8</v>
      </c>
      <c r="D712" s="4">
        <f t="shared" si="38"/>
        <v>422</v>
      </c>
      <c r="E712" s="5">
        <f t="shared" si="39"/>
        <v>0.59436619718309858</v>
      </c>
      <c r="F712" s="2">
        <v>3</v>
      </c>
      <c r="G712" s="3">
        <f t="shared" si="40"/>
        <v>20</v>
      </c>
      <c r="H712" s="2" t="s">
        <v>12</v>
      </c>
      <c r="I712" s="3"/>
    </row>
    <row r="713" spans="1:9" x14ac:dyDescent="0.25">
      <c r="A713" s="2">
        <v>711</v>
      </c>
      <c r="B713" s="2">
        <v>468</v>
      </c>
      <c r="C713" s="2">
        <v>6</v>
      </c>
      <c r="D713" s="4">
        <f t="shared" si="38"/>
        <v>237</v>
      </c>
      <c r="E713" s="5">
        <f t="shared" si="39"/>
        <v>0.33333333333333331</v>
      </c>
      <c r="F713" s="2">
        <v>2</v>
      </c>
      <c r="G713" s="3">
        <f t="shared" si="40"/>
        <v>21</v>
      </c>
      <c r="H713" s="2" t="s">
        <v>12</v>
      </c>
      <c r="I713" s="3"/>
    </row>
    <row r="714" spans="1:9" x14ac:dyDescent="0.25">
      <c r="A714" s="2">
        <v>712</v>
      </c>
      <c r="B714" s="2">
        <v>352</v>
      </c>
      <c r="C714" s="2">
        <v>8</v>
      </c>
      <c r="D714" s="4">
        <f t="shared" si="38"/>
        <v>352</v>
      </c>
      <c r="E714" s="5">
        <f t="shared" si="39"/>
        <v>0.4943820224719101</v>
      </c>
      <c r="F714" s="2">
        <v>2</v>
      </c>
      <c r="G714" s="3">
        <f t="shared" si="40"/>
        <v>22</v>
      </c>
      <c r="H714" s="2" t="s">
        <v>12</v>
      </c>
      <c r="I714" s="3"/>
    </row>
    <row r="715" spans="1:9" x14ac:dyDescent="0.25">
      <c r="A715" s="2">
        <v>713</v>
      </c>
      <c r="B715" s="2">
        <v>660</v>
      </c>
      <c r="C715" s="2">
        <v>4</v>
      </c>
      <c r="D715" s="4">
        <f t="shared" si="38"/>
        <v>49</v>
      </c>
      <c r="E715" s="5">
        <f t="shared" si="39"/>
        <v>6.8723702664796632E-2</v>
      </c>
      <c r="F715" s="2">
        <v>2</v>
      </c>
      <c r="G715" s="3">
        <f t="shared" si="40"/>
        <v>23</v>
      </c>
      <c r="H715" s="2" t="s">
        <v>12</v>
      </c>
      <c r="I715" s="3"/>
    </row>
    <row r="716" spans="1:9" x14ac:dyDescent="0.25">
      <c r="A716" s="2">
        <v>714</v>
      </c>
      <c r="B716" s="2">
        <v>192</v>
      </c>
      <c r="C716" s="2">
        <v>16</v>
      </c>
      <c r="D716" s="4">
        <f t="shared" si="38"/>
        <v>506</v>
      </c>
      <c r="E716" s="5">
        <f t="shared" si="39"/>
        <v>0.70868347338935578</v>
      </c>
      <c r="F716" s="2">
        <v>4</v>
      </c>
      <c r="G716" s="3">
        <f t="shared" si="40"/>
        <v>24</v>
      </c>
      <c r="H716" s="2" t="s">
        <v>12</v>
      </c>
      <c r="I716" s="3"/>
    </row>
    <row r="717" spans="1:9" x14ac:dyDescent="0.25">
      <c r="A717" s="2">
        <v>715</v>
      </c>
      <c r="B717" s="2">
        <v>480</v>
      </c>
      <c r="C717" s="2">
        <v>8</v>
      </c>
      <c r="D717" s="4">
        <f t="shared" si="38"/>
        <v>227</v>
      </c>
      <c r="E717" s="5">
        <f t="shared" si="39"/>
        <v>0.31748251748251749</v>
      </c>
      <c r="F717" s="2">
        <v>3</v>
      </c>
      <c r="G717" s="3">
        <f t="shared" si="40"/>
        <v>25</v>
      </c>
      <c r="H717" s="2" t="s">
        <v>12</v>
      </c>
      <c r="I717" s="3"/>
    </row>
    <row r="718" spans="1:9" x14ac:dyDescent="0.25">
      <c r="A718" s="2">
        <v>716</v>
      </c>
      <c r="B718" s="2">
        <v>356</v>
      </c>
      <c r="C718" s="2">
        <v>6</v>
      </c>
      <c r="D718" s="4">
        <f t="shared" si="38"/>
        <v>354</v>
      </c>
      <c r="E718" s="5">
        <f t="shared" si="39"/>
        <v>0.49441340782122906</v>
      </c>
      <c r="F718" s="2">
        <v>2</v>
      </c>
      <c r="G718" s="3">
        <f t="shared" si="40"/>
        <v>26</v>
      </c>
      <c r="H718" s="2" t="s">
        <v>12</v>
      </c>
      <c r="I718" s="3"/>
    </row>
    <row r="719" spans="1:9" x14ac:dyDescent="0.25">
      <c r="A719" s="2">
        <v>717</v>
      </c>
      <c r="B719" s="2">
        <v>476</v>
      </c>
      <c r="C719" s="2">
        <v>4</v>
      </c>
      <c r="D719" s="4">
        <f t="shared" si="38"/>
        <v>237</v>
      </c>
      <c r="E719" s="5">
        <f t="shared" si="39"/>
        <v>0.33054393305439328</v>
      </c>
      <c r="F719" s="2">
        <v>2</v>
      </c>
      <c r="G719" s="3">
        <f t="shared" si="40"/>
        <v>27</v>
      </c>
      <c r="H719" s="2" t="s">
        <v>12</v>
      </c>
      <c r="I719" s="3"/>
    </row>
    <row r="720" spans="1:9" x14ac:dyDescent="0.25">
      <c r="A720" s="2">
        <v>718</v>
      </c>
      <c r="B720" s="2">
        <v>358</v>
      </c>
      <c r="C720" s="2">
        <v>4</v>
      </c>
      <c r="D720" s="4">
        <f t="shared" si="38"/>
        <v>356</v>
      </c>
      <c r="E720" s="5">
        <f t="shared" si="39"/>
        <v>0.49582172701949861</v>
      </c>
      <c r="F720" s="2">
        <v>2</v>
      </c>
      <c r="G720" s="3">
        <f t="shared" si="40"/>
        <v>28</v>
      </c>
      <c r="H720" s="2" t="s">
        <v>12</v>
      </c>
      <c r="I720" s="3"/>
    </row>
    <row r="721" spans="1:9" x14ac:dyDescent="0.25">
      <c r="A721" s="2">
        <v>719</v>
      </c>
      <c r="B721" s="2">
        <v>718</v>
      </c>
      <c r="C721" s="2">
        <v>2</v>
      </c>
      <c r="D721" s="4">
        <f t="shared" si="38"/>
        <v>-1</v>
      </c>
      <c r="E721" s="5">
        <f t="shared" si="39"/>
        <v>-1.3908205841446453E-3</v>
      </c>
      <c r="F721" s="2">
        <v>1</v>
      </c>
      <c r="G721" s="3">
        <f t="shared" si="40"/>
        <v>29</v>
      </c>
      <c r="H721" s="2" t="s">
        <v>11</v>
      </c>
      <c r="I721" s="3">
        <v>-1</v>
      </c>
    </row>
    <row r="722" spans="1:9" x14ac:dyDescent="0.25">
      <c r="A722" s="2">
        <v>720</v>
      </c>
      <c r="B722" s="2">
        <v>192</v>
      </c>
      <c r="C722" s="2">
        <v>30</v>
      </c>
      <c r="D722" s="4">
        <f t="shared" si="38"/>
        <v>498</v>
      </c>
      <c r="E722" s="5">
        <f t="shared" si="39"/>
        <v>0.69166666666666665</v>
      </c>
      <c r="F722" s="2">
        <v>3</v>
      </c>
      <c r="G722" s="3">
        <f t="shared" si="40"/>
        <v>0</v>
      </c>
      <c r="H722" s="2" t="s">
        <v>12</v>
      </c>
      <c r="I722" s="3"/>
    </row>
    <row r="723" spans="1:9" x14ac:dyDescent="0.25">
      <c r="A723" s="2">
        <v>721</v>
      </c>
      <c r="B723" s="2">
        <v>612</v>
      </c>
      <c r="C723" s="2">
        <v>4</v>
      </c>
      <c r="D723" s="4">
        <f t="shared" si="38"/>
        <v>105</v>
      </c>
      <c r="E723" s="5">
        <f t="shared" si="39"/>
        <v>0.14563106796116504</v>
      </c>
      <c r="F723" s="2">
        <v>2</v>
      </c>
      <c r="G723" s="3">
        <f t="shared" si="40"/>
        <v>1</v>
      </c>
      <c r="H723" s="2" t="s">
        <v>12</v>
      </c>
      <c r="I723" s="3"/>
    </row>
    <row r="724" spans="1:9" x14ac:dyDescent="0.25">
      <c r="A724" s="2">
        <v>722</v>
      </c>
      <c r="B724" s="2">
        <v>342</v>
      </c>
      <c r="C724" s="2">
        <v>6</v>
      </c>
      <c r="D724" s="4">
        <f t="shared" si="38"/>
        <v>374</v>
      </c>
      <c r="E724" s="5">
        <f t="shared" si="39"/>
        <v>0.51800554016620504</v>
      </c>
      <c r="F724" s="2">
        <v>2</v>
      </c>
      <c r="G724" s="3">
        <f t="shared" si="40"/>
        <v>2</v>
      </c>
      <c r="H724" s="2" t="s">
        <v>12</v>
      </c>
      <c r="I724" s="3"/>
    </row>
    <row r="725" spans="1:9" x14ac:dyDescent="0.25">
      <c r="A725" s="2">
        <v>723</v>
      </c>
      <c r="B725" s="2">
        <v>480</v>
      </c>
      <c r="C725" s="2">
        <v>4</v>
      </c>
      <c r="D725" s="4">
        <f t="shared" si="38"/>
        <v>239</v>
      </c>
      <c r="E725" s="5">
        <f t="shared" si="39"/>
        <v>0.33056708160442599</v>
      </c>
      <c r="F725" s="2">
        <v>2</v>
      </c>
      <c r="G725" s="3">
        <f t="shared" si="40"/>
        <v>3</v>
      </c>
      <c r="H725" s="2" t="s">
        <v>12</v>
      </c>
      <c r="I725" s="3"/>
    </row>
    <row r="726" spans="1:9" x14ac:dyDescent="0.25">
      <c r="A726" s="2">
        <v>724</v>
      </c>
      <c r="B726" s="2">
        <v>360</v>
      </c>
      <c r="C726" s="2">
        <v>6</v>
      </c>
      <c r="D726" s="4">
        <f t="shared" si="38"/>
        <v>358</v>
      </c>
      <c r="E726" s="5">
        <f t="shared" si="39"/>
        <v>0.49447513812154698</v>
      </c>
      <c r="F726" s="2">
        <v>2</v>
      </c>
      <c r="G726" s="3">
        <f t="shared" si="40"/>
        <v>4</v>
      </c>
      <c r="H726" s="2" t="s">
        <v>12</v>
      </c>
      <c r="I726" s="3"/>
    </row>
    <row r="727" spans="1:9" x14ac:dyDescent="0.25">
      <c r="A727" s="2">
        <v>725</v>
      </c>
      <c r="B727" s="2">
        <v>560</v>
      </c>
      <c r="C727" s="2">
        <v>6</v>
      </c>
      <c r="D727" s="4">
        <f t="shared" si="38"/>
        <v>159</v>
      </c>
      <c r="E727" s="5">
        <f t="shared" si="39"/>
        <v>0.21931034482758621</v>
      </c>
      <c r="F727" s="2">
        <v>2</v>
      </c>
      <c r="G727" s="3">
        <f t="shared" si="40"/>
        <v>5</v>
      </c>
      <c r="H727" s="2" t="s">
        <v>12</v>
      </c>
      <c r="I727" s="3"/>
    </row>
    <row r="728" spans="1:9" x14ac:dyDescent="0.25">
      <c r="A728" s="2">
        <v>726</v>
      </c>
      <c r="B728" s="2">
        <v>220</v>
      </c>
      <c r="C728" s="2">
        <v>12</v>
      </c>
      <c r="D728" s="4">
        <f t="shared" si="38"/>
        <v>494</v>
      </c>
      <c r="E728" s="5">
        <f t="shared" si="39"/>
        <v>0.68044077134986225</v>
      </c>
      <c r="F728" s="2">
        <v>3</v>
      </c>
      <c r="G728" s="3">
        <f t="shared" si="40"/>
        <v>6</v>
      </c>
      <c r="H728" s="2" t="s">
        <v>12</v>
      </c>
      <c r="I728" s="3"/>
    </row>
    <row r="729" spans="1:9" x14ac:dyDescent="0.25">
      <c r="A729" s="2">
        <v>727</v>
      </c>
      <c r="B729" s="2">
        <v>726</v>
      </c>
      <c r="C729" s="2">
        <v>2</v>
      </c>
      <c r="D729" s="4">
        <f t="shared" si="38"/>
        <v>-1</v>
      </c>
      <c r="E729" s="5">
        <f t="shared" si="39"/>
        <v>-1.375515818431912E-3</v>
      </c>
      <c r="F729" s="2">
        <v>1</v>
      </c>
      <c r="G729" s="3">
        <f t="shared" si="40"/>
        <v>7</v>
      </c>
      <c r="H729" s="2" t="s">
        <v>11</v>
      </c>
      <c r="I729" s="3">
        <v>-1</v>
      </c>
    </row>
    <row r="730" spans="1:9" x14ac:dyDescent="0.25">
      <c r="A730" s="2">
        <v>728</v>
      </c>
      <c r="B730" s="2">
        <v>288</v>
      </c>
      <c r="C730" s="2">
        <v>16</v>
      </c>
      <c r="D730" s="4">
        <f t="shared" si="38"/>
        <v>424</v>
      </c>
      <c r="E730" s="5">
        <f t="shared" si="39"/>
        <v>0.58241758241758246</v>
      </c>
      <c r="F730" s="2">
        <v>3</v>
      </c>
      <c r="G730" s="3">
        <f t="shared" si="40"/>
        <v>8</v>
      </c>
      <c r="H730" s="2" t="s">
        <v>12</v>
      </c>
      <c r="I730" s="3"/>
    </row>
    <row r="731" spans="1:9" x14ac:dyDescent="0.25">
      <c r="A731" s="2">
        <v>729</v>
      </c>
      <c r="B731" s="2">
        <v>486</v>
      </c>
      <c r="C731" s="2">
        <v>7</v>
      </c>
      <c r="D731" s="4">
        <f t="shared" si="38"/>
        <v>236</v>
      </c>
      <c r="E731" s="5">
        <f t="shared" si="39"/>
        <v>0.32373113854595337</v>
      </c>
      <c r="F731" s="2">
        <v>1</v>
      </c>
      <c r="G731" s="3">
        <f t="shared" si="40"/>
        <v>9</v>
      </c>
      <c r="H731" s="2" t="s">
        <v>12</v>
      </c>
      <c r="I731" s="3"/>
    </row>
    <row r="732" spans="1:9" x14ac:dyDescent="0.25">
      <c r="A732" s="2">
        <v>730</v>
      </c>
      <c r="B732" s="2">
        <v>288</v>
      </c>
      <c r="C732" s="2">
        <v>8</v>
      </c>
      <c r="D732" s="4">
        <f t="shared" si="38"/>
        <v>434</v>
      </c>
      <c r="E732" s="5">
        <f t="shared" si="39"/>
        <v>0.59452054794520548</v>
      </c>
      <c r="F732" s="2">
        <v>3</v>
      </c>
      <c r="G732" s="3">
        <f t="shared" si="40"/>
        <v>10</v>
      </c>
      <c r="H732" s="2" t="s">
        <v>12</v>
      </c>
      <c r="I732" s="3"/>
    </row>
    <row r="733" spans="1:9" x14ac:dyDescent="0.25">
      <c r="A733" s="2">
        <v>731</v>
      </c>
      <c r="B733" s="2">
        <v>672</v>
      </c>
      <c r="C733" s="2">
        <v>4</v>
      </c>
      <c r="D733" s="4">
        <f t="shared" si="38"/>
        <v>55</v>
      </c>
      <c r="E733" s="5">
        <f t="shared" si="39"/>
        <v>7.523939808481532E-2</v>
      </c>
      <c r="F733" s="2">
        <v>2</v>
      </c>
      <c r="G733" s="3">
        <f t="shared" si="40"/>
        <v>11</v>
      </c>
      <c r="H733" s="2" t="s">
        <v>12</v>
      </c>
      <c r="I733" s="3"/>
    </row>
    <row r="734" spans="1:9" x14ac:dyDescent="0.25">
      <c r="A734" s="2">
        <v>732</v>
      </c>
      <c r="B734" s="2">
        <v>240</v>
      </c>
      <c r="C734" s="2">
        <v>12</v>
      </c>
      <c r="D734" s="4">
        <f t="shared" si="38"/>
        <v>480</v>
      </c>
      <c r="E734" s="5">
        <f t="shared" si="39"/>
        <v>0.65573770491803274</v>
      </c>
      <c r="F734" s="2">
        <v>3</v>
      </c>
      <c r="G734" s="3">
        <f t="shared" si="40"/>
        <v>12</v>
      </c>
      <c r="H734" s="2" t="s">
        <v>12</v>
      </c>
      <c r="I734" s="3"/>
    </row>
    <row r="735" spans="1:9" x14ac:dyDescent="0.25">
      <c r="A735" s="2">
        <v>733</v>
      </c>
      <c r="B735" s="2">
        <v>732</v>
      </c>
      <c r="C735" s="2">
        <v>2</v>
      </c>
      <c r="D735" s="4">
        <f t="shared" si="38"/>
        <v>-1</v>
      </c>
      <c r="E735" s="5">
        <f t="shared" si="39"/>
        <v>-1.364256480218281E-3</v>
      </c>
      <c r="F735" s="2">
        <v>1</v>
      </c>
      <c r="G735" s="3">
        <f t="shared" si="40"/>
        <v>13</v>
      </c>
      <c r="H735" s="2" t="s">
        <v>11</v>
      </c>
      <c r="I735" s="3">
        <v>-1</v>
      </c>
    </row>
    <row r="736" spans="1:9" x14ac:dyDescent="0.25">
      <c r="A736" s="2">
        <v>734</v>
      </c>
      <c r="B736" s="2">
        <v>366</v>
      </c>
      <c r="C736" s="2">
        <v>4</v>
      </c>
      <c r="D736" s="4">
        <f t="shared" si="38"/>
        <v>364</v>
      </c>
      <c r="E736" s="5">
        <f t="shared" si="39"/>
        <v>0.49591280653950953</v>
      </c>
      <c r="F736" s="2">
        <v>2</v>
      </c>
      <c r="G736" s="3">
        <f t="shared" si="40"/>
        <v>14</v>
      </c>
      <c r="H736" s="2" t="s">
        <v>12</v>
      </c>
      <c r="I736" s="3"/>
    </row>
    <row r="737" spans="1:9" x14ac:dyDescent="0.25">
      <c r="A737" s="2">
        <v>735</v>
      </c>
      <c r="B737" s="2">
        <v>336</v>
      </c>
      <c r="C737" s="2">
        <v>12</v>
      </c>
      <c r="D737" s="4">
        <f t="shared" si="38"/>
        <v>387</v>
      </c>
      <c r="E737" s="5">
        <f t="shared" si="39"/>
        <v>0.52653061224489794</v>
      </c>
      <c r="F737" s="2">
        <v>3</v>
      </c>
      <c r="G737" s="3">
        <f t="shared" si="40"/>
        <v>15</v>
      </c>
      <c r="H737" s="2" t="s">
        <v>12</v>
      </c>
      <c r="I737" s="3"/>
    </row>
    <row r="738" spans="1:9" x14ac:dyDescent="0.25">
      <c r="A738" s="2">
        <v>736</v>
      </c>
      <c r="B738" s="2">
        <v>352</v>
      </c>
      <c r="C738" s="2">
        <v>12</v>
      </c>
      <c r="D738" s="4">
        <f t="shared" si="38"/>
        <v>372</v>
      </c>
      <c r="E738" s="5">
        <f t="shared" si="39"/>
        <v>0.50543478260869568</v>
      </c>
      <c r="F738" s="2">
        <v>2</v>
      </c>
      <c r="G738" s="3">
        <f t="shared" si="40"/>
        <v>16</v>
      </c>
      <c r="H738" s="2" t="s">
        <v>12</v>
      </c>
      <c r="I738" s="3"/>
    </row>
    <row r="739" spans="1:9" x14ac:dyDescent="0.25">
      <c r="A739" s="2">
        <v>737</v>
      </c>
      <c r="B739" s="2">
        <v>660</v>
      </c>
      <c r="C739" s="2">
        <v>4</v>
      </c>
      <c r="D739" s="4">
        <f t="shared" si="38"/>
        <v>73</v>
      </c>
      <c r="E739" s="5">
        <f t="shared" si="39"/>
        <v>9.9050203527815461E-2</v>
      </c>
      <c r="F739" s="2">
        <v>2</v>
      </c>
      <c r="G739" s="3">
        <f t="shared" si="40"/>
        <v>17</v>
      </c>
      <c r="H739" s="2" t="s">
        <v>12</v>
      </c>
      <c r="I739" s="3"/>
    </row>
    <row r="740" spans="1:9" x14ac:dyDescent="0.25">
      <c r="A740" s="2">
        <v>738</v>
      </c>
      <c r="B740" s="2">
        <v>240</v>
      </c>
      <c r="C740" s="2">
        <v>12</v>
      </c>
      <c r="D740" s="4">
        <f t="shared" si="38"/>
        <v>486</v>
      </c>
      <c r="E740" s="5">
        <f t="shared" si="39"/>
        <v>0.65853658536585369</v>
      </c>
      <c r="F740" s="2">
        <v>3</v>
      </c>
      <c r="G740" s="3">
        <f t="shared" si="40"/>
        <v>18</v>
      </c>
      <c r="H740" s="2" t="s">
        <v>12</v>
      </c>
      <c r="I740" s="3"/>
    </row>
    <row r="741" spans="1:9" x14ac:dyDescent="0.25">
      <c r="A741" s="2">
        <v>739</v>
      </c>
      <c r="B741" s="2">
        <v>738</v>
      </c>
      <c r="C741" s="2">
        <v>2</v>
      </c>
      <c r="D741" s="4">
        <f t="shared" si="38"/>
        <v>-1</v>
      </c>
      <c r="E741" s="5">
        <f t="shared" si="39"/>
        <v>-1.3531799729364006E-3</v>
      </c>
      <c r="F741" s="2">
        <v>1</v>
      </c>
      <c r="G741" s="3">
        <f t="shared" si="40"/>
        <v>19</v>
      </c>
      <c r="H741" s="2" t="s">
        <v>11</v>
      </c>
      <c r="I741" s="3">
        <v>-1</v>
      </c>
    </row>
    <row r="742" spans="1:9" x14ac:dyDescent="0.25">
      <c r="A742" s="2">
        <v>740</v>
      </c>
      <c r="B742" s="2">
        <v>288</v>
      </c>
      <c r="C742" s="2">
        <v>12</v>
      </c>
      <c r="D742" s="4">
        <f t="shared" si="38"/>
        <v>440</v>
      </c>
      <c r="E742" s="5">
        <f t="shared" si="39"/>
        <v>0.59459459459459463</v>
      </c>
      <c r="F742" s="2">
        <v>3</v>
      </c>
      <c r="G742" s="3">
        <f t="shared" si="40"/>
        <v>20</v>
      </c>
      <c r="H742" s="2" t="s">
        <v>12</v>
      </c>
      <c r="I742" s="3"/>
    </row>
    <row r="743" spans="1:9" x14ac:dyDescent="0.25">
      <c r="A743" s="2">
        <v>741</v>
      </c>
      <c r="B743" s="2">
        <v>432</v>
      </c>
      <c r="C743" s="2">
        <v>8</v>
      </c>
      <c r="D743" s="4">
        <f t="shared" si="38"/>
        <v>301</v>
      </c>
      <c r="E743" s="5">
        <f t="shared" si="39"/>
        <v>0.40620782726045884</v>
      </c>
      <c r="F743" s="2">
        <v>3</v>
      </c>
      <c r="G743" s="3">
        <f t="shared" si="40"/>
        <v>21</v>
      </c>
      <c r="H743" s="2" t="s">
        <v>12</v>
      </c>
      <c r="I743" s="3"/>
    </row>
    <row r="744" spans="1:9" x14ac:dyDescent="0.25">
      <c r="A744" s="2">
        <v>742</v>
      </c>
      <c r="B744" s="2">
        <v>312</v>
      </c>
      <c r="C744" s="2">
        <v>8</v>
      </c>
      <c r="D744" s="4">
        <f t="shared" si="38"/>
        <v>422</v>
      </c>
      <c r="E744" s="5">
        <f t="shared" si="39"/>
        <v>0.56873315363881405</v>
      </c>
      <c r="F744" s="2">
        <v>3</v>
      </c>
      <c r="G744" s="3">
        <f t="shared" si="40"/>
        <v>22</v>
      </c>
      <c r="H744" s="2" t="s">
        <v>12</v>
      </c>
      <c r="I744" s="3"/>
    </row>
    <row r="745" spans="1:9" x14ac:dyDescent="0.25">
      <c r="A745" s="2">
        <v>743</v>
      </c>
      <c r="B745" s="2">
        <v>742</v>
      </c>
      <c r="C745" s="2">
        <v>2</v>
      </c>
      <c r="D745" s="4">
        <f t="shared" si="38"/>
        <v>-1</v>
      </c>
      <c r="E745" s="5">
        <f t="shared" si="39"/>
        <v>-1.3458950201884253E-3</v>
      </c>
      <c r="F745" s="2">
        <v>1</v>
      </c>
      <c r="G745" s="3">
        <f t="shared" si="40"/>
        <v>23</v>
      </c>
      <c r="H745" s="2" t="s">
        <v>11</v>
      </c>
      <c r="I745" s="3">
        <v>-1</v>
      </c>
    </row>
    <row r="746" spans="1:9" x14ac:dyDescent="0.25">
      <c r="A746" s="2">
        <v>744</v>
      </c>
      <c r="B746" s="2">
        <v>240</v>
      </c>
      <c r="C746" s="2">
        <v>16</v>
      </c>
      <c r="D746" s="4">
        <f t="shared" si="38"/>
        <v>488</v>
      </c>
      <c r="E746" s="5">
        <f t="shared" si="39"/>
        <v>0.65591397849462363</v>
      </c>
      <c r="F746" s="2">
        <v>3</v>
      </c>
      <c r="G746" s="3">
        <f t="shared" si="40"/>
        <v>24</v>
      </c>
      <c r="H746" s="2" t="s">
        <v>12</v>
      </c>
      <c r="I746" s="3"/>
    </row>
    <row r="747" spans="1:9" x14ac:dyDescent="0.25">
      <c r="A747" s="2">
        <v>745</v>
      </c>
      <c r="B747" s="2">
        <v>592</v>
      </c>
      <c r="C747" s="2">
        <v>4</v>
      </c>
      <c r="D747" s="4">
        <f t="shared" si="38"/>
        <v>149</v>
      </c>
      <c r="E747" s="5">
        <f t="shared" si="39"/>
        <v>0.2</v>
      </c>
      <c r="F747" s="2">
        <v>2</v>
      </c>
      <c r="G747" s="3">
        <f t="shared" si="40"/>
        <v>25</v>
      </c>
      <c r="H747" s="2" t="s">
        <v>12</v>
      </c>
      <c r="I747" s="3"/>
    </row>
    <row r="748" spans="1:9" x14ac:dyDescent="0.25">
      <c r="A748" s="2">
        <v>746</v>
      </c>
      <c r="B748" s="2">
        <v>372</v>
      </c>
      <c r="C748" s="2">
        <v>4</v>
      </c>
      <c r="D748" s="4">
        <f t="shared" si="38"/>
        <v>370</v>
      </c>
      <c r="E748" s="5">
        <f t="shared" si="39"/>
        <v>0.49597855227882037</v>
      </c>
      <c r="F748" s="2">
        <v>2</v>
      </c>
      <c r="G748" s="3">
        <f t="shared" si="40"/>
        <v>26</v>
      </c>
      <c r="H748" s="2" t="s">
        <v>12</v>
      </c>
      <c r="I748" s="3"/>
    </row>
    <row r="749" spans="1:9" x14ac:dyDescent="0.25">
      <c r="A749" s="2">
        <v>747</v>
      </c>
      <c r="B749" s="2">
        <v>492</v>
      </c>
      <c r="C749" s="2">
        <v>6</v>
      </c>
      <c r="D749" s="4">
        <f t="shared" si="38"/>
        <v>249</v>
      </c>
      <c r="E749" s="5">
        <f t="shared" si="39"/>
        <v>0.33333333333333331</v>
      </c>
      <c r="F749" s="2">
        <v>2</v>
      </c>
      <c r="G749" s="3">
        <f t="shared" si="40"/>
        <v>27</v>
      </c>
      <c r="H749" s="2" t="s">
        <v>12</v>
      </c>
      <c r="I749" s="3"/>
    </row>
    <row r="750" spans="1:9" x14ac:dyDescent="0.25">
      <c r="A750" s="2">
        <v>748</v>
      </c>
      <c r="B750" s="2">
        <v>320</v>
      </c>
      <c r="C750" s="2">
        <v>12</v>
      </c>
      <c r="D750" s="4">
        <f t="shared" si="38"/>
        <v>416</v>
      </c>
      <c r="E750" s="5">
        <f t="shared" si="39"/>
        <v>0.55614973262032086</v>
      </c>
      <c r="F750" s="2">
        <v>3</v>
      </c>
      <c r="G750" s="3">
        <f t="shared" si="40"/>
        <v>28</v>
      </c>
      <c r="H750" s="2" t="s">
        <v>12</v>
      </c>
      <c r="I750" s="3"/>
    </row>
    <row r="751" spans="1:9" x14ac:dyDescent="0.25">
      <c r="A751" s="2">
        <v>749</v>
      </c>
      <c r="B751" s="2">
        <v>636</v>
      </c>
      <c r="C751" s="2">
        <v>4</v>
      </c>
      <c r="D751" s="4">
        <f t="shared" si="38"/>
        <v>109</v>
      </c>
      <c r="E751" s="5">
        <f t="shared" si="39"/>
        <v>0.14552736982643524</v>
      </c>
      <c r="F751" s="2">
        <v>2</v>
      </c>
      <c r="G751" s="3">
        <f t="shared" si="40"/>
        <v>29</v>
      </c>
      <c r="H751" s="2" t="s">
        <v>12</v>
      </c>
      <c r="I751" s="3"/>
    </row>
    <row r="752" spans="1:9" x14ac:dyDescent="0.25">
      <c r="A752" s="2">
        <v>750</v>
      </c>
      <c r="B752" s="2">
        <v>200</v>
      </c>
      <c r="C752" s="2">
        <v>16</v>
      </c>
      <c r="D752" s="4">
        <f t="shared" si="38"/>
        <v>534</v>
      </c>
      <c r="E752" s="5">
        <f t="shared" si="39"/>
        <v>0.71199999999999997</v>
      </c>
      <c r="F752" s="2">
        <v>3</v>
      </c>
      <c r="G752" s="3">
        <f t="shared" si="40"/>
        <v>0</v>
      </c>
      <c r="H752" s="2" t="s">
        <v>12</v>
      </c>
      <c r="I752" s="3"/>
    </row>
    <row r="753" spans="1:9" x14ac:dyDescent="0.25">
      <c r="A753" s="2">
        <v>751</v>
      </c>
      <c r="B753" s="2">
        <v>750</v>
      </c>
      <c r="C753" s="2">
        <v>2</v>
      </c>
      <c r="D753" s="4">
        <f t="shared" si="38"/>
        <v>-1</v>
      </c>
      <c r="E753" s="5">
        <f t="shared" si="39"/>
        <v>-1.3315579227696406E-3</v>
      </c>
      <c r="F753" s="2">
        <v>1</v>
      </c>
      <c r="G753" s="3">
        <f t="shared" si="40"/>
        <v>1</v>
      </c>
      <c r="H753" s="2" t="s">
        <v>11</v>
      </c>
      <c r="I753" s="3">
        <v>-1</v>
      </c>
    </row>
    <row r="754" spans="1:9" x14ac:dyDescent="0.25">
      <c r="A754" s="2">
        <v>752</v>
      </c>
      <c r="B754" s="2">
        <v>368</v>
      </c>
      <c r="C754" s="2">
        <v>10</v>
      </c>
      <c r="D754" s="4">
        <f t="shared" si="38"/>
        <v>374</v>
      </c>
      <c r="E754" s="5">
        <f t="shared" si="39"/>
        <v>0.49734042553191488</v>
      </c>
      <c r="F754" s="2">
        <v>2</v>
      </c>
      <c r="G754" s="3">
        <f t="shared" si="40"/>
        <v>2</v>
      </c>
      <c r="H754" s="2" t="s">
        <v>12</v>
      </c>
      <c r="I754" s="3"/>
    </row>
    <row r="755" spans="1:9" x14ac:dyDescent="0.25">
      <c r="A755" s="2">
        <v>753</v>
      </c>
      <c r="B755" s="2">
        <v>500</v>
      </c>
      <c r="C755" s="2">
        <v>4</v>
      </c>
      <c r="D755" s="4">
        <f t="shared" si="38"/>
        <v>249</v>
      </c>
      <c r="E755" s="5">
        <f t="shared" si="39"/>
        <v>0.33067729083665337</v>
      </c>
      <c r="F755" s="2">
        <v>2</v>
      </c>
      <c r="G755" s="3">
        <f t="shared" si="40"/>
        <v>3</v>
      </c>
      <c r="H755" s="2" t="s">
        <v>12</v>
      </c>
      <c r="I755" s="3"/>
    </row>
    <row r="756" spans="1:9" x14ac:dyDescent="0.25">
      <c r="A756" s="2">
        <v>754</v>
      </c>
      <c r="B756" s="2">
        <v>336</v>
      </c>
      <c r="C756" s="2">
        <v>8</v>
      </c>
      <c r="D756" s="4">
        <f t="shared" si="38"/>
        <v>410</v>
      </c>
      <c r="E756" s="5">
        <f t="shared" si="39"/>
        <v>0.54376657824933683</v>
      </c>
      <c r="F756" s="2">
        <v>3</v>
      </c>
      <c r="G756" s="3">
        <f t="shared" si="40"/>
        <v>4</v>
      </c>
      <c r="H756" s="2" t="s">
        <v>12</v>
      </c>
      <c r="I756" s="3"/>
    </row>
    <row r="757" spans="1:9" x14ac:dyDescent="0.25">
      <c r="A757" s="2">
        <v>755</v>
      </c>
      <c r="B757" s="2">
        <v>600</v>
      </c>
      <c r="C757" s="2">
        <v>4</v>
      </c>
      <c r="D757" s="4">
        <f t="shared" si="38"/>
        <v>151</v>
      </c>
      <c r="E757" s="5">
        <f t="shared" si="39"/>
        <v>0.2</v>
      </c>
      <c r="F757" s="2">
        <v>2</v>
      </c>
      <c r="G757" s="3">
        <f t="shared" si="40"/>
        <v>5</v>
      </c>
      <c r="H757" s="2" t="s">
        <v>12</v>
      </c>
      <c r="I757" s="3"/>
    </row>
    <row r="758" spans="1:9" x14ac:dyDescent="0.25">
      <c r="A758" s="2">
        <v>756</v>
      </c>
      <c r="B758" s="2">
        <v>216</v>
      </c>
      <c r="C758" s="2">
        <v>24</v>
      </c>
      <c r="D758" s="4">
        <f t="shared" si="38"/>
        <v>516</v>
      </c>
      <c r="E758" s="5">
        <f t="shared" si="39"/>
        <v>0.68253968253968256</v>
      </c>
      <c r="F758" s="2">
        <v>3</v>
      </c>
      <c r="G758" s="3">
        <f t="shared" si="40"/>
        <v>6</v>
      </c>
      <c r="H758" s="2" t="s">
        <v>12</v>
      </c>
      <c r="I758" s="3"/>
    </row>
    <row r="759" spans="1:9" x14ac:dyDescent="0.25">
      <c r="A759" s="2">
        <v>757</v>
      </c>
      <c r="B759" s="2">
        <v>756</v>
      </c>
      <c r="C759" s="2">
        <v>2</v>
      </c>
      <c r="D759" s="4">
        <f t="shared" si="38"/>
        <v>-1</v>
      </c>
      <c r="E759" s="5">
        <f t="shared" si="39"/>
        <v>-1.321003963011889E-3</v>
      </c>
      <c r="F759" s="2">
        <v>1</v>
      </c>
      <c r="G759" s="3">
        <f t="shared" si="40"/>
        <v>7</v>
      </c>
      <c r="H759" s="2" t="s">
        <v>11</v>
      </c>
      <c r="I759" s="3">
        <v>-1</v>
      </c>
    </row>
    <row r="760" spans="1:9" x14ac:dyDescent="0.25">
      <c r="A760" s="2">
        <v>758</v>
      </c>
      <c r="B760" s="2">
        <v>378</v>
      </c>
      <c r="C760" s="2">
        <v>4</v>
      </c>
      <c r="D760" s="4">
        <f t="shared" si="38"/>
        <v>376</v>
      </c>
      <c r="E760" s="5">
        <f t="shared" si="39"/>
        <v>0.49604221635883905</v>
      </c>
      <c r="F760" s="2">
        <v>2</v>
      </c>
      <c r="G760" s="3">
        <f t="shared" si="40"/>
        <v>8</v>
      </c>
      <c r="H760" s="2" t="s">
        <v>12</v>
      </c>
      <c r="I760" s="3"/>
    </row>
    <row r="761" spans="1:9" x14ac:dyDescent="0.25">
      <c r="A761" s="2">
        <v>759</v>
      </c>
      <c r="B761" s="2">
        <v>440</v>
      </c>
      <c r="C761" s="2">
        <v>8</v>
      </c>
      <c r="D761" s="4">
        <f t="shared" si="38"/>
        <v>311</v>
      </c>
      <c r="E761" s="5">
        <f t="shared" si="39"/>
        <v>0.40974967061923584</v>
      </c>
      <c r="F761" s="2">
        <v>3</v>
      </c>
      <c r="G761" s="3">
        <f t="shared" si="40"/>
        <v>9</v>
      </c>
      <c r="H761" s="2" t="s">
        <v>12</v>
      </c>
      <c r="I761" s="3"/>
    </row>
    <row r="762" spans="1:9" x14ac:dyDescent="0.25">
      <c r="A762" s="2">
        <v>760</v>
      </c>
      <c r="B762" s="2">
        <v>288</v>
      </c>
      <c r="C762" s="2">
        <v>16</v>
      </c>
      <c r="D762" s="4">
        <f t="shared" si="38"/>
        <v>456</v>
      </c>
      <c r="E762" s="5">
        <f t="shared" si="39"/>
        <v>0.6</v>
      </c>
      <c r="F762" s="2">
        <v>3</v>
      </c>
      <c r="G762" s="3">
        <f t="shared" si="40"/>
        <v>10</v>
      </c>
      <c r="H762" s="2" t="s">
        <v>12</v>
      </c>
      <c r="I762" s="3"/>
    </row>
    <row r="763" spans="1:9" x14ac:dyDescent="0.25">
      <c r="A763" s="2">
        <v>761</v>
      </c>
      <c r="B763" s="2">
        <v>760</v>
      </c>
      <c r="C763" s="2">
        <v>2</v>
      </c>
      <c r="D763" s="4">
        <f t="shared" si="38"/>
        <v>-1</v>
      </c>
      <c r="E763" s="5">
        <f t="shared" si="39"/>
        <v>-1.3140604467805519E-3</v>
      </c>
      <c r="F763" s="2">
        <v>1</v>
      </c>
      <c r="G763" s="3">
        <f t="shared" si="40"/>
        <v>11</v>
      </c>
      <c r="H763" s="2" t="s">
        <v>11</v>
      </c>
      <c r="I763" s="3">
        <v>-1</v>
      </c>
    </row>
    <row r="764" spans="1:9" x14ac:dyDescent="0.25">
      <c r="A764" s="2">
        <v>762</v>
      </c>
      <c r="B764" s="2">
        <v>252</v>
      </c>
      <c r="C764" s="2">
        <v>8</v>
      </c>
      <c r="D764" s="4">
        <f t="shared" si="38"/>
        <v>502</v>
      </c>
      <c r="E764" s="5">
        <f t="shared" si="39"/>
        <v>0.65879265091863515</v>
      </c>
      <c r="F764" s="2">
        <v>3</v>
      </c>
      <c r="G764" s="3">
        <f t="shared" si="40"/>
        <v>12</v>
      </c>
      <c r="H764" s="2" t="s">
        <v>12</v>
      </c>
      <c r="I764" s="3"/>
    </row>
    <row r="765" spans="1:9" x14ac:dyDescent="0.25">
      <c r="A765" s="2">
        <v>763</v>
      </c>
      <c r="B765" s="2">
        <v>648</v>
      </c>
      <c r="C765" s="2">
        <v>4</v>
      </c>
      <c r="D765" s="4">
        <f t="shared" si="38"/>
        <v>111</v>
      </c>
      <c r="E765" s="5">
        <f t="shared" si="39"/>
        <v>0.14547837483617301</v>
      </c>
      <c r="F765" s="2">
        <v>2</v>
      </c>
      <c r="G765" s="3">
        <f t="shared" si="40"/>
        <v>13</v>
      </c>
      <c r="H765" s="2" t="s">
        <v>12</v>
      </c>
      <c r="I765" s="3"/>
    </row>
    <row r="766" spans="1:9" x14ac:dyDescent="0.25">
      <c r="A766" s="2">
        <v>764</v>
      </c>
      <c r="B766" s="2">
        <v>380</v>
      </c>
      <c r="C766" s="2">
        <v>6</v>
      </c>
      <c r="D766" s="4">
        <f t="shared" si="38"/>
        <v>378</v>
      </c>
      <c r="E766" s="5">
        <f t="shared" si="39"/>
        <v>0.49476439790575916</v>
      </c>
      <c r="F766" s="2">
        <v>2</v>
      </c>
      <c r="G766" s="3">
        <f t="shared" si="40"/>
        <v>14</v>
      </c>
      <c r="H766" s="2" t="s">
        <v>12</v>
      </c>
      <c r="I766" s="3"/>
    </row>
    <row r="767" spans="1:9" x14ac:dyDescent="0.25">
      <c r="A767" s="2">
        <v>765</v>
      </c>
      <c r="B767" s="2">
        <v>384</v>
      </c>
      <c r="C767" s="2">
        <v>12</v>
      </c>
      <c r="D767" s="4">
        <f t="shared" si="38"/>
        <v>369</v>
      </c>
      <c r="E767" s="5">
        <f t="shared" si="39"/>
        <v>0.4823529411764706</v>
      </c>
      <c r="F767" s="2">
        <v>3</v>
      </c>
      <c r="G767" s="3">
        <f t="shared" si="40"/>
        <v>15</v>
      </c>
      <c r="H767" s="2" t="s">
        <v>12</v>
      </c>
      <c r="I767" s="3"/>
    </row>
    <row r="768" spans="1:9" x14ac:dyDescent="0.25">
      <c r="A768" s="2">
        <v>766</v>
      </c>
      <c r="B768" s="2">
        <v>382</v>
      </c>
      <c r="C768" s="2">
        <v>4</v>
      </c>
      <c r="D768" s="4">
        <f t="shared" si="38"/>
        <v>380</v>
      </c>
      <c r="E768" s="5">
        <f t="shared" si="39"/>
        <v>0.4960835509138381</v>
      </c>
      <c r="F768" s="2">
        <v>2</v>
      </c>
      <c r="G768" s="3">
        <f t="shared" si="40"/>
        <v>16</v>
      </c>
      <c r="H768" s="2" t="s">
        <v>12</v>
      </c>
      <c r="I768" s="3"/>
    </row>
    <row r="769" spans="1:9" x14ac:dyDescent="0.25">
      <c r="A769" s="2">
        <v>767</v>
      </c>
      <c r="B769" s="2">
        <v>696</v>
      </c>
      <c r="C769" s="2">
        <v>4</v>
      </c>
      <c r="D769" s="4">
        <f t="shared" si="38"/>
        <v>67</v>
      </c>
      <c r="E769" s="5">
        <f t="shared" si="39"/>
        <v>8.7353324641460228E-2</v>
      </c>
      <c r="F769" s="2">
        <v>2</v>
      </c>
      <c r="G769" s="3">
        <f t="shared" si="40"/>
        <v>17</v>
      </c>
      <c r="H769" s="2" t="s">
        <v>12</v>
      </c>
      <c r="I769" s="3"/>
    </row>
    <row r="770" spans="1:9" x14ac:dyDescent="0.25">
      <c r="A770" s="2">
        <v>768</v>
      </c>
      <c r="B770" s="2">
        <v>256</v>
      </c>
      <c r="C770" s="2">
        <v>18</v>
      </c>
      <c r="D770" s="4">
        <f t="shared" si="38"/>
        <v>494</v>
      </c>
      <c r="E770" s="5">
        <f t="shared" si="39"/>
        <v>0.64322916666666663</v>
      </c>
      <c r="F770" s="2">
        <v>2</v>
      </c>
      <c r="G770" s="3">
        <f t="shared" si="40"/>
        <v>18</v>
      </c>
      <c r="H770" s="2" t="s">
        <v>12</v>
      </c>
      <c r="I770" s="3"/>
    </row>
    <row r="771" spans="1:9" x14ac:dyDescent="0.25">
      <c r="A771" s="2">
        <v>769</v>
      </c>
      <c r="B771" s="2">
        <v>768</v>
      </c>
      <c r="C771" s="2">
        <v>2</v>
      </c>
      <c r="D771" s="4">
        <f t="shared" ref="D771:D834" si="41">A771-B771-C771</f>
        <v>-1</v>
      </c>
      <c r="E771" s="5">
        <f t="shared" ref="E771:E834" si="42">D771/A771</f>
        <v>-1.3003901170351106E-3</v>
      </c>
      <c r="F771" s="2">
        <v>1</v>
      </c>
      <c r="G771" s="3">
        <f t="shared" ref="G771:G834" si="43">MOD(A771,30)</f>
        <v>19</v>
      </c>
      <c r="H771" s="2" t="s">
        <v>11</v>
      </c>
      <c r="I771" s="3">
        <v>-1</v>
      </c>
    </row>
    <row r="772" spans="1:9" x14ac:dyDescent="0.25">
      <c r="A772" s="2">
        <v>770</v>
      </c>
      <c r="B772" s="2">
        <v>240</v>
      </c>
      <c r="C772" s="2">
        <v>16</v>
      </c>
      <c r="D772" s="4">
        <f t="shared" si="41"/>
        <v>514</v>
      </c>
      <c r="E772" s="5">
        <f t="shared" si="42"/>
        <v>0.66753246753246753</v>
      </c>
      <c r="F772" s="2">
        <v>4</v>
      </c>
      <c r="G772" s="3">
        <f t="shared" si="43"/>
        <v>20</v>
      </c>
      <c r="H772" s="2" t="s">
        <v>12</v>
      </c>
      <c r="I772" s="3"/>
    </row>
    <row r="773" spans="1:9" x14ac:dyDescent="0.25">
      <c r="A773" s="2">
        <v>771</v>
      </c>
      <c r="B773" s="2">
        <v>512</v>
      </c>
      <c r="C773" s="2">
        <v>4</v>
      </c>
      <c r="D773" s="4">
        <f t="shared" si="41"/>
        <v>255</v>
      </c>
      <c r="E773" s="5">
        <f t="shared" si="42"/>
        <v>0.33073929961089493</v>
      </c>
      <c r="F773" s="2">
        <v>2</v>
      </c>
      <c r="G773" s="3">
        <f t="shared" si="43"/>
        <v>21</v>
      </c>
      <c r="H773" s="2" t="s">
        <v>12</v>
      </c>
      <c r="I773" s="3"/>
    </row>
    <row r="774" spans="1:9" x14ac:dyDescent="0.25">
      <c r="A774" s="2">
        <v>772</v>
      </c>
      <c r="B774" s="2">
        <v>384</v>
      </c>
      <c r="C774" s="2">
        <v>6</v>
      </c>
      <c r="D774" s="4">
        <f t="shared" si="41"/>
        <v>382</v>
      </c>
      <c r="E774" s="5">
        <f t="shared" si="42"/>
        <v>0.49481865284974091</v>
      </c>
      <c r="F774" s="2">
        <v>2</v>
      </c>
      <c r="G774" s="3">
        <f t="shared" si="43"/>
        <v>22</v>
      </c>
      <c r="H774" s="2" t="s">
        <v>12</v>
      </c>
      <c r="I774" s="3"/>
    </row>
    <row r="775" spans="1:9" x14ac:dyDescent="0.25">
      <c r="A775" s="2">
        <v>773</v>
      </c>
      <c r="B775" s="2">
        <v>772</v>
      </c>
      <c r="C775" s="2">
        <v>2</v>
      </c>
      <c r="D775" s="4">
        <f t="shared" si="41"/>
        <v>-1</v>
      </c>
      <c r="E775" s="5">
        <f t="shared" si="42"/>
        <v>-1.29366106080207E-3</v>
      </c>
      <c r="F775" s="2">
        <v>1</v>
      </c>
      <c r="G775" s="3">
        <f t="shared" si="43"/>
        <v>23</v>
      </c>
      <c r="H775" s="2" t="s">
        <v>11</v>
      </c>
      <c r="I775" s="3">
        <v>-1</v>
      </c>
    </row>
    <row r="776" spans="1:9" x14ac:dyDescent="0.25">
      <c r="A776" s="2">
        <v>774</v>
      </c>
      <c r="B776" s="2">
        <v>252</v>
      </c>
      <c r="C776" s="2">
        <v>12</v>
      </c>
      <c r="D776" s="4">
        <f t="shared" si="41"/>
        <v>510</v>
      </c>
      <c r="E776" s="5">
        <f t="shared" si="42"/>
        <v>0.65891472868217049</v>
      </c>
      <c r="F776" s="2">
        <v>3</v>
      </c>
      <c r="G776" s="3">
        <f t="shared" si="43"/>
        <v>24</v>
      </c>
      <c r="H776" s="2" t="s">
        <v>12</v>
      </c>
      <c r="I776" s="3"/>
    </row>
    <row r="777" spans="1:9" x14ac:dyDescent="0.25">
      <c r="A777" s="2">
        <v>775</v>
      </c>
      <c r="B777" s="2">
        <v>600</v>
      </c>
      <c r="C777" s="2">
        <v>6</v>
      </c>
      <c r="D777" s="4">
        <f t="shared" si="41"/>
        <v>169</v>
      </c>
      <c r="E777" s="5">
        <f t="shared" si="42"/>
        <v>0.21806451612903227</v>
      </c>
      <c r="F777" s="2">
        <v>2</v>
      </c>
      <c r="G777" s="3">
        <f t="shared" si="43"/>
        <v>25</v>
      </c>
      <c r="H777" s="2" t="s">
        <v>12</v>
      </c>
      <c r="I777" s="3"/>
    </row>
    <row r="778" spans="1:9" x14ac:dyDescent="0.25">
      <c r="A778" s="2">
        <v>776</v>
      </c>
      <c r="B778" s="2">
        <v>384</v>
      </c>
      <c r="C778" s="2">
        <v>8</v>
      </c>
      <c r="D778" s="4">
        <f t="shared" si="41"/>
        <v>384</v>
      </c>
      <c r="E778" s="5">
        <f t="shared" si="42"/>
        <v>0.49484536082474229</v>
      </c>
      <c r="F778" s="2">
        <v>2</v>
      </c>
      <c r="G778" s="3">
        <f t="shared" si="43"/>
        <v>26</v>
      </c>
      <c r="H778" s="2" t="s">
        <v>12</v>
      </c>
      <c r="I778" s="3"/>
    </row>
    <row r="779" spans="1:9" x14ac:dyDescent="0.25">
      <c r="A779" s="2">
        <v>777</v>
      </c>
      <c r="B779" s="2">
        <v>432</v>
      </c>
      <c r="C779" s="2">
        <v>8</v>
      </c>
      <c r="D779" s="4">
        <f t="shared" si="41"/>
        <v>337</v>
      </c>
      <c r="E779" s="5">
        <f t="shared" si="42"/>
        <v>0.43371943371943372</v>
      </c>
      <c r="F779" s="2">
        <v>3</v>
      </c>
      <c r="G779" s="3">
        <f t="shared" si="43"/>
        <v>27</v>
      </c>
      <c r="H779" s="2" t="s">
        <v>12</v>
      </c>
      <c r="I779" s="3"/>
    </row>
    <row r="780" spans="1:9" x14ac:dyDescent="0.25">
      <c r="A780" s="2">
        <v>778</v>
      </c>
      <c r="B780" s="2">
        <v>388</v>
      </c>
      <c r="C780" s="2">
        <v>4</v>
      </c>
      <c r="D780" s="4">
        <f t="shared" si="41"/>
        <v>386</v>
      </c>
      <c r="E780" s="5">
        <f t="shared" si="42"/>
        <v>0.49614395886889462</v>
      </c>
      <c r="F780" s="2">
        <v>2</v>
      </c>
      <c r="G780" s="3">
        <f t="shared" si="43"/>
        <v>28</v>
      </c>
      <c r="H780" s="2" t="s">
        <v>12</v>
      </c>
      <c r="I780" s="3"/>
    </row>
    <row r="781" spans="1:9" x14ac:dyDescent="0.25">
      <c r="A781" s="2">
        <v>779</v>
      </c>
      <c r="B781" s="2">
        <v>720</v>
      </c>
      <c r="C781" s="2">
        <v>4</v>
      </c>
      <c r="D781" s="4">
        <f t="shared" si="41"/>
        <v>55</v>
      </c>
      <c r="E781" s="5">
        <f t="shared" si="42"/>
        <v>7.0603337612323486E-2</v>
      </c>
      <c r="F781" s="2">
        <v>2</v>
      </c>
      <c r="G781" s="3">
        <f t="shared" si="43"/>
        <v>29</v>
      </c>
      <c r="H781" s="2" t="s">
        <v>12</v>
      </c>
      <c r="I781" s="3"/>
    </row>
    <row r="782" spans="1:9" x14ac:dyDescent="0.25">
      <c r="A782" s="2">
        <v>780</v>
      </c>
      <c r="B782" s="2">
        <v>192</v>
      </c>
      <c r="C782" s="2">
        <v>24</v>
      </c>
      <c r="D782" s="4">
        <f t="shared" si="41"/>
        <v>564</v>
      </c>
      <c r="E782" s="5">
        <f t="shared" si="42"/>
        <v>0.72307692307692306</v>
      </c>
      <c r="F782" s="2">
        <v>4</v>
      </c>
      <c r="G782" s="3">
        <f t="shared" si="43"/>
        <v>0</v>
      </c>
      <c r="H782" s="2" t="s">
        <v>12</v>
      </c>
      <c r="I782" s="3"/>
    </row>
    <row r="783" spans="1:9" x14ac:dyDescent="0.25">
      <c r="A783" s="2">
        <v>781</v>
      </c>
      <c r="B783" s="2">
        <v>700</v>
      </c>
      <c r="C783" s="2">
        <v>4</v>
      </c>
      <c r="D783" s="4">
        <f t="shared" si="41"/>
        <v>77</v>
      </c>
      <c r="E783" s="5">
        <f t="shared" si="42"/>
        <v>9.8591549295774641E-2</v>
      </c>
      <c r="F783" s="2">
        <v>2</v>
      </c>
      <c r="G783" s="3">
        <f t="shared" si="43"/>
        <v>1</v>
      </c>
      <c r="H783" s="2" t="s">
        <v>12</v>
      </c>
      <c r="I783" s="3"/>
    </row>
    <row r="784" spans="1:9" x14ac:dyDescent="0.25">
      <c r="A784" s="2">
        <v>782</v>
      </c>
      <c r="B784" s="2">
        <v>352</v>
      </c>
      <c r="C784" s="2">
        <v>8</v>
      </c>
      <c r="D784" s="4">
        <f t="shared" si="41"/>
        <v>422</v>
      </c>
      <c r="E784" s="5">
        <f t="shared" si="42"/>
        <v>0.53964194373401531</v>
      </c>
      <c r="F784" s="2">
        <v>3</v>
      </c>
      <c r="G784" s="3">
        <f t="shared" si="43"/>
        <v>2</v>
      </c>
      <c r="H784" s="2" t="s">
        <v>12</v>
      </c>
      <c r="I784" s="3"/>
    </row>
    <row r="785" spans="1:9" x14ac:dyDescent="0.25">
      <c r="A785" s="2">
        <v>783</v>
      </c>
      <c r="B785" s="2">
        <v>504</v>
      </c>
      <c r="C785" s="2">
        <v>8</v>
      </c>
      <c r="D785" s="4">
        <f t="shared" si="41"/>
        <v>271</v>
      </c>
      <c r="E785" s="5">
        <f t="shared" si="42"/>
        <v>0.34610472541507026</v>
      </c>
      <c r="F785" s="2">
        <v>2</v>
      </c>
      <c r="G785" s="3">
        <f t="shared" si="43"/>
        <v>3</v>
      </c>
      <c r="H785" s="2" t="s">
        <v>12</v>
      </c>
      <c r="I785" s="3"/>
    </row>
    <row r="786" spans="1:9" x14ac:dyDescent="0.25">
      <c r="A786" s="2">
        <v>784</v>
      </c>
      <c r="B786" s="2">
        <v>336</v>
      </c>
      <c r="C786" s="2">
        <v>15</v>
      </c>
      <c r="D786" s="4">
        <f t="shared" si="41"/>
        <v>433</v>
      </c>
      <c r="E786" s="5">
        <f t="shared" si="42"/>
        <v>0.55229591836734693</v>
      </c>
      <c r="F786" s="2">
        <v>2</v>
      </c>
      <c r="G786" s="3">
        <f t="shared" si="43"/>
        <v>4</v>
      </c>
      <c r="H786" s="2" t="s">
        <v>12</v>
      </c>
      <c r="I786" s="3"/>
    </row>
    <row r="787" spans="1:9" x14ac:dyDescent="0.25">
      <c r="A787" s="2">
        <v>785</v>
      </c>
      <c r="B787" s="2">
        <v>624</v>
      </c>
      <c r="C787" s="2">
        <v>4</v>
      </c>
      <c r="D787" s="4">
        <f t="shared" si="41"/>
        <v>157</v>
      </c>
      <c r="E787" s="5">
        <f t="shared" si="42"/>
        <v>0.2</v>
      </c>
      <c r="F787" s="2">
        <v>2</v>
      </c>
      <c r="G787" s="3">
        <f t="shared" si="43"/>
        <v>5</v>
      </c>
      <c r="H787" s="2" t="s">
        <v>12</v>
      </c>
      <c r="I787" s="3"/>
    </row>
    <row r="788" spans="1:9" x14ac:dyDescent="0.25">
      <c r="A788" s="2">
        <v>786</v>
      </c>
      <c r="B788" s="2">
        <v>260</v>
      </c>
      <c r="C788" s="2">
        <v>8</v>
      </c>
      <c r="D788" s="4">
        <f t="shared" si="41"/>
        <v>518</v>
      </c>
      <c r="E788" s="5">
        <f t="shared" si="42"/>
        <v>0.65903307888040707</v>
      </c>
      <c r="F788" s="2">
        <v>3</v>
      </c>
      <c r="G788" s="3">
        <f t="shared" si="43"/>
        <v>6</v>
      </c>
      <c r="H788" s="2" t="s">
        <v>12</v>
      </c>
      <c r="I788" s="3"/>
    </row>
    <row r="789" spans="1:9" x14ac:dyDescent="0.25">
      <c r="A789" s="2">
        <v>787</v>
      </c>
      <c r="B789" s="2">
        <v>786</v>
      </c>
      <c r="C789" s="2">
        <v>2</v>
      </c>
      <c r="D789" s="4">
        <f t="shared" si="41"/>
        <v>-1</v>
      </c>
      <c r="E789" s="5">
        <f t="shared" si="42"/>
        <v>-1.2706480304955528E-3</v>
      </c>
      <c r="F789" s="2">
        <v>1</v>
      </c>
      <c r="G789" s="3">
        <f t="shared" si="43"/>
        <v>7</v>
      </c>
      <c r="H789" s="2" t="s">
        <v>11</v>
      </c>
      <c r="I789" s="3">
        <v>-1</v>
      </c>
    </row>
    <row r="790" spans="1:9" x14ac:dyDescent="0.25">
      <c r="A790" s="2">
        <v>788</v>
      </c>
      <c r="B790" s="2">
        <v>392</v>
      </c>
      <c r="C790" s="2">
        <v>6</v>
      </c>
      <c r="D790" s="4">
        <f t="shared" si="41"/>
        <v>390</v>
      </c>
      <c r="E790" s="5">
        <f t="shared" si="42"/>
        <v>0.49492385786802029</v>
      </c>
      <c r="F790" s="2">
        <v>2</v>
      </c>
      <c r="G790" s="3">
        <f t="shared" si="43"/>
        <v>8</v>
      </c>
      <c r="H790" s="2" t="s">
        <v>12</v>
      </c>
      <c r="I790" s="3"/>
    </row>
    <row r="791" spans="1:9" x14ac:dyDescent="0.25">
      <c r="A791" s="2">
        <v>789</v>
      </c>
      <c r="B791" s="2">
        <v>524</v>
      </c>
      <c r="C791" s="2">
        <v>4</v>
      </c>
      <c r="D791" s="4">
        <f t="shared" si="41"/>
        <v>261</v>
      </c>
      <c r="E791" s="5">
        <f t="shared" si="42"/>
        <v>0.33079847908745247</v>
      </c>
      <c r="F791" s="2">
        <v>2</v>
      </c>
      <c r="G791" s="3">
        <f t="shared" si="43"/>
        <v>9</v>
      </c>
      <c r="H791" s="2" t="s">
        <v>12</v>
      </c>
      <c r="I791" s="3"/>
    </row>
    <row r="792" spans="1:9" x14ac:dyDescent="0.25">
      <c r="A792" s="2">
        <v>790</v>
      </c>
      <c r="B792" s="2">
        <v>312</v>
      </c>
      <c r="C792" s="2">
        <v>8</v>
      </c>
      <c r="D792" s="4">
        <f t="shared" si="41"/>
        <v>470</v>
      </c>
      <c r="E792" s="5">
        <f t="shared" si="42"/>
        <v>0.59493670886075944</v>
      </c>
      <c r="F792" s="2">
        <v>3</v>
      </c>
      <c r="G792" s="3">
        <f t="shared" si="43"/>
        <v>10</v>
      </c>
      <c r="H792" s="2" t="s">
        <v>12</v>
      </c>
      <c r="I792" s="3"/>
    </row>
    <row r="793" spans="1:9" x14ac:dyDescent="0.25">
      <c r="A793" s="2">
        <v>791</v>
      </c>
      <c r="B793" s="2">
        <v>672</v>
      </c>
      <c r="C793" s="2">
        <v>4</v>
      </c>
      <c r="D793" s="4">
        <f t="shared" si="41"/>
        <v>115</v>
      </c>
      <c r="E793" s="5">
        <f t="shared" si="42"/>
        <v>0.14538558786346398</v>
      </c>
      <c r="F793" s="2">
        <v>2</v>
      </c>
      <c r="G793" s="3">
        <f t="shared" si="43"/>
        <v>11</v>
      </c>
      <c r="H793" s="2" t="s">
        <v>12</v>
      </c>
      <c r="I793" s="3"/>
    </row>
    <row r="794" spans="1:9" x14ac:dyDescent="0.25">
      <c r="A794" s="2">
        <v>792</v>
      </c>
      <c r="B794" s="2">
        <v>240</v>
      </c>
      <c r="C794" s="2">
        <v>24</v>
      </c>
      <c r="D794" s="4">
        <f t="shared" si="41"/>
        <v>528</v>
      </c>
      <c r="E794" s="5">
        <f t="shared" si="42"/>
        <v>0.66666666666666663</v>
      </c>
      <c r="F794" s="2">
        <v>3</v>
      </c>
      <c r="G794" s="3">
        <f t="shared" si="43"/>
        <v>12</v>
      </c>
      <c r="H794" s="2" t="s">
        <v>12</v>
      </c>
      <c r="I794" s="3"/>
    </row>
    <row r="795" spans="1:9" x14ac:dyDescent="0.25">
      <c r="A795" s="2">
        <v>793</v>
      </c>
      <c r="B795" s="2">
        <v>720</v>
      </c>
      <c r="C795" s="2">
        <v>4</v>
      </c>
      <c r="D795" s="4">
        <f t="shared" si="41"/>
        <v>69</v>
      </c>
      <c r="E795" s="5">
        <f t="shared" si="42"/>
        <v>8.7011349306431271E-2</v>
      </c>
      <c r="F795" s="2">
        <v>2</v>
      </c>
      <c r="G795" s="3">
        <f t="shared" si="43"/>
        <v>13</v>
      </c>
      <c r="H795" s="2" t="s">
        <v>12</v>
      </c>
      <c r="I795" s="3"/>
    </row>
    <row r="796" spans="1:9" x14ac:dyDescent="0.25">
      <c r="A796" s="2">
        <v>794</v>
      </c>
      <c r="B796" s="2">
        <v>396</v>
      </c>
      <c r="C796" s="2">
        <v>4</v>
      </c>
      <c r="D796" s="4">
        <f t="shared" si="41"/>
        <v>394</v>
      </c>
      <c r="E796" s="5">
        <f t="shared" si="42"/>
        <v>0.49622166246851385</v>
      </c>
      <c r="F796" s="2">
        <v>2</v>
      </c>
      <c r="G796" s="3">
        <f t="shared" si="43"/>
        <v>14</v>
      </c>
      <c r="H796" s="2" t="s">
        <v>12</v>
      </c>
      <c r="I796" s="3"/>
    </row>
    <row r="797" spans="1:9" x14ac:dyDescent="0.25">
      <c r="A797" s="2">
        <v>795</v>
      </c>
      <c r="B797" s="2">
        <v>416</v>
      </c>
      <c r="C797" s="2">
        <v>8</v>
      </c>
      <c r="D797" s="4">
        <f t="shared" si="41"/>
        <v>371</v>
      </c>
      <c r="E797" s="5">
        <f t="shared" si="42"/>
        <v>0.46666666666666667</v>
      </c>
      <c r="F797" s="2">
        <v>3</v>
      </c>
      <c r="G797" s="3">
        <f t="shared" si="43"/>
        <v>15</v>
      </c>
      <c r="H797" s="2" t="s">
        <v>12</v>
      </c>
      <c r="I797" s="3"/>
    </row>
    <row r="798" spans="1:9" x14ac:dyDescent="0.25">
      <c r="A798" s="2">
        <v>796</v>
      </c>
      <c r="B798" s="2">
        <v>396</v>
      </c>
      <c r="C798" s="2">
        <v>6</v>
      </c>
      <c r="D798" s="4">
        <f t="shared" si="41"/>
        <v>394</v>
      </c>
      <c r="E798" s="5">
        <f t="shared" si="42"/>
        <v>0.49497487437185927</v>
      </c>
      <c r="F798" s="2">
        <v>2</v>
      </c>
      <c r="G798" s="3">
        <f t="shared" si="43"/>
        <v>16</v>
      </c>
      <c r="H798" s="2" t="s">
        <v>12</v>
      </c>
      <c r="I798" s="3"/>
    </row>
    <row r="799" spans="1:9" x14ac:dyDescent="0.25">
      <c r="A799" s="2">
        <v>797</v>
      </c>
      <c r="B799" s="2">
        <v>796</v>
      </c>
      <c r="C799" s="2">
        <v>2</v>
      </c>
      <c r="D799" s="4">
        <f t="shared" si="41"/>
        <v>-1</v>
      </c>
      <c r="E799" s="5">
        <f t="shared" si="42"/>
        <v>-1.2547051442910915E-3</v>
      </c>
      <c r="F799" s="2">
        <v>1</v>
      </c>
      <c r="G799" s="3">
        <f t="shared" si="43"/>
        <v>17</v>
      </c>
      <c r="H799" s="2" t="s">
        <v>11</v>
      </c>
      <c r="I799" s="3">
        <v>-1</v>
      </c>
    </row>
    <row r="800" spans="1:9" x14ac:dyDescent="0.25">
      <c r="A800" s="2">
        <v>798</v>
      </c>
      <c r="B800" s="2">
        <v>216</v>
      </c>
      <c r="C800" s="2">
        <v>16</v>
      </c>
      <c r="D800" s="4">
        <f t="shared" si="41"/>
        <v>566</v>
      </c>
      <c r="E800" s="5">
        <f t="shared" si="42"/>
        <v>0.7092731829573935</v>
      </c>
      <c r="F800" s="2">
        <v>4</v>
      </c>
      <c r="G800" s="3">
        <f t="shared" si="43"/>
        <v>18</v>
      </c>
      <c r="H800" s="2" t="s">
        <v>12</v>
      </c>
      <c r="I800" s="3"/>
    </row>
    <row r="801" spans="1:9" x14ac:dyDescent="0.25">
      <c r="A801" s="2">
        <v>799</v>
      </c>
      <c r="B801" s="2">
        <v>736</v>
      </c>
      <c r="C801" s="2">
        <v>4</v>
      </c>
      <c r="D801" s="4">
        <f t="shared" si="41"/>
        <v>59</v>
      </c>
      <c r="E801" s="5">
        <f t="shared" si="42"/>
        <v>7.3842302878598248E-2</v>
      </c>
      <c r="F801" s="2">
        <v>2</v>
      </c>
      <c r="G801" s="3">
        <f t="shared" si="43"/>
        <v>19</v>
      </c>
      <c r="H801" s="2" t="s">
        <v>12</v>
      </c>
      <c r="I801" s="3"/>
    </row>
    <row r="802" spans="1:9" x14ac:dyDescent="0.25">
      <c r="A802" s="2">
        <v>800</v>
      </c>
      <c r="B802" s="2">
        <v>320</v>
      </c>
      <c r="C802" s="2">
        <v>18</v>
      </c>
      <c r="D802" s="4">
        <f t="shared" si="41"/>
        <v>462</v>
      </c>
      <c r="E802" s="5">
        <f t="shared" si="42"/>
        <v>0.57750000000000001</v>
      </c>
      <c r="F802" s="2">
        <v>2</v>
      </c>
      <c r="G802" s="3">
        <f t="shared" si="43"/>
        <v>20</v>
      </c>
      <c r="H802" s="2" t="s">
        <v>12</v>
      </c>
      <c r="I802" s="3"/>
    </row>
    <row r="803" spans="1:9" x14ac:dyDescent="0.25">
      <c r="A803" s="2">
        <v>801</v>
      </c>
      <c r="B803" s="2">
        <v>528</v>
      </c>
      <c r="C803" s="2">
        <v>6</v>
      </c>
      <c r="D803" s="4">
        <f t="shared" si="41"/>
        <v>267</v>
      </c>
      <c r="E803" s="5">
        <f t="shared" si="42"/>
        <v>0.33333333333333331</v>
      </c>
      <c r="F803" s="2">
        <v>2</v>
      </c>
      <c r="G803" s="3">
        <f t="shared" si="43"/>
        <v>21</v>
      </c>
      <c r="H803" s="2" t="s">
        <v>12</v>
      </c>
      <c r="I803" s="3"/>
    </row>
    <row r="804" spans="1:9" x14ac:dyDescent="0.25">
      <c r="A804" s="2">
        <v>802</v>
      </c>
      <c r="B804" s="2">
        <v>400</v>
      </c>
      <c r="C804" s="2">
        <v>4</v>
      </c>
      <c r="D804" s="4">
        <f t="shared" si="41"/>
        <v>398</v>
      </c>
      <c r="E804" s="5">
        <f t="shared" si="42"/>
        <v>0.49625935162094764</v>
      </c>
      <c r="F804" s="2">
        <v>2</v>
      </c>
      <c r="G804" s="3">
        <f t="shared" si="43"/>
        <v>22</v>
      </c>
      <c r="H804" s="2" t="s">
        <v>12</v>
      </c>
      <c r="I804" s="3"/>
    </row>
    <row r="805" spans="1:9" x14ac:dyDescent="0.25">
      <c r="A805" s="2">
        <v>803</v>
      </c>
      <c r="B805" s="2">
        <v>720</v>
      </c>
      <c r="C805" s="2">
        <v>4</v>
      </c>
      <c r="D805" s="4">
        <f t="shared" si="41"/>
        <v>79</v>
      </c>
      <c r="E805" s="5">
        <f t="shared" si="42"/>
        <v>9.8381070983810714E-2</v>
      </c>
      <c r="F805" s="2">
        <v>2</v>
      </c>
      <c r="G805" s="3">
        <f t="shared" si="43"/>
        <v>23</v>
      </c>
      <c r="H805" s="2" t="s">
        <v>12</v>
      </c>
      <c r="I805" s="3"/>
    </row>
    <row r="806" spans="1:9" x14ac:dyDescent="0.25">
      <c r="A806" s="2">
        <v>804</v>
      </c>
      <c r="B806" s="2">
        <v>264</v>
      </c>
      <c r="C806" s="2">
        <v>12</v>
      </c>
      <c r="D806" s="4">
        <f t="shared" si="41"/>
        <v>528</v>
      </c>
      <c r="E806" s="5">
        <f t="shared" si="42"/>
        <v>0.65671641791044777</v>
      </c>
      <c r="F806" s="2">
        <v>3</v>
      </c>
      <c r="G806" s="3">
        <f t="shared" si="43"/>
        <v>24</v>
      </c>
      <c r="H806" s="2" t="s">
        <v>12</v>
      </c>
      <c r="I806" s="3"/>
    </row>
    <row r="807" spans="1:9" x14ac:dyDescent="0.25">
      <c r="A807" s="2">
        <v>805</v>
      </c>
      <c r="B807" s="2">
        <v>528</v>
      </c>
      <c r="C807" s="2">
        <v>8</v>
      </c>
      <c r="D807" s="4">
        <f t="shared" si="41"/>
        <v>269</v>
      </c>
      <c r="E807" s="5">
        <f t="shared" si="42"/>
        <v>0.33416149068322981</v>
      </c>
      <c r="F807" s="2">
        <v>3</v>
      </c>
      <c r="G807" s="3">
        <f t="shared" si="43"/>
        <v>25</v>
      </c>
      <c r="H807" s="2" t="s">
        <v>12</v>
      </c>
      <c r="I807" s="3"/>
    </row>
    <row r="808" spans="1:9" x14ac:dyDescent="0.25">
      <c r="A808" s="2">
        <v>806</v>
      </c>
      <c r="B808" s="2">
        <v>360</v>
      </c>
      <c r="C808" s="2">
        <v>8</v>
      </c>
      <c r="D808" s="4">
        <f t="shared" si="41"/>
        <v>438</v>
      </c>
      <c r="E808" s="5">
        <f t="shared" si="42"/>
        <v>0.54342431761786603</v>
      </c>
      <c r="F808" s="2">
        <v>3</v>
      </c>
      <c r="G808" s="3">
        <f t="shared" si="43"/>
        <v>26</v>
      </c>
      <c r="H808" s="2" t="s">
        <v>12</v>
      </c>
      <c r="I808" s="3"/>
    </row>
    <row r="809" spans="1:9" x14ac:dyDescent="0.25">
      <c r="A809" s="2">
        <v>807</v>
      </c>
      <c r="B809" s="2">
        <v>536</v>
      </c>
      <c r="C809" s="2">
        <v>4</v>
      </c>
      <c r="D809" s="4">
        <f t="shared" si="41"/>
        <v>267</v>
      </c>
      <c r="E809" s="5">
        <f t="shared" si="42"/>
        <v>0.33085501858736061</v>
      </c>
      <c r="F809" s="2">
        <v>2</v>
      </c>
      <c r="G809" s="3">
        <f t="shared" si="43"/>
        <v>27</v>
      </c>
      <c r="H809" s="2" t="s">
        <v>12</v>
      </c>
      <c r="I809" s="3"/>
    </row>
    <row r="810" spans="1:9" x14ac:dyDescent="0.25">
      <c r="A810" s="2">
        <v>808</v>
      </c>
      <c r="B810" s="2">
        <v>400</v>
      </c>
      <c r="C810" s="2">
        <v>8</v>
      </c>
      <c r="D810" s="4">
        <f t="shared" si="41"/>
        <v>400</v>
      </c>
      <c r="E810" s="5">
        <f t="shared" si="42"/>
        <v>0.49504950495049505</v>
      </c>
      <c r="F810" s="2">
        <v>2</v>
      </c>
      <c r="G810" s="3">
        <f t="shared" si="43"/>
        <v>28</v>
      </c>
      <c r="H810" s="2" t="s">
        <v>12</v>
      </c>
      <c r="I810" s="3"/>
    </row>
    <row r="811" spans="1:9" x14ac:dyDescent="0.25">
      <c r="A811" s="2">
        <v>809</v>
      </c>
      <c r="B811" s="2">
        <v>808</v>
      </c>
      <c r="C811" s="2">
        <v>2</v>
      </c>
      <c r="D811" s="4">
        <f t="shared" si="41"/>
        <v>-1</v>
      </c>
      <c r="E811" s="5">
        <f t="shared" si="42"/>
        <v>-1.2360939431396785E-3</v>
      </c>
      <c r="F811" s="2">
        <v>1</v>
      </c>
      <c r="G811" s="3">
        <f t="shared" si="43"/>
        <v>29</v>
      </c>
      <c r="H811" s="2" t="s">
        <v>11</v>
      </c>
      <c r="I811" s="3">
        <v>-1</v>
      </c>
    </row>
    <row r="812" spans="1:9" x14ac:dyDescent="0.25">
      <c r="A812" s="2">
        <v>810</v>
      </c>
      <c r="B812" s="2">
        <v>216</v>
      </c>
      <c r="C812" s="2">
        <v>20</v>
      </c>
      <c r="D812" s="4">
        <f t="shared" si="41"/>
        <v>574</v>
      </c>
      <c r="E812" s="5">
        <f t="shared" si="42"/>
        <v>0.70864197530864192</v>
      </c>
      <c r="F812" s="2">
        <v>3</v>
      </c>
      <c r="G812" s="3">
        <f t="shared" si="43"/>
        <v>0</v>
      </c>
      <c r="H812" s="2" t="s">
        <v>12</v>
      </c>
      <c r="I812" s="3"/>
    </row>
    <row r="813" spans="1:9" x14ac:dyDescent="0.25">
      <c r="A813" s="2">
        <v>811</v>
      </c>
      <c r="B813" s="2">
        <v>810</v>
      </c>
      <c r="C813" s="2">
        <v>2</v>
      </c>
      <c r="D813" s="4">
        <f t="shared" si="41"/>
        <v>-1</v>
      </c>
      <c r="E813" s="5">
        <f t="shared" si="42"/>
        <v>-1.2330456226880395E-3</v>
      </c>
      <c r="F813" s="2">
        <v>1</v>
      </c>
      <c r="G813" s="3">
        <f t="shared" si="43"/>
        <v>1</v>
      </c>
      <c r="H813" s="2" t="s">
        <v>11</v>
      </c>
      <c r="I813" s="3">
        <v>-1</v>
      </c>
    </row>
    <row r="814" spans="1:9" x14ac:dyDescent="0.25">
      <c r="A814" s="2">
        <v>812</v>
      </c>
      <c r="B814" s="2">
        <v>336</v>
      </c>
      <c r="C814" s="2">
        <v>12</v>
      </c>
      <c r="D814" s="4">
        <f t="shared" si="41"/>
        <v>464</v>
      </c>
      <c r="E814" s="5">
        <f t="shared" si="42"/>
        <v>0.5714285714285714</v>
      </c>
      <c r="F814" s="2">
        <v>3</v>
      </c>
      <c r="G814" s="3">
        <f t="shared" si="43"/>
        <v>2</v>
      </c>
      <c r="H814" s="2" t="s">
        <v>12</v>
      </c>
      <c r="I814" s="3"/>
    </row>
    <row r="815" spans="1:9" x14ac:dyDescent="0.25">
      <c r="A815" s="2">
        <v>813</v>
      </c>
      <c r="B815" s="2">
        <v>540</v>
      </c>
      <c r="C815" s="2">
        <v>4</v>
      </c>
      <c r="D815" s="4">
        <f t="shared" si="41"/>
        <v>269</v>
      </c>
      <c r="E815" s="5">
        <f t="shared" si="42"/>
        <v>0.33087330873308735</v>
      </c>
      <c r="F815" s="2">
        <v>2</v>
      </c>
      <c r="G815" s="3">
        <f t="shared" si="43"/>
        <v>3</v>
      </c>
      <c r="H815" s="2" t="s">
        <v>12</v>
      </c>
      <c r="I815" s="3"/>
    </row>
    <row r="816" spans="1:9" x14ac:dyDescent="0.25">
      <c r="A816" s="2">
        <v>814</v>
      </c>
      <c r="B816" s="2">
        <v>360</v>
      </c>
      <c r="C816" s="2">
        <v>8</v>
      </c>
      <c r="D816" s="4">
        <f t="shared" si="41"/>
        <v>446</v>
      </c>
      <c r="E816" s="5">
        <f t="shared" si="42"/>
        <v>0.54791154791154795</v>
      </c>
      <c r="F816" s="2">
        <v>3</v>
      </c>
      <c r="G816" s="3">
        <f t="shared" si="43"/>
        <v>4</v>
      </c>
      <c r="H816" s="2" t="s">
        <v>12</v>
      </c>
      <c r="I816" s="3"/>
    </row>
    <row r="817" spans="1:9" x14ac:dyDescent="0.25">
      <c r="A817" s="2">
        <v>815</v>
      </c>
      <c r="B817" s="2">
        <v>648</v>
      </c>
      <c r="C817" s="2">
        <v>4</v>
      </c>
      <c r="D817" s="4">
        <f t="shared" si="41"/>
        <v>163</v>
      </c>
      <c r="E817" s="5">
        <f t="shared" si="42"/>
        <v>0.2</v>
      </c>
      <c r="F817" s="2">
        <v>2</v>
      </c>
      <c r="G817" s="3">
        <f t="shared" si="43"/>
        <v>5</v>
      </c>
      <c r="H817" s="2" t="s">
        <v>12</v>
      </c>
      <c r="I817" s="3"/>
    </row>
    <row r="818" spans="1:9" x14ac:dyDescent="0.25">
      <c r="A818" s="2">
        <v>816</v>
      </c>
      <c r="B818" s="2">
        <v>256</v>
      </c>
      <c r="C818" s="2">
        <v>20</v>
      </c>
      <c r="D818" s="4">
        <f t="shared" si="41"/>
        <v>540</v>
      </c>
      <c r="E818" s="5">
        <f t="shared" si="42"/>
        <v>0.66176470588235292</v>
      </c>
      <c r="F818" s="2">
        <v>3</v>
      </c>
      <c r="G818" s="3">
        <f t="shared" si="43"/>
        <v>6</v>
      </c>
      <c r="H818" s="2" t="s">
        <v>12</v>
      </c>
      <c r="I818" s="3"/>
    </row>
    <row r="819" spans="1:9" x14ac:dyDescent="0.25">
      <c r="A819" s="2">
        <v>817</v>
      </c>
      <c r="B819" s="2">
        <v>756</v>
      </c>
      <c r="C819" s="2">
        <v>4</v>
      </c>
      <c r="D819" s="4">
        <f t="shared" si="41"/>
        <v>57</v>
      </c>
      <c r="E819" s="5">
        <f t="shared" si="42"/>
        <v>6.9767441860465115E-2</v>
      </c>
      <c r="F819" s="2">
        <v>2</v>
      </c>
      <c r="G819" s="3">
        <f t="shared" si="43"/>
        <v>7</v>
      </c>
      <c r="H819" s="2" t="s">
        <v>12</v>
      </c>
      <c r="I819" s="3"/>
    </row>
    <row r="820" spans="1:9" x14ac:dyDescent="0.25">
      <c r="A820" s="2">
        <v>818</v>
      </c>
      <c r="B820" s="2">
        <v>408</v>
      </c>
      <c r="C820" s="2">
        <v>4</v>
      </c>
      <c r="D820" s="4">
        <f t="shared" si="41"/>
        <v>406</v>
      </c>
      <c r="E820" s="5">
        <f t="shared" si="42"/>
        <v>0.49633251833740832</v>
      </c>
      <c r="F820" s="2">
        <v>2</v>
      </c>
      <c r="G820" s="3">
        <f t="shared" si="43"/>
        <v>8</v>
      </c>
      <c r="H820" s="2" t="s">
        <v>12</v>
      </c>
      <c r="I820" s="3"/>
    </row>
    <row r="821" spans="1:9" x14ac:dyDescent="0.25">
      <c r="A821" s="2">
        <v>819</v>
      </c>
      <c r="B821" s="2">
        <v>432</v>
      </c>
      <c r="C821" s="2">
        <v>12</v>
      </c>
      <c r="D821" s="4">
        <f t="shared" si="41"/>
        <v>375</v>
      </c>
      <c r="E821" s="5">
        <f t="shared" si="42"/>
        <v>0.45787545787545786</v>
      </c>
      <c r="F821" s="2">
        <v>3</v>
      </c>
      <c r="G821" s="3">
        <f t="shared" si="43"/>
        <v>9</v>
      </c>
      <c r="H821" s="2" t="s">
        <v>12</v>
      </c>
      <c r="I821" s="3"/>
    </row>
    <row r="822" spans="1:9" x14ac:dyDescent="0.25">
      <c r="A822" s="2">
        <v>820</v>
      </c>
      <c r="B822" s="2">
        <v>320</v>
      </c>
      <c r="C822" s="2">
        <v>12</v>
      </c>
      <c r="D822" s="4">
        <f t="shared" si="41"/>
        <v>488</v>
      </c>
      <c r="E822" s="5">
        <f t="shared" si="42"/>
        <v>0.59512195121951217</v>
      </c>
      <c r="F822" s="2">
        <v>3</v>
      </c>
      <c r="G822" s="3">
        <f t="shared" si="43"/>
        <v>10</v>
      </c>
      <c r="H822" s="2" t="s">
        <v>12</v>
      </c>
      <c r="I822" s="3"/>
    </row>
    <row r="823" spans="1:9" x14ac:dyDescent="0.25">
      <c r="A823" s="2">
        <v>821</v>
      </c>
      <c r="B823" s="2">
        <v>820</v>
      </c>
      <c r="C823" s="2">
        <v>2</v>
      </c>
      <c r="D823" s="4">
        <f t="shared" si="41"/>
        <v>-1</v>
      </c>
      <c r="E823" s="5">
        <f t="shared" si="42"/>
        <v>-1.2180267965895249E-3</v>
      </c>
      <c r="F823" s="2">
        <v>1</v>
      </c>
      <c r="G823" s="3">
        <f t="shared" si="43"/>
        <v>11</v>
      </c>
      <c r="H823" s="2" t="s">
        <v>11</v>
      </c>
      <c r="I823" s="3">
        <v>-1</v>
      </c>
    </row>
    <row r="824" spans="1:9" x14ac:dyDescent="0.25">
      <c r="A824" s="2">
        <v>822</v>
      </c>
      <c r="B824" s="2">
        <v>272</v>
      </c>
      <c r="C824" s="2">
        <v>8</v>
      </c>
      <c r="D824" s="4">
        <f t="shared" si="41"/>
        <v>542</v>
      </c>
      <c r="E824" s="5">
        <f t="shared" si="42"/>
        <v>0.65936739659367394</v>
      </c>
      <c r="F824" s="2">
        <v>3</v>
      </c>
      <c r="G824" s="3">
        <f t="shared" si="43"/>
        <v>12</v>
      </c>
      <c r="H824" s="2" t="s">
        <v>12</v>
      </c>
      <c r="I824" s="3"/>
    </row>
    <row r="825" spans="1:9" x14ac:dyDescent="0.25">
      <c r="A825" s="2">
        <v>823</v>
      </c>
      <c r="B825" s="2">
        <v>822</v>
      </c>
      <c r="C825" s="2">
        <v>2</v>
      </c>
      <c r="D825" s="4">
        <f t="shared" si="41"/>
        <v>-1</v>
      </c>
      <c r="E825" s="5">
        <f t="shared" si="42"/>
        <v>-1.215066828675577E-3</v>
      </c>
      <c r="F825" s="2">
        <v>1</v>
      </c>
      <c r="G825" s="3">
        <f t="shared" si="43"/>
        <v>13</v>
      </c>
      <c r="H825" s="2" t="s">
        <v>11</v>
      </c>
      <c r="I825" s="3">
        <v>-1</v>
      </c>
    </row>
    <row r="826" spans="1:9" x14ac:dyDescent="0.25">
      <c r="A826" s="2">
        <v>824</v>
      </c>
      <c r="B826" s="2">
        <v>408</v>
      </c>
      <c r="C826" s="2">
        <v>8</v>
      </c>
      <c r="D826" s="4">
        <f t="shared" si="41"/>
        <v>408</v>
      </c>
      <c r="E826" s="5">
        <f t="shared" si="42"/>
        <v>0.49514563106796117</v>
      </c>
      <c r="F826" s="2">
        <v>2</v>
      </c>
      <c r="G826" s="3">
        <f t="shared" si="43"/>
        <v>14</v>
      </c>
      <c r="H826" s="2" t="s">
        <v>12</v>
      </c>
      <c r="I826" s="3"/>
    </row>
    <row r="827" spans="1:9" x14ac:dyDescent="0.25">
      <c r="A827" s="2">
        <v>825</v>
      </c>
      <c r="B827" s="2">
        <v>400</v>
      </c>
      <c r="C827" s="2">
        <v>12</v>
      </c>
      <c r="D827" s="4">
        <f t="shared" si="41"/>
        <v>413</v>
      </c>
      <c r="E827" s="5">
        <f t="shared" si="42"/>
        <v>0.50060606060606061</v>
      </c>
      <c r="F827" s="2">
        <v>3</v>
      </c>
      <c r="G827" s="3">
        <f t="shared" si="43"/>
        <v>15</v>
      </c>
      <c r="H827" s="2" t="s">
        <v>12</v>
      </c>
      <c r="I827" s="3"/>
    </row>
    <row r="828" spans="1:9" x14ac:dyDescent="0.25">
      <c r="A828" s="2">
        <v>826</v>
      </c>
      <c r="B828" s="2">
        <v>348</v>
      </c>
      <c r="C828" s="2">
        <v>8</v>
      </c>
      <c r="D828" s="4">
        <f t="shared" si="41"/>
        <v>470</v>
      </c>
      <c r="E828" s="5">
        <f t="shared" si="42"/>
        <v>0.56900726392251821</v>
      </c>
      <c r="F828" s="2">
        <v>3</v>
      </c>
      <c r="G828" s="3">
        <f t="shared" si="43"/>
        <v>16</v>
      </c>
      <c r="H828" s="2" t="s">
        <v>12</v>
      </c>
      <c r="I828" s="3"/>
    </row>
    <row r="829" spans="1:9" x14ac:dyDescent="0.25">
      <c r="A829" s="2">
        <v>827</v>
      </c>
      <c r="B829" s="2">
        <v>826</v>
      </c>
      <c r="C829" s="2">
        <v>2</v>
      </c>
      <c r="D829" s="4">
        <f t="shared" si="41"/>
        <v>-1</v>
      </c>
      <c r="E829" s="5">
        <f t="shared" si="42"/>
        <v>-1.2091898428053204E-3</v>
      </c>
      <c r="F829" s="2">
        <v>1</v>
      </c>
      <c r="G829" s="3">
        <f t="shared" si="43"/>
        <v>17</v>
      </c>
      <c r="H829" s="2" t="s">
        <v>11</v>
      </c>
      <c r="I829" s="3">
        <v>-1</v>
      </c>
    </row>
    <row r="830" spans="1:9" x14ac:dyDescent="0.25">
      <c r="A830" s="2">
        <v>828</v>
      </c>
      <c r="B830" s="2">
        <v>264</v>
      </c>
      <c r="C830" s="2">
        <v>18</v>
      </c>
      <c r="D830" s="4">
        <f t="shared" si="41"/>
        <v>546</v>
      </c>
      <c r="E830" s="5">
        <f t="shared" si="42"/>
        <v>0.65942028985507251</v>
      </c>
      <c r="F830" s="2">
        <v>3</v>
      </c>
      <c r="G830" s="3">
        <f t="shared" si="43"/>
        <v>18</v>
      </c>
      <c r="H830" s="2" t="s">
        <v>12</v>
      </c>
      <c r="I830" s="3"/>
    </row>
    <row r="831" spans="1:9" x14ac:dyDescent="0.25">
      <c r="A831" s="2">
        <v>829</v>
      </c>
      <c r="B831" s="2">
        <v>828</v>
      </c>
      <c r="C831" s="2">
        <v>2</v>
      </c>
      <c r="D831" s="4">
        <f t="shared" si="41"/>
        <v>-1</v>
      </c>
      <c r="E831" s="5">
        <f t="shared" si="42"/>
        <v>-1.2062726176115801E-3</v>
      </c>
      <c r="F831" s="2">
        <v>1</v>
      </c>
      <c r="G831" s="3">
        <f t="shared" si="43"/>
        <v>19</v>
      </c>
      <c r="H831" s="2" t="s">
        <v>11</v>
      </c>
      <c r="I831" s="3">
        <v>-1</v>
      </c>
    </row>
    <row r="832" spans="1:9" x14ac:dyDescent="0.25">
      <c r="A832" s="2">
        <v>830</v>
      </c>
      <c r="B832" s="2">
        <v>328</v>
      </c>
      <c r="C832" s="2">
        <v>8</v>
      </c>
      <c r="D832" s="4">
        <f t="shared" si="41"/>
        <v>494</v>
      </c>
      <c r="E832" s="5">
        <f t="shared" si="42"/>
        <v>0.59518072289156632</v>
      </c>
      <c r="F832" s="2">
        <v>3</v>
      </c>
      <c r="G832" s="3">
        <f t="shared" si="43"/>
        <v>20</v>
      </c>
      <c r="H832" s="2" t="s">
        <v>12</v>
      </c>
      <c r="I832" s="3"/>
    </row>
    <row r="833" spans="1:9" x14ac:dyDescent="0.25">
      <c r="A833" s="2">
        <v>831</v>
      </c>
      <c r="B833" s="2">
        <v>552</v>
      </c>
      <c r="C833" s="2">
        <v>4</v>
      </c>
      <c r="D833" s="4">
        <f t="shared" si="41"/>
        <v>275</v>
      </c>
      <c r="E833" s="5">
        <f t="shared" si="42"/>
        <v>0.33092659446450062</v>
      </c>
      <c r="F833" s="2">
        <v>2</v>
      </c>
      <c r="G833" s="3">
        <f t="shared" si="43"/>
        <v>21</v>
      </c>
      <c r="H833" s="2" t="s">
        <v>12</v>
      </c>
      <c r="I833" s="3"/>
    </row>
    <row r="834" spans="1:9" x14ac:dyDescent="0.25">
      <c r="A834" s="2">
        <v>832</v>
      </c>
      <c r="B834" s="2">
        <v>384</v>
      </c>
      <c r="C834" s="2">
        <v>14</v>
      </c>
      <c r="D834" s="4">
        <f t="shared" si="41"/>
        <v>434</v>
      </c>
      <c r="E834" s="5">
        <f t="shared" si="42"/>
        <v>0.52163461538461542</v>
      </c>
      <c r="F834" s="2">
        <v>2</v>
      </c>
      <c r="G834" s="3">
        <f t="shared" si="43"/>
        <v>22</v>
      </c>
      <c r="H834" s="2" t="s">
        <v>12</v>
      </c>
      <c r="I834" s="3"/>
    </row>
    <row r="835" spans="1:9" x14ac:dyDescent="0.25">
      <c r="A835" s="2">
        <v>833</v>
      </c>
      <c r="B835" s="2">
        <v>672</v>
      </c>
      <c r="C835" s="2">
        <v>6</v>
      </c>
      <c r="D835" s="4">
        <f t="shared" ref="D835:D898" si="44">A835-B835-C835</f>
        <v>155</v>
      </c>
      <c r="E835" s="5">
        <f t="shared" ref="E835:E898" si="45">D835/A835</f>
        <v>0.18607442977190877</v>
      </c>
      <c r="F835" s="2">
        <v>2</v>
      </c>
      <c r="G835" s="3">
        <f t="shared" ref="G835:G898" si="46">MOD(A835,30)</f>
        <v>23</v>
      </c>
      <c r="H835" s="2" t="s">
        <v>12</v>
      </c>
      <c r="I835" s="3"/>
    </row>
    <row r="836" spans="1:9" x14ac:dyDescent="0.25">
      <c r="A836" s="2">
        <v>834</v>
      </c>
      <c r="B836" s="2">
        <v>276</v>
      </c>
      <c r="C836" s="2">
        <v>8</v>
      </c>
      <c r="D836" s="4">
        <f t="shared" si="44"/>
        <v>550</v>
      </c>
      <c r="E836" s="5">
        <f t="shared" si="45"/>
        <v>0.65947242206235013</v>
      </c>
      <c r="F836" s="2">
        <v>3</v>
      </c>
      <c r="G836" s="3">
        <f t="shared" si="46"/>
        <v>24</v>
      </c>
      <c r="H836" s="2" t="s">
        <v>12</v>
      </c>
      <c r="I836" s="3"/>
    </row>
    <row r="837" spans="1:9" x14ac:dyDescent="0.25">
      <c r="A837" s="2">
        <v>835</v>
      </c>
      <c r="B837" s="2">
        <v>664</v>
      </c>
      <c r="C837" s="2">
        <v>4</v>
      </c>
      <c r="D837" s="4">
        <f t="shared" si="44"/>
        <v>167</v>
      </c>
      <c r="E837" s="5">
        <f t="shared" si="45"/>
        <v>0.2</v>
      </c>
      <c r="F837" s="2">
        <v>2</v>
      </c>
      <c r="G837" s="3">
        <f t="shared" si="46"/>
        <v>25</v>
      </c>
      <c r="H837" s="2" t="s">
        <v>12</v>
      </c>
      <c r="I837" s="3"/>
    </row>
    <row r="838" spans="1:9" x14ac:dyDescent="0.25">
      <c r="A838" s="2">
        <v>836</v>
      </c>
      <c r="B838" s="2">
        <v>360</v>
      </c>
      <c r="C838" s="2">
        <v>12</v>
      </c>
      <c r="D838" s="4">
        <f t="shared" si="44"/>
        <v>464</v>
      </c>
      <c r="E838" s="5">
        <f t="shared" si="45"/>
        <v>0.55502392344497609</v>
      </c>
      <c r="F838" s="2">
        <v>3</v>
      </c>
      <c r="G838" s="3">
        <f t="shared" si="46"/>
        <v>26</v>
      </c>
      <c r="H838" s="2" t="s">
        <v>12</v>
      </c>
      <c r="I838" s="3"/>
    </row>
    <row r="839" spans="1:9" x14ac:dyDescent="0.25">
      <c r="A839" s="2">
        <v>837</v>
      </c>
      <c r="B839" s="2">
        <v>540</v>
      </c>
      <c r="C839" s="2">
        <v>8</v>
      </c>
      <c r="D839" s="4">
        <f t="shared" si="44"/>
        <v>289</v>
      </c>
      <c r="E839" s="5">
        <f t="shared" si="45"/>
        <v>0.34528076463560337</v>
      </c>
      <c r="F839" s="2">
        <v>2</v>
      </c>
      <c r="G839" s="3">
        <f t="shared" si="46"/>
        <v>27</v>
      </c>
      <c r="H839" s="2" t="s">
        <v>12</v>
      </c>
      <c r="I839" s="3"/>
    </row>
    <row r="840" spans="1:9" x14ac:dyDescent="0.25">
      <c r="A840" s="2">
        <v>838</v>
      </c>
      <c r="B840" s="2">
        <v>418</v>
      </c>
      <c r="C840" s="2">
        <v>4</v>
      </c>
      <c r="D840" s="4">
        <f t="shared" si="44"/>
        <v>416</v>
      </c>
      <c r="E840" s="5">
        <f t="shared" si="45"/>
        <v>0.49642004773269688</v>
      </c>
      <c r="F840" s="2">
        <v>2</v>
      </c>
      <c r="G840" s="3">
        <f t="shared" si="46"/>
        <v>28</v>
      </c>
      <c r="H840" s="2" t="s">
        <v>12</v>
      </c>
      <c r="I840" s="3"/>
    </row>
    <row r="841" spans="1:9" x14ac:dyDescent="0.25">
      <c r="A841" s="2">
        <v>839</v>
      </c>
      <c r="B841" s="2">
        <v>838</v>
      </c>
      <c r="C841" s="2">
        <v>2</v>
      </c>
      <c r="D841" s="4">
        <f t="shared" si="44"/>
        <v>-1</v>
      </c>
      <c r="E841" s="5">
        <f t="shared" si="45"/>
        <v>-1.1918951132300357E-3</v>
      </c>
      <c r="F841" s="2">
        <v>1</v>
      </c>
      <c r="G841" s="3">
        <f t="shared" si="46"/>
        <v>29</v>
      </c>
      <c r="H841" s="2" t="s">
        <v>11</v>
      </c>
      <c r="I841" s="3">
        <v>-1</v>
      </c>
    </row>
    <row r="842" spans="1:9" x14ac:dyDescent="0.25">
      <c r="A842" s="2">
        <v>840</v>
      </c>
      <c r="B842" s="2">
        <v>192</v>
      </c>
      <c r="C842" s="2">
        <v>32</v>
      </c>
      <c r="D842" s="4">
        <f t="shared" si="44"/>
        <v>616</v>
      </c>
      <c r="E842" s="5">
        <f t="shared" si="45"/>
        <v>0.73333333333333328</v>
      </c>
      <c r="F842" s="2">
        <v>4</v>
      </c>
      <c r="G842" s="3">
        <f t="shared" si="46"/>
        <v>0</v>
      </c>
      <c r="H842" s="2" t="s">
        <v>12</v>
      </c>
      <c r="I842" s="3"/>
    </row>
    <row r="843" spans="1:9" x14ac:dyDescent="0.25">
      <c r="A843" s="2">
        <v>841</v>
      </c>
      <c r="B843" s="2">
        <v>812</v>
      </c>
      <c r="C843" s="2">
        <v>3</v>
      </c>
      <c r="D843" s="4">
        <f t="shared" si="44"/>
        <v>26</v>
      </c>
      <c r="E843" s="5">
        <f t="shared" si="45"/>
        <v>3.0915576694411414E-2</v>
      </c>
      <c r="F843" s="2">
        <v>1</v>
      </c>
      <c r="G843" s="3">
        <f t="shared" si="46"/>
        <v>1</v>
      </c>
      <c r="H843" s="2" t="s">
        <v>12</v>
      </c>
      <c r="I843" s="3"/>
    </row>
    <row r="844" spans="1:9" x14ac:dyDescent="0.25">
      <c r="A844" s="2">
        <v>842</v>
      </c>
      <c r="B844" s="2">
        <v>420</v>
      </c>
      <c r="C844" s="2">
        <v>4</v>
      </c>
      <c r="D844" s="4">
        <f t="shared" si="44"/>
        <v>418</v>
      </c>
      <c r="E844" s="5">
        <f t="shared" si="45"/>
        <v>0.49643705463182897</v>
      </c>
      <c r="F844" s="2">
        <v>2</v>
      </c>
      <c r="G844" s="3">
        <f t="shared" si="46"/>
        <v>2</v>
      </c>
      <c r="H844" s="2" t="s">
        <v>12</v>
      </c>
      <c r="I844" s="3"/>
    </row>
    <row r="845" spans="1:9" x14ac:dyDescent="0.25">
      <c r="A845" s="2">
        <v>843</v>
      </c>
      <c r="B845" s="2">
        <v>560</v>
      </c>
      <c r="C845" s="2">
        <v>4</v>
      </c>
      <c r="D845" s="4">
        <f t="shared" si="44"/>
        <v>279</v>
      </c>
      <c r="E845" s="5">
        <f t="shared" si="45"/>
        <v>0.33096085409252668</v>
      </c>
      <c r="F845" s="2">
        <v>2</v>
      </c>
      <c r="G845" s="3">
        <f t="shared" si="46"/>
        <v>3</v>
      </c>
      <c r="H845" s="2" t="s">
        <v>12</v>
      </c>
      <c r="I845" s="3"/>
    </row>
    <row r="846" spans="1:9" x14ac:dyDescent="0.25">
      <c r="A846" s="2">
        <v>844</v>
      </c>
      <c r="B846" s="2">
        <v>420</v>
      </c>
      <c r="C846" s="2">
        <v>6</v>
      </c>
      <c r="D846" s="4">
        <f t="shared" si="44"/>
        <v>418</v>
      </c>
      <c r="E846" s="5">
        <f t="shared" si="45"/>
        <v>0.49526066350710901</v>
      </c>
      <c r="F846" s="2">
        <v>2</v>
      </c>
      <c r="G846" s="3">
        <f t="shared" si="46"/>
        <v>4</v>
      </c>
      <c r="H846" s="2" t="s">
        <v>12</v>
      </c>
      <c r="I846" s="3"/>
    </row>
    <row r="847" spans="1:9" x14ac:dyDescent="0.25">
      <c r="A847" s="2">
        <v>845</v>
      </c>
      <c r="B847" s="2">
        <v>624</v>
      </c>
      <c r="C847" s="2">
        <v>6</v>
      </c>
      <c r="D847" s="4">
        <f t="shared" si="44"/>
        <v>215</v>
      </c>
      <c r="E847" s="5">
        <f t="shared" si="45"/>
        <v>0.25443786982248523</v>
      </c>
      <c r="F847" s="2">
        <v>2</v>
      </c>
      <c r="G847" s="3">
        <f t="shared" si="46"/>
        <v>5</v>
      </c>
      <c r="H847" s="2" t="s">
        <v>12</v>
      </c>
      <c r="I847" s="3"/>
    </row>
    <row r="848" spans="1:9" x14ac:dyDescent="0.25">
      <c r="A848" s="2">
        <v>846</v>
      </c>
      <c r="B848" s="2">
        <v>276</v>
      </c>
      <c r="C848" s="2">
        <v>12</v>
      </c>
      <c r="D848" s="4">
        <f t="shared" si="44"/>
        <v>558</v>
      </c>
      <c r="E848" s="5">
        <f t="shared" si="45"/>
        <v>0.65957446808510634</v>
      </c>
      <c r="F848" s="2">
        <v>3</v>
      </c>
      <c r="G848" s="3">
        <f t="shared" si="46"/>
        <v>6</v>
      </c>
      <c r="H848" s="2" t="s">
        <v>12</v>
      </c>
      <c r="I848" s="3"/>
    </row>
    <row r="849" spans="1:9" x14ac:dyDescent="0.25">
      <c r="A849" s="2">
        <v>847</v>
      </c>
      <c r="B849" s="2">
        <v>660</v>
      </c>
      <c r="C849" s="2">
        <v>6</v>
      </c>
      <c r="D849" s="4">
        <f t="shared" si="44"/>
        <v>181</v>
      </c>
      <c r="E849" s="5">
        <f t="shared" si="45"/>
        <v>0.21369539551357733</v>
      </c>
      <c r="F849" s="2">
        <v>2</v>
      </c>
      <c r="G849" s="3">
        <f t="shared" si="46"/>
        <v>7</v>
      </c>
      <c r="H849" s="2" t="s">
        <v>12</v>
      </c>
      <c r="I849" s="3"/>
    </row>
    <row r="850" spans="1:9" x14ac:dyDescent="0.25">
      <c r="A850" s="2">
        <v>848</v>
      </c>
      <c r="B850" s="2">
        <v>416</v>
      </c>
      <c r="C850" s="2">
        <v>10</v>
      </c>
      <c r="D850" s="4">
        <f t="shared" si="44"/>
        <v>422</v>
      </c>
      <c r="E850" s="5">
        <f t="shared" si="45"/>
        <v>0.49764150943396224</v>
      </c>
      <c r="F850" s="2">
        <v>2</v>
      </c>
      <c r="G850" s="3">
        <f t="shared" si="46"/>
        <v>8</v>
      </c>
      <c r="H850" s="2" t="s">
        <v>12</v>
      </c>
      <c r="I850" s="3"/>
    </row>
    <row r="851" spans="1:9" x14ac:dyDescent="0.25">
      <c r="A851" s="2">
        <v>849</v>
      </c>
      <c r="B851" s="2">
        <v>564</v>
      </c>
      <c r="C851" s="2">
        <v>4</v>
      </c>
      <c r="D851" s="4">
        <f t="shared" si="44"/>
        <v>281</v>
      </c>
      <c r="E851" s="5">
        <f t="shared" si="45"/>
        <v>0.33097762073027093</v>
      </c>
      <c r="F851" s="2">
        <v>2</v>
      </c>
      <c r="G851" s="3">
        <f t="shared" si="46"/>
        <v>9</v>
      </c>
      <c r="H851" s="2" t="s">
        <v>12</v>
      </c>
      <c r="I851" s="3"/>
    </row>
    <row r="852" spans="1:9" x14ac:dyDescent="0.25">
      <c r="A852" s="2">
        <v>850</v>
      </c>
      <c r="B852" s="2">
        <v>320</v>
      </c>
      <c r="C852" s="2">
        <v>12</v>
      </c>
      <c r="D852" s="4">
        <f t="shared" si="44"/>
        <v>518</v>
      </c>
      <c r="E852" s="5">
        <f t="shared" si="45"/>
        <v>0.60941176470588232</v>
      </c>
      <c r="F852" s="2">
        <v>3</v>
      </c>
      <c r="G852" s="3">
        <f t="shared" si="46"/>
        <v>10</v>
      </c>
      <c r="H852" s="2" t="s">
        <v>12</v>
      </c>
      <c r="I852" s="3"/>
    </row>
    <row r="853" spans="1:9" x14ac:dyDescent="0.25">
      <c r="A853" s="2">
        <v>851</v>
      </c>
      <c r="B853" s="2">
        <v>792</v>
      </c>
      <c r="C853" s="2">
        <v>4</v>
      </c>
      <c r="D853" s="4">
        <f t="shared" si="44"/>
        <v>55</v>
      </c>
      <c r="E853" s="5">
        <f t="shared" si="45"/>
        <v>6.4629847238542884E-2</v>
      </c>
      <c r="F853" s="2">
        <v>2</v>
      </c>
      <c r="G853" s="3">
        <f t="shared" si="46"/>
        <v>11</v>
      </c>
      <c r="H853" s="2" t="s">
        <v>12</v>
      </c>
      <c r="I853" s="3"/>
    </row>
    <row r="854" spans="1:9" x14ac:dyDescent="0.25">
      <c r="A854" s="2">
        <v>852</v>
      </c>
      <c r="B854" s="2">
        <v>280</v>
      </c>
      <c r="C854" s="2">
        <v>12</v>
      </c>
      <c r="D854" s="4">
        <f t="shared" si="44"/>
        <v>560</v>
      </c>
      <c r="E854" s="5">
        <f t="shared" si="45"/>
        <v>0.65727699530516437</v>
      </c>
      <c r="F854" s="2">
        <v>3</v>
      </c>
      <c r="G854" s="3">
        <f t="shared" si="46"/>
        <v>12</v>
      </c>
      <c r="H854" s="2" t="s">
        <v>12</v>
      </c>
      <c r="I854" s="3"/>
    </row>
    <row r="855" spans="1:9" x14ac:dyDescent="0.25">
      <c r="A855" s="2">
        <v>853</v>
      </c>
      <c r="B855" s="2">
        <v>852</v>
      </c>
      <c r="C855" s="2">
        <v>2</v>
      </c>
      <c r="D855" s="4">
        <f t="shared" si="44"/>
        <v>-1</v>
      </c>
      <c r="E855" s="5">
        <f t="shared" si="45"/>
        <v>-1.1723329425556857E-3</v>
      </c>
      <c r="F855" s="2">
        <v>1</v>
      </c>
      <c r="G855" s="3">
        <f t="shared" si="46"/>
        <v>13</v>
      </c>
      <c r="H855" s="2" t="s">
        <v>11</v>
      </c>
      <c r="I855" s="3">
        <v>-1</v>
      </c>
    </row>
    <row r="856" spans="1:9" x14ac:dyDescent="0.25">
      <c r="A856" s="2">
        <v>854</v>
      </c>
      <c r="B856" s="2">
        <v>360</v>
      </c>
      <c r="C856" s="2">
        <v>8</v>
      </c>
      <c r="D856" s="4">
        <f t="shared" si="44"/>
        <v>486</v>
      </c>
      <c r="E856" s="5">
        <f t="shared" si="45"/>
        <v>0.56908665105386413</v>
      </c>
      <c r="F856" s="2">
        <v>3</v>
      </c>
      <c r="G856" s="3">
        <f t="shared" si="46"/>
        <v>14</v>
      </c>
      <c r="H856" s="2" t="s">
        <v>12</v>
      </c>
      <c r="I856" s="3"/>
    </row>
    <row r="857" spans="1:9" x14ac:dyDescent="0.25">
      <c r="A857" s="2">
        <v>855</v>
      </c>
      <c r="B857" s="2">
        <v>432</v>
      </c>
      <c r="C857" s="2">
        <v>12</v>
      </c>
      <c r="D857" s="4">
        <f t="shared" si="44"/>
        <v>411</v>
      </c>
      <c r="E857" s="5">
        <f t="shared" si="45"/>
        <v>0.48070175438596491</v>
      </c>
      <c r="F857" s="2">
        <v>3</v>
      </c>
      <c r="G857" s="3">
        <f t="shared" si="46"/>
        <v>15</v>
      </c>
      <c r="H857" s="2" t="s">
        <v>12</v>
      </c>
      <c r="I857" s="3"/>
    </row>
    <row r="858" spans="1:9" x14ac:dyDescent="0.25">
      <c r="A858" s="2">
        <v>856</v>
      </c>
      <c r="B858" s="2">
        <v>424</v>
      </c>
      <c r="C858" s="2">
        <v>8</v>
      </c>
      <c r="D858" s="4">
        <f t="shared" si="44"/>
        <v>424</v>
      </c>
      <c r="E858" s="5">
        <f t="shared" si="45"/>
        <v>0.49532710280373832</v>
      </c>
      <c r="F858" s="2">
        <v>2</v>
      </c>
      <c r="G858" s="3">
        <f t="shared" si="46"/>
        <v>16</v>
      </c>
      <c r="H858" s="2" t="s">
        <v>12</v>
      </c>
      <c r="I858" s="3"/>
    </row>
    <row r="859" spans="1:9" x14ac:dyDescent="0.25">
      <c r="A859" s="2">
        <v>857</v>
      </c>
      <c r="B859" s="2">
        <v>856</v>
      </c>
      <c r="C859" s="2">
        <v>2</v>
      </c>
      <c r="D859" s="4">
        <f t="shared" si="44"/>
        <v>-1</v>
      </c>
      <c r="E859" s="5">
        <f t="shared" si="45"/>
        <v>-1.1668611435239206E-3</v>
      </c>
      <c r="F859" s="2">
        <v>1</v>
      </c>
      <c r="G859" s="3">
        <f t="shared" si="46"/>
        <v>17</v>
      </c>
      <c r="H859" s="2" t="s">
        <v>11</v>
      </c>
      <c r="I859" s="3">
        <v>-1</v>
      </c>
    </row>
    <row r="860" spans="1:9" x14ac:dyDescent="0.25">
      <c r="A860" s="2">
        <v>858</v>
      </c>
      <c r="B860" s="2">
        <v>240</v>
      </c>
      <c r="C860" s="2">
        <v>16</v>
      </c>
      <c r="D860" s="4">
        <f t="shared" si="44"/>
        <v>602</v>
      </c>
      <c r="E860" s="5">
        <f t="shared" si="45"/>
        <v>0.70163170163170163</v>
      </c>
      <c r="F860" s="2">
        <v>4</v>
      </c>
      <c r="G860" s="3">
        <f t="shared" si="46"/>
        <v>18</v>
      </c>
      <c r="H860" s="2" t="s">
        <v>12</v>
      </c>
      <c r="I860" s="3"/>
    </row>
    <row r="861" spans="1:9" x14ac:dyDescent="0.25">
      <c r="A861" s="2">
        <v>859</v>
      </c>
      <c r="B861" s="2">
        <v>858</v>
      </c>
      <c r="C861" s="2">
        <v>2</v>
      </c>
      <c r="D861" s="4">
        <f t="shared" si="44"/>
        <v>-1</v>
      </c>
      <c r="E861" s="5">
        <f t="shared" si="45"/>
        <v>-1.1641443538998836E-3</v>
      </c>
      <c r="F861" s="2">
        <v>1</v>
      </c>
      <c r="G861" s="3">
        <f t="shared" si="46"/>
        <v>19</v>
      </c>
      <c r="H861" s="2" t="s">
        <v>11</v>
      </c>
      <c r="I861" s="3">
        <v>-1</v>
      </c>
    </row>
    <row r="862" spans="1:9" x14ac:dyDescent="0.25">
      <c r="A862" s="2">
        <v>860</v>
      </c>
      <c r="B862" s="2">
        <v>336</v>
      </c>
      <c r="C862" s="2">
        <v>12</v>
      </c>
      <c r="D862" s="4">
        <f t="shared" si="44"/>
        <v>512</v>
      </c>
      <c r="E862" s="5">
        <f t="shared" si="45"/>
        <v>0.59534883720930232</v>
      </c>
      <c r="F862" s="2">
        <v>3</v>
      </c>
      <c r="G862" s="3">
        <f t="shared" si="46"/>
        <v>20</v>
      </c>
      <c r="H862" s="2" t="s">
        <v>12</v>
      </c>
      <c r="I862" s="3"/>
    </row>
    <row r="863" spans="1:9" x14ac:dyDescent="0.25">
      <c r="A863" s="2">
        <v>861</v>
      </c>
      <c r="B863" s="2">
        <v>480</v>
      </c>
      <c r="C863" s="2">
        <v>8</v>
      </c>
      <c r="D863" s="4">
        <f t="shared" si="44"/>
        <v>373</v>
      </c>
      <c r="E863" s="5">
        <f t="shared" si="45"/>
        <v>0.43321718931475028</v>
      </c>
      <c r="F863" s="2">
        <v>3</v>
      </c>
      <c r="G863" s="3">
        <f t="shared" si="46"/>
        <v>21</v>
      </c>
      <c r="H863" s="2" t="s">
        <v>12</v>
      </c>
      <c r="I863" s="3"/>
    </row>
    <row r="864" spans="1:9" x14ac:dyDescent="0.25">
      <c r="A864" s="2">
        <v>862</v>
      </c>
      <c r="B864" s="2">
        <v>430</v>
      </c>
      <c r="C864" s="2">
        <v>4</v>
      </c>
      <c r="D864" s="4">
        <f t="shared" si="44"/>
        <v>428</v>
      </c>
      <c r="E864" s="5">
        <f t="shared" si="45"/>
        <v>0.49651972157772623</v>
      </c>
      <c r="F864" s="2">
        <v>2</v>
      </c>
      <c r="G864" s="3">
        <f t="shared" si="46"/>
        <v>22</v>
      </c>
      <c r="H864" s="2" t="s">
        <v>12</v>
      </c>
      <c r="I864" s="3"/>
    </row>
    <row r="865" spans="1:9" x14ac:dyDescent="0.25">
      <c r="A865" s="2">
        <v>863</v>
      </c>
      <c r="B865" s="2">
        <v>862</v>
      </c>
      <c r="C865" s="2">
        <v>2</v>
      </c>
      <c r="D865" s="4">
        <f t="shared" si="44"/>
        <v>-1</v>
      </c>
      <c r="E865" s="5">
        <f t="shared" si="45"/>
        <v>-1.1587485515643105E-3</v>
      </c>
      <c r="F865" s="2">
        <v>1</v>
      </c>
      <c r="G865" s="3">
        <f t="shared" si="46"/>
        <v>23</v>
      </c>
      <c r="H865" s="2" t="s">
        <v>11</v>
      </c>
      <c r="I865" s="3">
        <v>-1</v>
      </c>
    </row>
    <row r="866" spans="1:9" x14ac:dyDescent="0.25">
      <c r="A866" s="2">
        <v>864</v>
      </c>
      <c r="B866" s="2">
        <v>288</v>
      </c>
      <c r="C866" s="2">
        <v>24</v>
      </c>
      <c r="D866" s="4">
        <f t="shared" si="44"/>
        <v>552</v>
      </c>
      <c r="E866" s="5">
        <f t="shared" si="45"/>
        <v>0.63888888888888884</v>
      </c>
      <c r="F866" s="2">
        <v>2</v>
      </c>
      <c r="G866" s="3">
        <f t="shared" si="46"/>
        <v>24</v>
      </c>
      <c r="H866" s="2" t="s">
        <v>12</v>
      </c>
      <c r="I866" s="3"/>
    </row>
    <row r="867" spans="1:9" x14ac:dyDescent="0.25">
      <c r="A867" s="2">
        <v>865</v>
      </c>
      <c r="B867" s="2">
        <v>688</v>
      </c>
      <c r="C867" s="2">
        <v>4</v>
      </c>
      <c r="D867" s="4">
        <f t="shared" si="44"/>
        <v>173</v>
      </c>
      <c r="E867" s="5">
        <f t="shared" si="45"/>
        <v>0.2</v>
      </c>
      <c r="F867" s="2">
        <v>2</v>
      </c>
      <c r="G867" s="3">
        <f t="shared" si="46"/>
        <v>25</v>
      </c>
      <c r="H867" s="2" t="s">
        <v>12</v>
      </c>
      <c r="I867" s="3"/>
    </row>
    <row r="868" spans="1:9" x14ac:dyDescent="0.25">
      <c r="A868" s="2">
        <v>866</v>
      </c>
      <c r="B868" s="2">
        <v>432</v>
      </c>
      <c r="C868" s="2">
        <v>4</v>
      </c>
      <c r="D868" s="4">
        <f t="shared" si="44"/>
        <v>430</v>
      </c>
      <c r="E868" s="5">
        <f t="shared" si="45"/>
        <v>0.49653579676674364</v>
      </c>
      <c r="F868" s="2">
        <v>2</v>
      </c>
      <c r="G868" s="3">
        <f t="shared" si="46"/>
        <v>26</v>
      </c>
      <c r="H868" s="2" t="s">
        <v>12</v>
      </c>
      <c r="I868" s="3"/>
    </row>
    <row r="869" spans="1:9" x14ac:dyDescent="0.25">
      <c r="A869" s="2">
        <v>867</v>
      </c>
      <c r="B869" s="2">
        <v>544</v>
      </c>
      <c r="C869" s="2">
        <v>6</v>
      </c>
      <c r="D869" s="4">
        <f t="shared" si="44"/>
        <v>317</v>
      </c>
      <c r="E869" s="5">
        <f t="shared" si="45"/>
        <v>0.36562860438292966</v>
      </c>
      <c r="F869" s="2">
        <v>2</v>
      </c>
      <c r="G869" s="3">
        <f t="shared" si="46"/>
        <v>27</v>
      </c>
      <c r="H869" s="2" t="s">
        <v>12</v>
      </c>
      <c r="I869" s="3"/>
    </row>
    <row r="870" spans="1:9" x14ac:dyDescent="0.25">
      <c r="A870" s="2">
        <v>868</v>
      </c>
      <c r="B870" s="2">
        <v>360</v>
      </c>
      <c r="C870" s="2">
        <v>12</v>
      </c>
      <c r="D870" s="4">
        <f t="shared" si="44"/>
        <v>496</v>
      </c>
      <c r="E870" s="5">
        <f t="shared" si="45"/>
        <v>0.5714285714285714</v>
      </c>
      <c r="F870" s="2">
        <v>3</v>
      </c>
      <c r="G870" s="3">
        <f t="shared" si="46"/>
        <v>28</v>
      </c>
      <c r="H870" s="2" t="s">
        <v>12</v>
      </c>
      <c r="I870" s="3"/>
    </row>
    <row r="871" spans="1:9" x14ac:dyDescent="0.25">
      <c r="A871" s="2">
        <v>869</v>
      </c>
      <c r="B871" s="2">
        <v>780</v>
      </c>
      <c r="C871" s="2">
        <v>4</v>
      </c>
      <c r="D871" s="4">
        <f t="shared" si="44"/>
        <v>85</v>
      </c>
      <c r="E871" s="5">
        <f t="shared" si="45"/>
        <v>9.7813578826237049E-2</v>
      </c>
      <c r="F871" s="2">
        <v>2</v>
      </c>
      <c r="G871" s="3">
        <f t="shared" si="46"/>
        <v>29</v>
      </c>
      <c r="H871" s="2" t="s">
        <v>12</v>
      </c>
      <c r="I871" s="3"/>
    </row>
    <row r="872" spans="1:9" x14ac:dyDescent="0.25">
      <c r="A872" s="2">
        <v>870</v>
      </c>
      <c r="B872" s="2">
        <v>224</v>
      </c>
      <c r="C872" s="2">
        <v>16</v>
      </c>
      <c r="D872" s="4">
        <f t="shared" si="44"/>
        <v>630</v>
      </c>
      <c r="E872" s="5">
        <f t="shared" si="45"/>
        <v>0.72413793103448276</v>
      </c>
      <c r="F872" s="2">
        <v>4</v>
      </c>
      <c r="G872" s="3">
        <f t="shared" si="46"/>
        <v>0</v>
      </c>
      <c r="H872" s="2" t="s">
        <v>12</v>
      </c>
      <c r="I872" s="3"/>
    </row>
    <row r="873" spans="1:9" x14ac:dyDescent="0.25">
      <c r="A873" s="2">
        <v>871</v>
      </c>
      <c r="B873" s="2">
        <v>792</v>
      </c>
      <c r="C873" s="2">
        <v>4</v>
      </c>
      <c r="D873" s="4">
        <f t="shared" si="44"/>
        <v>75</v>
      </c>
      <c r="E873" s="5">
        <f t="shared" si="45"/>
        <v>8.6107921928817457E-2</v>
      </c>
      <c r="F873" s="2">
        <v>2</v>
      </c>
      <c r="G873" s="3">
        <f t="shared" si="46"/>
        <v>1</v>
      </c>
      <c r="H873" s="2" t="s">
        <v>12</v>
      </c>
      <c r="I873" s="3"/>
    </row>
    <row r="874" spans="1:9" x14ac:dyDescent="0.25">
      <c r="A874" s="2">
        <v>872</v>
      </c>
      <c r="B874" s="2">
        <v>432</v>
      </c>
      <c r="C874" s="2">
        <v>8</v>
      </c>
      <c r="D874" s="4">
        <f t="shared" si="44"/>
        <v>432</v>
      </c>
      <c r="E874" s="5">
        <f t="shared" si="45"/>
        <v>0.49541284403669728</v>
      </c>
      <c r="F874" s="2">
        <v>2</v>
      </c>
      <c r="G874" s="3">
        <f t="shared" si="46"/>
        <v>2</v>
      </c>
      <c r="H874" s="2" t="s">
        <v>12</v>
      </c>
      <c r="I874" s="3"/>
    </row>
    <row r="875" spans="1:9" x14ac:dyDescent="0.25">
      <c r="A875" s="2">
        <v>873</v>
      </c>
      <c r="B875" s="2">
        <v>576</v>
      </c>
      <c r="C875" s="2">
        <v>6</v>
      </c>
      <c r="D875" s="4">
        <f t="shared" si="44"/>
        <v>291</v>
      </c>
      <c r="E875" s="5">
        <f t="shared" si="45"/>
        <v>0.33333333333333331</v>
      </c>
      <c r="F875" s="2">
        <v>2</v>
      </c>
      <c r="G875" s="3">
        <f t="shared" si="46"/>
        <v>3</v>
      </c>
      <c r="H875" s="2" t="s">
        <v>12</v>
      </c>
      <c r="I875" s="3"/>
    </row>
    <row r="876" spans="1:9" x14ac:dyDescent="0.25">
      <c r="A876" s="2">
        <v>874</v>
      </c>
      <c r="B876" s="2">
        <v>396</v>
      </c>
      <c r="C876" s="2">
        <v>8</v>
      </c>
      <c r="D876" s="4">
        <f t="shared" si="44"/>
        <v>470</v>
      </c>
      <c r="E876" s="5">
        <f t="shared" si="45"/>
        <v>0.53775743707093826</v>
      </c>
      <c r="F876" s="2">
        <v>3</v>
      </c>
      <c r="G876" s="3">
        <f t="shared" si="46"/>
        <v>4</v>
      </c>
      <c r="H876" s="2" t="s">
        <v>12</v>
      </c>
      <c r="I876" s="3"/>
    </row>
    <row r="877" spans="1:9" x14ac:dyDescent="0.25">
      <c r="A877" s="2">
        <v>875</v>
      </c>
      <c r="B877" s="2">
        <v>600</v>
      </c>
      <c r="C877" s="2">
        <v>8</v>
      </c>
      <c r="D877" s="4">
        <f t="shared" si="44"/>
        <v>267</v>
      </c>
      <c r="E877" s="5">
        <f t="shared" si="45"/>
        <v>0.30514285714285716</v>
      </c>
      <c r="F877" s="2">
        <v>2</v>
      </c>
      <c r="G877" s="3">
        <f t="shared" si="46"/>
        <v>5</v>
      </c>
      <c r="H877" s="2" t="s">
        <v>12</v>
      </c>
      <c r="I877" s="3"/>
    </row>
    <row r="878" spans="1:9" x14ac:dyDescent="0.25">
      <c r="A878" s="2">
        <v>876</v>
      </c>
      <c r="B878" s="2">
        <v>288</v>
      </c>
      <c r="C878" s="2">
        <v>12</v>
      </c>
      <c r="D878" s="4">
        <f t="shared" si="44"/>
        <v>576</v>
      </c>
      <c r="E878" s="5">
        <f t="shared" si="45"/>
        <v>0.65753424657534243</v>
      </c>
      <c r="F878" s="2">
        <v>3</v>
      </c>
      <c r="G878" s="3">
        <f t="shared" si="46"/>
        <v>6</v>
      </c>
      <c r="H878" s="2" t="s">
        <v>12</v>
      </c>
      <c r="I878" s="3"/>
    </row>
    <row r="879" spans="1:9" x14ac:dyDescent="0.25">
      <c r="A879" s="2">
        <v>877</v>
      </c>
      <c r="B879" s="2">
        <v>876</v>
      </c>
      <c r="C879" s="2">
        <v>2</v>
      </c>
      <c r="D879" s="4">
        <f t="shared" si="44"/>
        <v>-1</v>
      </c>
      <c r="E879" s="5">
        <f t="shared" si="45"/>
        <v>-1.1402508551881414E-3</v>
      </c>
      <c r="F879" s="2">
        <v>1</v>
      </c>
      <c r="G879" s="3">
        <f t="shared" si="46"/>
        <v>7</v>
      </c>
      <c r="H879" s="2" t="s">
        <v>11</v>
      </c>
      <c r="I879" s="3">
        <v>-1</v>
      </c>
    </row>
    <row r="880" spans="1:9" x14ac:dyDescent="0.25">
      <c r="A880" s="2">
        <v>878</v>
      </c>
      <c r="B880" s="2">
        <v>438</v>
      </c>
      <c r="C880" s="2">
        <v>4</v>
      </c>
      <c r="D880" s="4">
        <f t="shared" si="44"/>
        <v>436</v>
      </c>
      <c r="E880" s="5">
        <f t="shared" si="45"/>
        <v>0.49658314350797267</v>
      </c>
      <c r="F880" s="2">
        <v>2</v>
      </c>
      <c r="G880" s="3">
        <f t="shared" si="46"/>
        <v>8</v>
      </c>
      <c r="H880" s="2" t="s">
        <v>12</v>
      </c>
      <c r="I880" s="3"/>
    </row>
    <row r="881" spans="1:9" x14ac:dyDescent="0.25">
      <c r="A881" s="2">
        <v>879</v>
      </c>
      <c r="B881" s="2">
        <v>584</v>
      </c>
      <c r="C881" s="2">
        <v>4</v>
      </c>
      <c r="D881" s="4">
        <f t="shared" si="44"/>
        <v>291</v>
      </c>
      <c r="E881" s="5">
        <f t="shared" si="45"/>
        <v>0.33105802047781568</v>
      </c>
      <c r="F881" s="2">
        <v>2</v>
      </c>
      <c r="G881" s="3">
        <f t="shared" si="46"/>
        <v>9</v>
      </c>
      <c r="H881" s="2" t="s">
        <v>12</v>
      </c>
      <c r="I881" s="3"/>
    </row>
    <row r="882" spans="1:9" x14ac:dyDescent="0.25">
      <c r="A882" s="2">
        <v>880</v>
      </c>
      <c r="B882" s="2">
        <v>320</v>
      </c>
      <c r="C882" s="2">
        <v>20</v>
      </c>
      <c r="D882" s="4">
        <f t="shared" si="44"/>
        <v>540</v>
      </c>
      <c r="E882" s="5">
        <f t="shared" si="45"/>
        <v>0.61363636363636365</v>
      </c>
      <c r="F882" s="2">
        <v>3</v>
      </c>
      <c r="G882" s="3">
        <f t="shared" si="46"/>
        <v>10</v>
      </c>
      <c r="H882" s="2" t="s">
        <v>12</v>
      </c>
      <c r="I882" s="3"/>
    </row>
    <row r="883" spans="1:9" x14ac:dyDescent="0.25">
      <c r="A883" s="2">
        <v>881</v>
      </c>
      <c r="B883" s="2">
        <v>880</v>
      </c>
      <c r="C883" s="2">
        <v>2</v>
      </c>
      <c r="D883" s="4">
        <f t="shared" si="44"/>
        <v>-1</v>
      </c>
      <c r="E883" s="5">
        <f t="shared" si="45"/>
        <v>-1.1350737797956867E-3</v>
      </c>
      <c r="F883" s="2">
        <v>1</v>
      </c>
      <c r="G883" s="3">
        <f t="shared" si="46"/>
        <v>11</v>
      </c>
      <c r="H883" s="2" t="s">
        <v>11</v>
      </c>
      <c r="I883" s="3">
        <v>-1</v>
      </c>
    </row>
    <row r="884" spans="1:9" x14ac:dyDescent="0.25">
      <c r="A884" s="2">
        <v>882</v>
      </c>
      <c r="B884" s="2">
        <v>252</v>
      </c>
      <c r="C884" s="2">
        <v>18</v>
      </c>
      <c r="D884" s="4">
        <f t="shared" si="44"/>
        <v>612</v>
      </c>
      <c r="E884" s="5">
        <f t="shared" si="45"/>
        <v>0.69387755102040816</v>
      </c>
      <c r="F884" s="2">
        <v>3</v>
      </c>
      <c r="G884" s="3">
        <f t="shared" si="46"/>
        <v>12</v>
      </c>
      <c r="H884" s="2" t="s">
        <v>12</v>
      </c>
      <c r="I884" s="3"/>
    </row>
    <row r="885" spans="1:9" x14ac:dyDescent="0.25">
      <c r="A885" s="2">
        <v>883</v>
      </c>
      <c r="B885" s="2">
        <v>882</v>
      </c>
      <c r="C885" s="2">
        <v>2</v>
      </c>
      <c r="D885" s="4">
        <f t="shared" si="44"/>
        <v>-1</v>
      </c>
      <c r="E885" s="5">
        <f t="shared" si="45"/>
        <v>-1.1325028312570782E-3</v>
      </c>
      <c r="F885" s="2">
        <v>1</v>
      </c>
      <c r="G885" s="3">
        <f t="shared" si="46"/>
        <v>13</v>
      </c>
      <c r="H885" s="2" t="s">
        <v>11</v>
      </c>
      <c r="I885" s="3">
        <v>-1</v>
      </c>
    </row>
    <row r="886" spans="1:9" x14ac:dyDescent="0.25">
      <c r="A886" s="2">
        <v>884</v>
      </c>
      <c r="B886" s="2">
        <v>384</v>
      </c>
      <c r="C886" s="2">
        <v>12</v>
      </c>
      <c r="D886" s="4">
        <f t="shared" si="44"/>
        <v>488</v>
      </c>
      <c r="E886" s="5">
        <f t="shared" si="45"/>
        <v>0.55203619909502266</v>
      </c>
      <c r="F886" s="2">
        <v>3</v>
      </c>
      <c r="G886" s="3">
        <f t="shared" si="46"/>
        <v>14</v>
      </c>
      <c r="H886" s="2" t="s">
        <v>12</v>
      </c>
      <c r="I886" s="3"/>
    </row>
    <row r="887" spans="1:9" x14ac:dyDescent="0.25">
      <c r="A887" s="2">
        <v>885</v>
      </c>
      <c r="B887" s="2">
        <v>464</v>
      </c>
      <c r="C887" s="2">
        <v>8</v>
      </c>
      <c r="D887" s="4">
        <f t="shared" si="44"/>
        <v>413</v>
      </c>
      <c r="E887" s="5">
        <f t="shared" si="45"/>
        <v>0.46666666666666667</v>
      </c>
      <c r="F887" s="2">
        <v>3</v>
      </c>
      <c r="G887" s="3">
        <f t="shared" si="46"/>
        <v>15</v>
      </c>
      <c r="H887" s="2" t="s">
        <v>12</v>
      </c>
      <c r="I887" s="3"/>
    </row>
    <row r="888" spans="1:9" x14ac:dyDescent="0.25">
      <c r="A888" s="2">
        <v>886</v>
      </c>
      <c r="B888" s="2">
        <v>442</v>
      </c>
      <c r="C888" s="2">
        <v>4</v>
      </c>
      <c r="D888" s="4">
        <f t="shared" si="44"/>
        <v>440</v>
      </c>
      <c r="E888" s="5">
        <f t="shared" si="45"/>
        <v>0.49661399548532731</v>
      </c>
      <c r="F888" s="2">
        <v>2</v>
      </c>
      <c r="G888" s="3">
        <f t="shared" si="46"/>
        <v>16</v>
      </c>
      <c r="H888" s="2" t="s">
        <v>12</v>
      </c>
      <c r="I888" s="3"/>
    </row>
    <row r="889" spans="1:9" x14ac:dyDescent="0.25">
      <c r="A889" s="2">
        <v>887</v>
      </c>
      <c r="B889" s="2">
        <v>886</v>
      </c>
      <c r="C889" s="2">
        <v>2</v>
      </c>
      <c r="D889" s="4">
        <f t="shared" si="44"/>
        <v>-1</v>
      </c>
      <c r="E889" s="5">
        <f t="shared" si="45"/>
        <v>-1.1273957158962795E-3</v>
      </c>
      <c r="F889" s="2">
        <v>1</v>
      </c>
      <c r="G889" s="3">
        <f t="shared" si="46"/>
        <v>17</v>
      </c>
      <c r="H889" s="2" t="s">
        <v>11</v>
      </c>
      <c r="I889" s="3">
        <v>-1</v>
      </c>
    </row>
    <row r="890" spans="1:9" x14ac:dyDescent="0.25">
      <c r="A890" s="2">
        <v>888</v>
      </c>
      <c r="B890" s="2">
        <v>288</v>
      </c>
      <c r="C890" s="2">
        <v>16</v>
      </c>
      <c r="D890" s="4">
        <f t="shared" si="44"/>
        <v>584</v>
      </c>
      <c r="E890" s="5">
        <f t="shared" si="45"/>
        <v>0.65765765765765771</v>
      </c>
      <c r="F890" s="2">
        <v>3</v>
      </c>
      <c r="G890" s="3">
        <f t="shared" si="46"/>
        <v>18</v>
      </c>
      <c r="H890" s="2" t="s">
        <v>12</v>
      </c>
      <c r="I890" s="3"/>
    </row>
    <row r="891" spans="1:9" x14ac:dyDescent="0.25">
      <c r="A891" s="2">
        <v>889</v>
      </c>
      <c r="B891" s="2">
        <v>756</v>
      </c>
      <c r="C891" s="2">
        <v>4</v>
      </c>
      <c r="D891" s="4">
        <f t="shared" si="44"/>
        <v>129</v>
      </c>
      <c r="E891" s="5">
        <f t="shared" si="45"/>
        <v>0.14510686164229472</v>
      </c>
      <c r="F891" s="2">
        <v>2</v>
      </c>
      <c r="G891" s="3">
        <f t="shared" si="46"/>
        <v>19</v>
      </c>
      <c r="H891" s="2" t="s">
        <v>12</v>
      </c>
      <c r="I891" s="3"/>
    </row>
    <row r="892" spans="1:9" x14ac:dyDescent="0.25">
      <c r="A892" s="2">
        <v>890</v>
      </c>
      <c r="B892" s="2">
        <v>352</v>
      </c>
      <c r="C892" s="2">
        <v>8</v>
      </c>
      <c r="D892" s="4">
        <f t="shared" si="44"/>
        <v>530</v>
      </c>
      <c r="E892" s="5">
        <f t="shared" si="45"/>
        <v>0.5955056179775281</v>
      </c>
      <c r="F892" s="2">
        <v>3</v>
      </c>
      <c r="G892" s="3">
        <f t="shared" si="46"/>
        <v>20</v>
      </c>
      <c r="H892" s="2" t="s">
        <v>12</v>
      </c>
      <c r="I892" s="3"/>
    </row>
    <row r="893" spans="1:9" x14ac:dyDescent="0.25">
      <c r="A893" s="2">
        <v>891</v>
      </c>
      <c r="B893" s="2">
        <v>540</v>
      </c>
      <c r="C893" s="2">
        <v>10</v>
      </c>
      <c r="D893" s="4">
        <f t="shared" si="44"/>
        <v>341</v>
      </c>
      <c r="E893" s="5">
        <f t="shared" si="45"/>
        <v>0.38271604938271603</v>
      </c>
      <c r="F893" s="2">
        <v>2</v>
      </c>
      <c r="G893" s="3">
        <f t="shared" si="46"/>
        <v>21</v>
      </c>
      <c r="H893" s="2" t="s">
        <v>12</v>
      </c>
      <c r="I893" s="3"/>
    </row>
    <row r="894" spans="1:9" x14ac:dyDescent="0.25">
      <c r="A894" s="2">
        <v>892</v>
      </c>
      <c r="B894" s="2">
        <v>444</v>
      </c>
      <c r="C894" s="2">
        <v>6</v>
      </c>
      <c r="D894" s="4">
        <f t="shared" si="44"/>
        <v>442</v>
      </c>
      <c r="E894" s="5">
        <f t="shared" si="45"/>
        <v>0.49551569506726456</v>
      </c>
      <c r="F894" s="2">
        <v>2</v>
      </c>
      <c r="G894" s="3">
        <f t="shared" si="46"/>
        <v>22</v>
      </c>
      <c r="H894" s="2" t="s">
        <v>12</v>
      </c>
      <c r="I894" s="3"/>
    </row>
    <row r="895" spans="1:9" x14ac:dyDescent="0.25">
      <c r="A895" s="2">
        <v>893</v>
      </c>
      <c r="B895" s="2">
        <v>828</v>
      </c>
      <c r="C895" s="2">
        <v>4</v>
      </c>
      <c r="D895" s="4">
        <f t="shared" si="44"/>
        <v>61</v>
      </c>
      <c r="E895" s="5">
        <f t="shared" si="45"/>
        <v>6.83090705487122E-2</v>
      </c>
      <c r="F895" s="2">
        <v>2</v>
      </c>
      <c r="G895" s="3">
        <f t="shared" si="46"/>
        <v>23</v>
      </c>
      <c r="H895" s="2" t="s">
        <v>12</v>
      </c>
      <c r="I895" s="3"/>
    </row>
    <row r="896" spans="1:9" x14ac:dyDescent="0.25">
      <c r="A896" s="2">
        <v>894</v>
      </c>
      <c r="B896" s="2">
        <v>296</v>
      </c>
      <c r="C896" s="2">
        <v>8</v>
      </c>
      <c r="D896" s="4">
        <f t="shared" si="44"/>
        <v>590</v>
      </c>
      <c r="E896" s="5">
        <f t="shared" si="45"/>
        <v>0.65995525727069348</v>
      </c>
      <c r="F896" s="2">
        <v>3</v>
      </c>
      <c r="G896" s="3">
        <f t="shared" si="46"/>
        <v>24</v>
      </c>
      <c r="H896" s="2" t="s">
        <v>12</v>
      </c>
      <c r="I896" s="3"/>
    </row>
    <row r="897" spans="1:9" x14ac:dyDescent="0.25">
      <c r="A897" s="2">
        <v>895</v>
      </c>
      <c r="B897" s="2">
        <v>712</v>
      </c>
      <c r="C897" s="2">
        <v>4</v>
      </c>
      <c r="D897" s="4">
        <f t="shared" si="44"/>
        <v>179</v>
      </c>
      <c r="E897" s="5">
        <f t="shared" si="45"/>
        <v>0.2</v>
      </c>
      <c r="F897" s="2">
        <v>2</v>
      </c>
      <c r="G897" s="3">
        <f t="shared" si="46"/>
        <v>25</v>
      </c>
      <c r="H897" s="2" t="s">
        <v>12</v>
      </c>
      <c r="I897" s="3"/>
    </row>
    <row r="898" spans="1:9" x14ac:dyDescent="0.25">
      <c r="A898" s="2">
        <v>896</v>
      </c>
      <c r="B898" s="2">
        <v>384</v>
      </c>
      <c r="C898" s="2">
        <v>16</v>
      </c>
      <c r="D898" s="4">
        <f t="shared" si="44"/>
        <v>496</v>
      </c>
      <c r="E898" s="5">
        <f t="shared" si="45"/>
        <v>0.5535714285714286</v>
      </c>
      <c r="F898" s="2">
        <v>2</v>
      </c>
      <c r="G898" s="3">
        <f t="shared" si="46"/>
        <v>26</v>
      </c>
      <c r="H898" s="2" t="s">
        <v>12</v>
      </c>
      <c r="I898" s="3"/>
    </row>
    <row r="899" spans="1:9" x14ac:dyDescent="0.25">
      <c r="A899" s="2">
        <v>897</v>
      </c>
      <c r="B899" s="2">
        <v>528</v>
      </c>
      <c r="C899" s="2">
        <v>8</v>
      </c>
      <c r="D899" s="4">
        <f t="shared" ref="D899:D962" si="47">A899-B899-C899</f>
        <v>361</v>
      </c>
      <c r="E899" s="5">
        <f t="shared" ref="E899:E962" si="48">D899/A899</f>
        <v>0.40245261984392416</v>
      </c>
      <c r="F899" s="2">
        <v>3</v>
      </c>
      <c r="G899" s="3">
        <f t="shared" ref="G899:G962" si="49">MOD(A899,30)</f>
        <v>27</v>
      </c>
      <c r="H899" s="2" t="s">
        <v>12</v>
      </c>
      <c r="I899" s="3"/>
    </row>
    <row r="900" spans="1:9" x14ac:dyDescent="0.25">
      <c r="A900" s="2">
        <v>898</v>
      </c>
      <c r="B900" s="2">
        <v>448</v>
      </c>
      <c r="C900" s="2">
        <v>4</v>
      </c>
      <c r="D900" s="4">
        <f t="shared" si="47"/>
        <v>446</v>
      </c>
      <c r="E900" s="5">
        <f t="shared" si="48"/>
        <v>0.49665924276169265</v>
      </c>
      <c r="F900" s="2">
        <v>2</v>
      </c>
      <c r="G900" s="3">
        <f t="shared" si="49"/>
        <v>28</v>
      </c>
      <c r="H900" s="2" t="s">
        <v>12</v>
      </c>
      <c r="I900" s="3"/>
    </row>
    <row r="901" spans="1:9" x14ac:dyDescent="0.25">
      <c r="A901" s="2">
        <v>899</v>
      </c>
      <c r="B901" s="2">
        <v>840</v>
      </c>
      <c r="C901" s="2">
        <v>4</v>
      </c>
      <c r="D901" s="4">
        <f t="shared" si="47"/>
        <v>55</v>
      </c>
      <c r="E901" s="5">
        <f t="shared" si="48"/>
        <v>6.1179087875417128E-2</v>
      </c>
      <c r="F901" s="2">
        <v>2</v>
      </c>
      <c r="G901" s="3">
        <f t="shared" si="49"/>
        <v>29</v>
      </c>
      <c r="H901" s="2" t="s">
        <v>12</v>
      </c>
      <c r="I901" s="3"/>
    </row>
    <row r="902" spans="1:9" x14ac:dyDescent="0.25">
      <c r="A902" s="2">
        <v>900</v>
      </c>
      <c r="B902" s="2">
        <v>240</v>
      </c>
      <c r="C902" s="2">
        <v>27</v>
      </c>
      <c r="D902" s="4">
        <f t="shared" si="47"/>
        <v>633</v>
      </c>
      <c r="E902" s="5">
        <f t="shared" si="48"/>
        <v>0.70333333333333337</v>
      </c>
      <c r="F902" s="2">
        <v>3</v>
      </c>
      <c r="G902" s="3">
        <f t="shared" si="49"/>
        <v>0</v>
      </c>
      <c r="H902" s="2" t="s">
        <v>12</v>
      </c>
      <c r="I902" s="3"/>
    </row>
    <row r="903" spans="1:9" x14ac:dyDescent="0.25">
      <c r="A903" s="2">
        <v>901</v>
      </c>
      <c r="B903" s="2">
        <v>832</v>
      </c>
      <c r="C903" s="2">
        <v>4</v>
      </c>
      <c r="D903" s="4">
        <f t="shared" si="47"/>
        <v>65</v>
      </c>
      <c r="E903" s="5">
        <f t="shared" si="48"/>
        <v>7.2142064372918979E-2</v>
      </c>
      <c r="F903" s="2">
        <v>2</v>
      </c>
      <c r="G903" s="3">
        <f t="shared" si="49"/>
        <v>1</v>
      </c>
      <c r="H903" s="2" t="s">
        <v>12</v>
      </c>
      <c r="I903" s="3"/>
    </row>
    <row r="904" spans="1:9" x14ac:dyDescent="0.25">
      <c r="A904" s="2">
        <v>902</v>
      </c>
      <c r="B904" s="2">
        <v>400</v>
      </c>
      <c r="C904" s="2">
        <v>8</v>
      </c>
      <c r="D904" s="4">
        <f t="shared" si="47"/>
        <v>494</v>
      </c>
      <c r="E904" s="5">
        <f t="shared" si="48"/>
        <v>0.54767184035476724</v>
      </c>
      <c r="F904" s="2">
        <v>3</v>
      </c>
      <c r="G904" s="3">
        <f t="shared" si="49"/>
        <v>2</v>
      </c>
      <c r="H904" s="2" t="s">
        <v>12</v>
      </c>
      <c r="I904" s="3"/>
    </row>
    <row r="905" spans="1:9" x14ac:dyDescent="0.25">
      <c r="A905" s="2">
        <v>903</v>
      </c>
      <c r="B905" s="2">
        <v>504</v>
      </c>
      <c r="C905" s="2">
        <v>8</v>
      </c>
      <c r="D905" s="4">
        <f t="shared" si="47"/>
        <v>391</v>
      </c>
      <c r="E905" s="5">
        <f t="shared" si="48"/>
        <v>0.43300110741971209</v>
      </c>
      <c r="F905" s="2">
        <v>3</v>
      </c>
      <c r="G905" s="3">
        <f t="shared" si="49"/>
        <v>3</v>
      </c>
      <c r="H905" s="2" t="s">
        <v>12</v>
      </c>
      <c r="I905" s="3"/>
    </row>
    <row r="906" spans="1:9" x14ac:dyDescent="0.25">
      <c r="A906" s="2">
        <v>904</v>
      </c>
      <c r="B906" s="2">
        <v>448</v>
      </c>
      <c r="C906" s="2">
        <v>8</v>
      </c>
      <c r="D906" s="4">
        <f t="shared" si="47"/>
        <v>448</v>
      </c>
      <c r="E906" s="5">
        <f t="shared" si="48"/>
        <v>0.49557522123893805</v>
      </c>
      <c r="F906" s="2">
        <v>2</v>
      </c>
      <c r="G906" s="3">
        <f t="shared" si="49"/>
        <v>4</v>
      </c>
      <c r="H906" s="2" t="s">
        <v>12</v>
      </c>
      <c r="I906" s="3"/>
    </row>
    <row r="907" spans="1:9" x14ac:dyDescent="0.25">
      <c r="A907" s="2">
        <v>905</v>
      </c>
      <c r="B907" s="2">
        <v>720</v>
      </c>
      <c r="C907" s="2">
        <v>4</v>
      </c>
      <c r="D907" s="4">
        <f t="shared" si="47"/>
        <v>181</v>
      </c>
      <c r="E907" s="5">
        <f t="shared" si="48"/>
        <v>0.2</v>
      </c>
      <c r="F907" s="2">
        <v>2</v>
      </c>
      <c r="G907" s="3">
        <f t="shared" si="49"/>
        <v>5</v>
      </c>
      <c r="H907" s="2" t="s">
        <v>12</v>
      </c>
      <c r="I907" s="3"/>
    </row>
    <row r="908" spans="1:9" x14ac:dyDescent="0.25">
      <c r="A908" s="2">
        <v>906</v>
      </c>
      <c r="B908" s="2">
        <v>300</v>
      </c>
      <c r="C908" s="2">
        <v>8</v>
      </c>
      <c r="D908" s="4">
        <f t="shared" si="47"/>
        <v>598</v>
      </c>
      <c r="E908" s="5">
        <f t="shared" si="48"/>
        <v>0.66004415011037532</v>
      </c>
      <c r="F908" s="2">
        <v>3</v>
      </c>
      <c r="G908" s="3">
        <f t="shared" si="49"/>
        <v>6</v>
      </c>
      <c r="H908" s="2" t="s">
        <v>12</v>
      </c>
      <c r="I908" s="3"/>
    </row>
    <row r="909" spans="1:9" x14ac:dyDescent="0.25">
      <c r="A909" s="2">
        <v>907</v>
      </c>
      <c r="B909" s="2">
        <v>906</v>
      </c>
      <c r="C909" s="2">
        <v>2</v>
      </c>
      <c r="D909" s="4">
        <f t="shared" si="47"/>
        <v>-1</v>
      </c>
      <c r="E909" s="5">
        <f t="shared" si="48"/>
        <v>-1.1025358324145535E-3</v>
      </c>
      <c r="F909" s="2">
        <v>1</v>
      </c>
      <c r="G909" s="3">
        <f t="shared" si="49"/>
        <v>7</v>
      </c>
      <c r="H909" s="2" t="s">
        <v>11</v>
      </c>
      <c r="I909" s="3">
        <v>-1</v>
      </c>
    </row>
    <row r="910" spans="1:9" x14ac:dyDescent="0.25">
      <c r="A910" s="2">
        <v>908</v>
      </c>
      <c r="B910" s="2">
        <v>452</v>
      </c>
      <c r="C910" s="2">
        <v>6</v>
      </c>
      <c r="D910" s="4">
        <f t="shared" si="47"/>
        <v>450</v>
      </c>
      <c r="E910" s="5">
        <f t="shared" si="48"/>
        <v>0.49559471365638769</v>
      </c>
      <c r="F910" s="2">
        <v>2</v>
      </c>
      <c r="G910" s="3">
        <f t="shared" si="49"/>
        <v>8</v>
      </c>
      <c r="H910" s="2" t="s">
        <v>12</v>
      </c>
      <c r="I910" s="3"/>
    </row>
    <row r="911" spans="1:9" x14ac:dyDescent="0.25">
      <c r="A911" s="2">
        <v>909</v>
      </c>
      <c r="B911" s="2">
        <v>600</v>
      </c>
      <c r="C911" s="2">
        <v>6</v>
      </c>
      <c r="D911" s="4">
        <f t="shared" si="47"/>
        <v>303</v>
      </c>
      <c r="E911" s="5">
        <f t="shared" si="48"/>
        <v>0.33333333333333331</v>
      </c>
      <c r="F911" s="2">
        <v>2</v>
      </c>
      <c r="G911" s="3">
        <f t="shared" si="49"/>
        <v>9</v>
      </c>
      <c r="H911" s="2" t="s">
        <v>12</v>
      </c>
      <c r="I911" s="3"/>
    </row>
    <row r="912" spans="1:9" x14ac:dyDescent="0.25">
      <c r="A912" s="2">
        <v>910</v>
      </c>
      <c r="B912" s="2">
        <v>288</v>
      </c>
      <c r="C912" s="2">
        <v>16</v>
      </c>
      <c r="D912" s="4">
        <f t="shared" si="47"/>
        <v>606</v>
      </c>
      <c r="E912" s="5">
        <f t="shared" si="48"/>
        <v>0.6659340659340659</v>
      </c>
      <c r="F912" s="2">
        <v>4</v>
      </c>
      <c r="G912" s="3">
        <f t="shared" si="49"/>
        <v>10</v>
      </c>
      <c r="H912" s="2" t="s">
        <v>12</v>
      </c>
      <c r="I912" s="3"/>
    </row>
    <row r="913" spans="1:9" x14ac:dyDescent="0.25">
      <c r="A913" s="2">
        <v>911</v>
      </c>
      <c r="B913" s="2">
        <v>910</v>
      </c>
      <c r="C913" s="2">
        <v>2</v>
      </c>
      <c r="D913" s="4">
        <f t="shared" si="47"/>
        <v>-1</v>
      </c>
      <c r="E913" s="5">
        <f t="shared" si="48"/>
        <v>-1.0976948408342481E-3</v>
      </c>
      <c r="F913" s="2">
        <v>1</v>
      </c>
      <c r="G913" s="3">
        <f t="shared" si="49"/>
        <v>11</v>
      </c>
      <c r="H913" s="2" t="s">
        <v>11</v>
      </c>
      <c r="I913" s="3">
        <v>-1</v>
      </c>
    </row>
    <row r="914" spans="1:9" x14ac:dyDescent="0.25">
      <c r="A914" s="2">
        <v>912</v>
      </c>
      <c r="B914" s="2">
        <v>288</v>
      </c>
      <c r="C914" s="2">
        <v>20</v>
      </c>
      <c r="D914" s="4">
        <f t="shared" si="47"/>
        <v>604</v>
      </c>
      <c r="E914" s="5">
        <f t="shared" si="48"/>
        <v>0.66228070175438591</v>
      </c>
      <c r="F914" s="2">
        <v>3</v>
      </c>
      <c r="G914" s="3">
        <f t="shared" si="49"/>
        <v>12</v>
      </c>
      <c r="H914" s="2" t="s">
        <v>12</v>
      </c>
      <c r="I914" s="3"/>
    </row>
    <row r="915" spans="1:9" x14ac:dyDescent="0.25">
      <c r="A915" s="2">
        <v>913</v>
      </c>
      <c r="B915" s="2">
        <v>820</v>
      </c>
      <c r="C915" s="2">
        <v>4</v>
      </c>
      <c r="D915" s="4">
        <f t="shared" si="47"/>
        <v>89</v>
      </c>
      <c r="E915" s="5">
        <f t="shared" si="48"/>
        <v>9.7480832420591454E-2</v>
      </c>
      <c r="F915" s="2">
        <v>2</v>
      </c>
      <c r="G915" s="3">
        <f t="shared" si="49"/>
        <v>13</v>
      </c>
      <c r="H915" s="2" t="s">
        <v>12</v>
      </c>
      <c r="I915" s="3"/>
    </row>
    <row r="916" spans="1:9" x14ac:dyDescent="0.25">
      <c r="A916" s="2">
        <v>914</v>
      </c>
      <c r="B916" s="2">
        <v>456</v>
      </c>
      <c r="C916" s="2">
        <v>4</v>
      </c>
      <c r="D916" s="4">
        <f t="shared" si="47"/>
        <v>454</v>
      </c>
      <c r="E916" s="5">
        <f t="shared" si="48"/>
        <v>0.49671772428884026</v>
      </c>
      <c r="F916" s="2">
        <v>2</v>
      </c>
      <c r="G916" s="3">
        <f t="shared" si="49"/>
        <v>14</v>
      </c>
      <c r="H916" s="2" t="s">
        <v>12</v>
      </c>
      <c r="I916" s="3"/>
    </row>
    <row r="917" spans="1:9" x14ac:dyDescent="0.25">
      <c r="A917" s="2">
        <v>915</v>
      </c>
      <c r="B917" s="2">
        <v>480</v>
      </c>
      <c r="C917" s="2">
        <v>8</v>
      </c>
      <c r="D917" s="4">
        <f t="shared" si="47"/>
        <v>427</v>
      </c>
      <c r="E917" s="5">
        <f t="shared" si="48"/>
        <v>0.46666666666666667</v>
      </c>
      <c r="F917" s="2">
        <v>3</v>
      </c>
      <c r="G917" s="3">
        <f t="shared" si="49"/>
        <v>15</v>
      </c>
      <c r="H917" s="2" t="s">
        <v>12</v>
      </c>
      <c r="I917" s="3"/>
    </row>
    <row r="918" spans="1:9" x14ac:dyDescent="0.25">
      <c r="A918" s="2">
        <v>916</v>
      </c>
      <c r="B918" s="2">
        <v>456</v>
      </c>
      <c r="C918" s="2">
        <v>6</v>
      </c>
      <c r="D918" s="4">
        <f t="shared" si="47"/>
        <v>454</v>
      </c>
      <c r="E918" s="5">
        <f t="shared" si="48"/>
        <v>0.49563318777292575</v>
      </c>
      <c r="F918" s="2">
        <v>2</v>
      </c>
      <c r="G918" s="3">
        <f t="shared" si="49"/>
        <v>16</v>
      </c>
      <c r="H918" s="2" t="s">
        <v>12</v>
      </c>
      <c r="I918" s="3"/>
    </row>
    <row r="919" spans="1:9" x14ac:dyDescent="0.25">
      <c r="A919" s="2">
        <v>917</v>
      </c>
      <c r="B919" s="2">
        <v>780</v>
      </c>
      <c r="C919" s="2">
        <v>4</v>
      </c>
      <c r="D919" s="4">
        <f t="shared" si="47"/>
        <v>133</v>
      </c>
      <c r="E919" s="5">
        <f t="shared" si="48"/>
        <v>0.14503816793893129</v>
      </c>
      <c r="F919" s="2">
        <v>2</v>
      </c>
      <c r="G919" s="3">
        <f t="shared" si="49"/>
        <v>17</v>
      </c>
      <c r="H919" s="2" t="s">
        <v>12</v>
      </c>
      <c r="I919" s="3"/>
    </row>
    <row r="920" spans="1:9" x14ac:dyDescent="0.25">
      <c r="A920" s="2">
        <v>918</v>
      </c>
      <c r="B920" s="2">
        <v>288</v>
      </c>
      <c r="C920" s="2">
        <v>16</v>
      </c>
      <c r="D920" s="4">
        <f t="shared" si="47"/>
        <v>614</v>
      </c>
      <c r="E920" s="5">
        <f t="shared" si="48"/>
        <v>0.66884531590413943</v>
      </c>
      <c r="F920" s="2">
        <v>3</v>
      </c>
      <c r="G920" s="3">
        <f t="shared" si="49"/>
        <v>18</v>
      </c>
      <c r="H920" s="2" t="s">
        <v>12</v>
      </c>
      <c r="I920" s="3"/>
    </row>
    <row r="921" spans="1:9" x14ac:dyDescent="0.25">
      <c r="A921" s="2">
        <v>919</v>
      </c>
      <c r="B921" s="2">
        <v>918</v>
      </c>
      <c r="C921" s="2">
        <v>2</v>
      </c>
      <c r="D921" s="4">
        <f t="shared" si="47"/>
        <v>-1</v>
      </c>
      <c r="E921" s="5">
        <f t="shared" si="48"/>
        <v>-1.088139281828074E-3</v>
      </c>
      <c r="F921" s="2">
        <v>1</v>
      </c>
      <c r="G921" s="3">
        <f t="shared" si="49"/>
        <v>19</v>
      </c>
      <c r="H921" s="2" t="s">
        <v>11</v>
      </c>
      <c r="I921" s="3">
        <v>-1</v>
      </c>
    </row>
    <row r="922" spans="1:9" x14ac:dyDescent="0.25">
      <c r="A922" s="2">
        <v>920</v>
      </c>
      <c r="B922" s="2">
        <v>352</v>
      </c>
      <c r="C922" s="2">
        <v>16</v>
      </c>
      <c r="D922" s="4">
        <f t="shared" si="47"/>
        <v>552</v>
      </c>
      <c r="E922" s="5">
        <f t="shared" si="48"/>
        <v>0.6</v>
      </c>
      <c r="F922" s="2">
        <v>3</v>
      </c>
      <c r="G922" s="3">
        <f t="shared" si="49"/>
        <v>20</v>
      </c>
      <c r="H922" s="2" t="s">
        <v>12</v>
      </c>
      <c r="I922" s="3"/>
    </row>
    <row r="923" spans="1:9" x14ac:dyDescent="0.25">
      <c r="A923" s="2">
        <v>921</v>
      </c>
      <c r="B923" s="2">
        <v>612</v>
      </c>
      <c r="C923" s="2">
        <v>4</v>
      </c>
      <c r="D923" s="4">
        <f t="shared" si="47"/>
        <v>305</v>
      </c>
      <c r="E923" s="5">
        <f t="shared" si="48"/>
        <v>0.33116178067318131</v>
      </c>
      <c r="F923" s="2">
        <v>2</v>
      </c>
      <c r="G923" s="3">
        <f t="shared" si="49"/>
        <v>21</v>
      </c>
      <c r="H923" s="2" t="s">
        <v>12</v>
      </c>
      <c r="I923" s="3"/>
    </row>
    <row r="924" spans="1:9" x14ac:dyDescent="0.25">
      <c r="A924" s="2">
        <v>922</v>
      </c>
      <c r="B924" s="2">
        <v>460</v>
      </c>
      <c r="C924" s="2">
        <v>4</v>
      </c>
      <c r="D924" s="4">
        <f t="shared" si="47"/>
        <v>458</v>
      </c>
      <c r="E924" s="5">
        <f t="shared" si="48"/>
        <v>0.49674620390455532</v>
      </c>
      <c r="F924" s="2">
        <v>2</v>
      </c>
      <c r="G924" s="3">
        <f t="shared" si="49"/>
        <v>22</v>
      </c>
      <c r="H924" s="2" t="s">
        <v>12</v>
      </c>
      <c r="I924" s="3"/>
    </row>
    <row r="925" spans="1:9" x14ac:dyDescent="0.25">
      <c r="A925" s="2">
        <v>923</v>
      </c>
      <c r="B925" s="2">
        <v>840</v>
      </c>
      <c r="C925" s="2">
        <v>4</v>
      </c>
      <c r="D925" s="4">
        <f t="shared" si="47"/>
        <v>79</v>
      </c>
      <c r="E925" s="5">
        <f t="shared" si="48"/>
        <v>8.5590465872156019E-2</v>
      </c>
      <c r="F925" s="2">
        <v>2</v>
      </c>
      <c r="G925" s="3">
        <f t="shared" si="49"/>
        <v>23</v>
      </c>
      <c r="H925" s="2" t="s">
        <v>12</v>
      </c>
      <c r="I925" s="3"/>
    </row>
    <row r="926" spans="1:9" x14ac:dyDescent="0.25">
      <c r="A926" s="2">
        <v>924</v>
      </c>
      <c r="B926" s="2">
        <v>240</v>
      </c>
      <c r="C926" s="2">
        <v>24</v>
      </c>
      <c r="D926" s="4">
        <f t="shared" si="47"/>
        <v>660</v>
      </c>
      <c r="E926" s="5">
        <f t="shared" si="48"/>
        <v>0.7142857142857143</v>
      </c>
      <c r="F926" s="2">
        <v>4</v>
      </c>
      <c r="G926" s="3">
        <f t="shared" si="49"/>
        <v>24</v>
      </c>
      <c r="H926" s="2" t="s">
        <v>12</v>
      </c>
      <c r="I926" s="3"/>
    </row>
    <row r="927" spans="1:9" x14ac:dyDescent="0.25">
      <c r="A927" s="2">
        <v>925</v>
      </c>
      <c r="B927" s="2">
        <v>720</v>
      </c>
      <c r="C927" s="2">
        <v>6</v>
      </c>
      <c r="D927" s="4">
        <f t="shared" si="47"/>
        <v>199</v>
      </c>
      <c r="E927" s="5">
        <f t="shared" si="48"/>
        <v>0.21513513513513513</v>
      </c>
      <c r="F927" s="2">
        <v>2</v>
      </c>
      <c r="G927" s="3">
        <f t="shared" si="49"/>
        <v>25</v>
      </c>
      <c r="H927" s="2" t="s">
        <v>12</v>
      </c>
      <c r="I927" s="3"/>
    </row>
    <row r="928" spans="1:9" x14ac:dyDescent="0.25">
      <c r="A928" s="2">
        <v>926</v>
      </c>
      <c r="B928" s="2">
        <v>462</v>
      </c>
      <c r="C928" s="2">
        <v>4</v>
      </c>
      <c r="D928" s="4">
        <f t="shared" si="47"/>
        <v>460</v>
      </c>
      <c r="E928" s="5">
        <f t="shared" si="48"/>
        <v>0.49676025917926564</v>
      </c>
      <c r="F928" s="2">
        <v>2</v>
      </c>
      <c r="G928" s="3">
        <f t="shared" si="49"/>
        <v>26</v>
      </c>
      <c r="H928" s="2" t="s">
        <v>12</v>
      </c>
      <c r="I928" s="3"/>
    </row>
    <row r="929" spans="1:9" x14ac:dyDescent="0.25">
      <c r="A929" s="2">
        <v>927</v>
      </c>
      <c r="B929" s="2">
        <v>612</v>
      </c>
      <c r="C929" s="2">
        <v>6</v>
      </c>
      <c r="D929" s="4">
        <f t="shared" si="47"/>
        <v>309</v>
      </c>
      <c r="E929" s="5">
        <f t="shared" si="48"/>
        <v>0.33333333333333331</v>
      </c>
      <c r="F929" s="2">
        <v>2</v>
      </c>
      <c r="G929" s="3">
        <f t="shared" si="49"/>
        <v>27</v>
      </c>
      <c r="H929" s="2" t="s">
        <v>12</v>
      </c>
      <c r="I929" s="3"/>
    </row>
    <row r="930" spans="1:9" x14ac:dyDescent="0.25">
      <c r="A930" s="2">
        <v>928</v>
      </c>
      <c r="B930" s="2">
        <v>448</v>
      </c>
      <c r="C930" s="2">
        <v>12</v>
      </c>
      <c r="D930" s="4">
        <f t="shared" si="47"/>
        <v>468</v>
      </c>
      <c r="E930" s="5">
        <f t="shared" si="48"/>
        <v>0.50431034482758619</v>
      </c>
      <c r="F930" s="2">
        <v>2</v>
      </c>
      <c r="G930" s="3">
        <f t="shared" si="49"/>
        <v>28</v>
      </c>
      <c r="H930" s="2" t="s">
        <v>12</v>
      </c>
      <c r="I930" s="3"/>
    </row>
    <row r="931" spans="1:9" x14ac:dyDescent="0.25">
      <c r="A931" s="2">
        <v>929</v>
      </c>
      <c r="B931" s="2">
        <v>928</v>
      </c>
      <c r="C931" s="2">
        <v>2</v>
      </c>
      <c r="D931" s="4">
        <f t="shared" si="47"/>
        <v>-1</v>
      </c>
      <c r="E931" s="5">
        <f t="shared" si="48"/>
        <v>-1.076426264800861E-3</v>
      </c>
      <c r="F931" s="2">
        <v>1</v>
      </c>
      <c r="G931" s="3">
        <f t="shared" si="49"/>
        <v>29</v>
      </c>
      <c r="H931" s="2" t="s">
        <v>11</v>
      </c>
      <c r="I931" s="3">
        <v>-1</v>
      </c>
    </row>
    <row r="932" spans="1:9" x14ac:dyDescent="0.25">
      <c r="A932" s="2">
        <v>930</v>
      </c>
      <c r="B932" s="2">
        <v>240</v>
      </c>
      <c r="C932" s="2">
        <v>16</v>
      </c>
      <c r="D932" s="4">
        <f t="shared" si="47"/>
        <v>674</v>
      </c>
      <c r="E932" s="5">
        <f t="shared" si="48"/>
        <v>0.72473118279569892</v>
      </c>
      <c r="F932" s="2">
        <v>4</v>
      </c>
      <c r="G932" s="3">
        <f t="shared" si="49"/>
        <v>0</v>
      </c>
      <c r="H932" s="2" t="s">
        <v>12</v>
      </c>
      <c r="I932" s="3"/>
    </row>
    <row r="933" spans="1:9" x14ac:dyDescent="0.25">
      <c r="A933" s="2">
        <v>931</v>
      </c>
      <c r="B933" s="2">
        <v>756</v>
      </c>
      <c r="C933" s="2">
        <v>6</v>
      </c>
      <c r="D933" s="4">
        <f t="shared" si="47"/>
        <v>169</v>
      </c>
      <c r="E933" s="5">
        <f t="shared" si="48"/>
        <v>0.18152524167561762</v>
      </c>
      <c r="F933" s="2">
        <v>2</v>
      </c>
      <c r="G933" s="3">
        <f t="shared" si="49"/>
        <v>1</v>
      </c>
      <c r="H933" s="2" t="s">
        <v>12</v>
      </c>
      <c r="I933" s="3"/>
    </row>
    <row r="934" spans="1:9" x14ac:dyDescent="0.25">
      <c r="A934" s="2">
        <v>932</v>
      </c>
      <c r="B934" s="2">
        <v>464</v>
      </c>
      <c r="C934" s="2">
        <v>6</v>
      </c>
      <c r="D934" s="4">
        <f t="shared" si="47"/>
        <v>462</v>
      </c>
      <c r="E934" s="5">
        <f t="shared" si="48"/>
        <v>0.49570815450643779</v>
      </c>
      <c r="F934" s="2">
        <v>2</v>
      </c>
      <c r="G934" s="3">
        <f t="shared" si="49"/>
        <v>2</v>
      </c>
      <c r="H934" s="2" t="s">
        <v>12</v>
      </c>
      <c r="I934" s="3"/>
    </row>
    <row r="935" spans="1:9" x14ac:dyDescent="0.25">
      <c r="A935" s="2">
        <v>933</v>
      </c>
      <c r="B935" s="2">
        <v>620</v>
      </c>
      <c r="C935" s="2">
        <v>4</v>
      </c>
      <c r="D935" s="4">
        <f t="shared" si="47"/>
        <v>309</v>
      </c>
      <c r="E935" s="5">
        <f t="shared" si="48"/>
        <v>0.3311897106109325</v>
      </c>
      <c r="F935" s="2">
        <v>2</v>
      </c>
      <c r="G935" s="3">
        <f t="shared" si="49"/>
        <v>3</v>
      </c>
      <c r="H935" s="2" t="s">
        <v>12</v>
      </c>
      <c r="I935" s="3"/>
    </row>
    <row r="936" spans="1:9" x14ac:dyDescent="0.25">
      <c r="A936" s="2">
        <v>934</v>
      </c>
      <c r="B936" s="2">
        <v>466</v>
      </c>
      <c r="C936" s="2">
        <v>4</v>
      </c>
      <c r="D936" s="4">
        <f t="shared" si="47"/>
        <v>464</v>
      </c>
      <c r="E936" s="5">
        <f t="shared" si="48"/>
        <v>0.49678800856531047</v>
      </c>
      <c r="F936" s="2">
        <v>2</v>
      </c>
      <c r="G936" s="3">
        <f t="shared" si="49"/>
        <v>4</v>
      </c>
      <c r="H936" s="2" t="s">
        <v>12</v>
      </c>
      <c r="I936" s="3"/>
    </row>
    <row r="937" spans="1:9" x14ac:dyDescent="0.25">
      <c r="A937" s="2">
        <v>935</v>
      </c>
      <c r="B937" s="2">
        <v>640</v>
      </c>
      <c r="C937" s="2">
        <v>8</v>
      </c>
      <c r="D937" s="4">
        <f t="shared" si="47"/>
        <v>287</v>
      </c>
      <c r="E937" s="5">
        <f t="shared" si="48"/>
        <v>0.30695187165775401</v>
      </c>
      <c r="F937" s="2">
        <v>3</v>
      </c>
      <c r="G937" s="3">
        <f t="shared" si="49"/>
        <v>5</v>
      </c>
      <c r="H937" s="2" t="s">
        <v>12</v>
      </c>
      <c r="I937" s="3"/>
    </row>
    <row r="938" spans="1:9" x14ac:dyDescent="0.25">
      <c r="A938" s="2">
        <v>936</v>
      </c>
      <c r="B938" s="2">
        <v>288</v>
      </c>
      <c r="C938" s="2">
        <v>24</v>
      </c>
      <c r="D938" s="4">
        <f t="shared" si="47"/>
        <v>624</v>
      </c>
      <c r="E938" s="5">
        <f t="shared" si="48"/>
        <v>0.66666666666666663</v>
      </c>
      <c r="F938" s="2">
        <v>3</v>
      </c>
      <c r="G938" s="3">
        <f t="shared" si="49"/>
        <v>6</v>
      </c>
      <c r="H938" s="2" t="s">
        <v>12</v>
      </c>
      <c r="I938" s="3"/>
    </row>
    <row r="939" spans="1:9" x14ac:dyDescent="0.25">
      <c r="A939" s="2">
        <v>937</v>
      </c>
      <c r="B939" s="2">
        <v>936</v>
      </c>
      <c r="C939" s="2">
        <v>2</v>
      </c>
      <c r="D939" s="4">
        <f t="shared" si="47"/>
        <v>-1</v>
      </c>
      <c r="E939" s="5">
        <f t="shared" si="48"/>
        <v>-1.0672358591248667E-3</v>
      </c>
      <c r="F939" s="2">
        <v>1</v>
      </c>
      <c r="G939" s="3">
        <f t="shared" si="49"/>
        <v>7</v>
      </c>
      <c r="H939" s="2" t="s">
        <v>11</v>
      </c>
      <c r="I939" s="3">
        <v>-1</v>
      </c>
    </row>
    <row r="940" spans="1:9" x14ac:dyDescent="0.25">
      <c r="A940" s="2">
        <v>938</v>
      </c>
      <c r="B940" s="2">
        <v>396</v>
      </c>
      <c r="C940" s="2">
        <v>8</v>
      </c>
      <c r="D940" s="4">
        <f t="shared" si="47"/>
        <v>534</v>
      </c>
      <c r="E940" s="5">
        <f t="shared" si="48"/>
        <v>0.56929637526652455</v>
      </c>
      <c r="F940" s="2">
        <v>3</v>
      </c>
      <c r="G940" s="3">
        <f t="shared" si="49"/>
        <v>8</v>
      </c>
      <c r="H940" s="2" t="s">
        <v>12</v>
      </c>
      <c r="I940" s="3"/>
    </row>
    <row r="941" spans="1:9" x14ac:dyDescent="0.25">
      <c r="A941" s="2">
        <v>939</v>
      </c>
      <c r="B941" s="2">
        <v>624</v>
      </c>
      <c r="C941" s="2">
        <v>4</v>
      </c>
      <c r="D941" s="4">
        <f t="shared" si="47"/>
        <v>311</v>
      </c>
      <c r="E941" s="5">
        <f t="shared" si="48"/>
        <v>0.33120340788072417</v>
      </c>
      <c r="F941" s="2">
        <v>2</v>
      </c>
      <c r="G941" s="3">
        <f t="shared" si="49"/>
        <v>9</v>
      </c>
      <c r="H941" s="2" t="s">
        <v>12</v>
      </c>
      <c r="I941" s="3"/>
    </row>
    <row r="942" spans="1:9" x14ac:dyDescent="0.25">
      <c r="A942" s="2">
        <v>940</v>
      </c>
      <c r="B942" s="2">
        <v>368</v>
      </c>
      <c r="C942" s="2">
        <v>12</v>
      </c>
      <c r="D942" s="4">
        <f t="shared" si="47"/>
        <v>560</v>
      </c>
      <c r="E942" s="5">
        <f t="shared" si="48"/>
        <v>0.5957446808510638</v>
      </c>
      <c r="F942" s="2">
        <v>3</v>
      </c>
      <c r="G942" s="3">
        <f t="shared" si="49"/>
        <v>10</v>
      </c>
      <c r="H942" s="2" t="s">
        <v>12</v>
      </c>
      <c r="I942" s="3"/>
    </row>
    <row r="943" spans="1:9" x14ac:dyDescent="0.25">
      <c r="A943" s="2">
        <v>941</v>
      </c>
      <c r="B943" s="2">
        <v>940</v>
      </c>
      <c r="C943" s="2">
        <v>2</v>
      </c>
      <c r="D943" s="4">
        <f t="shared" si="47"/>
        <v>-1</v>
      </c>
      <c r="E943" s="5">
        <f t="shared" si="48"/>
        <v>-1.0626992561105207E-3</v>
      </c>
      <c r="F943" s="2">
        <v>1</v>
      </c>
      <c r="G943" s="3">
        <f t="shared" si="49"/>
        <v>11</v>
      </c>
      <c r="H943" s="2" t="s">
        <v>11</v>
      </c>
      <c r="I943" s="3">
        <v>-1</v>
      </c>
    </row>
    <row r="944" spans="1:9" x14ac:dyDescent="0.25">
      <c r="A944" s="2">
        <v>942</v>
      </c>
      <c r="B944" s="2">
        <v>312</v>
      </c>
      <c r="C944" s="2">
        <v>8</v>
      </c>
      <c r="D944" s="4">
        <f t="shared" si="47"/>
        <v>622</v>
      </c>
      <c r="E944" s="5">
        <f t="shared" si="48"/>
        <v>0.66029723991507427</v>
      </c>
      <c r="F944" s="2">
        <v>3</v>
      </c>
      <c r="G944" s="3">
        <f t="shared" si="49"/>
        <v>12</v>
      </c>
      <c r="H944" s="2" t="s">
        <v>12</v>
      </c>
      <c r="I944" s="3"/>
    </row>
    <row r="945" spans="1:9" x14ac:dyDescent="0.25">
      <c r="A945" s="2">
        <v>943</v>
      </c>
      <c r="B945" s="2">
        <v>880</v>
      </c>
      <c r="C945" s="2">
        <v>4</v>
      </c>
      <c r="D945" s="4">
        <f t="shared" si="47"/>
        <v>59</v>
      </c>
      <c r="E945" s="5">
        <f t="shared" si="48"/>
        <v>6.2566277836691414E-2</v>
      </c>
      <c r="F945" s="2">
        <v>2</v>
      </c>
      <c r="G945" s="3">
        <f t="shared" si="49"/>
        <v>13</v>
      </c>
      <c r="H945" s="2" t="s">
        <v>12</v>
      </c>
      <c r="I945" s="3"/>
    </row>
    <row r="946" spans="1:9" x14ac:dyDescent="0.25">
      <c r="A946" s="2">
        <v>944</v>
      </c>
      <c r="B946" s="2">
        <v>464</v>
      </c>
      <c r="C946" s="2">
        <v>10</v>
      </c>
      <c r="D946" s="4">
        <f t="shared" si="47"/>
        <v>470</v>
      </c>
      <c r="E946" s="5">
        <f t="shared" si="48"/>
        <v>0.4978813559322034</v>
      </c>
      <c r="F946" s="2">
        <v>2</v>
      </c>
      <c r="G946" s="3">
        <f t="shared" si="49"/>
        <v>14</v>
      </c>
      <c r="H946" s="2" t="s">
        <v>12</v>
      </c>
      <c r="I946" s="3"/>
    </row>
    <row r="947" spans="1:9" x14ac:dyDescent="0.25">
      <c r="A947" s="2">
        <v>945</v>
      </c>
      <c r="B947" s="2">
        <v>432</v>
      </c>
      <c r="C947" s="2">
        <v>16</v>
      </c>
      <c r="D947" s="4">
        <f t="shared" si="47"/>
        <v>497</v>
      </c>
      <c r="E947" s="5">
        <f t="shared" si="48"/>
        <v>0.52592592592592591</v>
      </c>
      <c r="F947" s="2">
        <v>3</v>
      </c>
      <c r="G947" s="3">
        <f t="shared" si="49"/>
        <v>15</v>
      </c>
      <c r="H947" s="2" t="s">
        <v>12</v>
      </c>
      <c r="I947" s="3"/>
    </row>
    <row r="948" spans="1:9" x14ac:dyDescent="0.25">
      <c r="A948" s="2">
        <v>946</v>
      </c>
      <c r="B948" s="2">
        <v>420</v>
      </c>
      <c r="C948" s="2">
        <v>8</v>
      </c>
      <c r="D948" s="4">
        <f t="shared" si="47"/>
        <v>518</v>
      </c>
      <c r="E948" s="5">
        <f t="shared" si="48"/>
        <v>0.54756871035940802</v>
      </c>
      <c r="F948" s="2">
        <v>3</v>
      </c>
      <c r="G948" s="3">
        <f t="shared" si="49"/>
        <v>16</v>
      </c>
      <c r="H948" s="2" t="s">
        <v>12</v>
      </c>
      <c r="I948" s="3"/>
    </row>
    <row r="949" spans="1:9" x14ac:dyDescent="0.25">
      <c r="A949" s="2">
        <v>947</v>
      </c>
      <c r="B949" s="2">
        <v>946</v>
      </c>
      <c r="C949" s="2">
        <v>2</v>
      </c>
      <c r="D949" s="4">
        <f t="shared" si="47"/>
        <v>-1</v>
      </c>
      <c r="E949" s="5">
        <f t="shared" si="48"/>
        <v>-1.0559662090813093E-3</v>
      </c>
      <c r="F949" s="2">
        <v>1</v>
      </c>
      <c r="G949" s="3">
        <f t="shared" si="49"/>
        <v>17</v>
      </c>
      <c r="H949" s="2" t="s">
        <v>11</v>
      </c>
      <c r="I949" s="3">
        <v>-1</v>
      </c>
    </row>
    <row r="950" spans="1:9" x14ac:dyDescent="0.25">
      <c r="A950" s="2">
        <v>948</v>
      </c>
      <c r="B950" s="2">
        <v>312</v>
      </c>
      <c r="C950" s="2">
        <v>12</v>
      </c>
      <c r="D950" s="4">
        <f t="shared" si="47"/>
        <v>624</v>
      </c>
      <c r="E950" s="5">
        <f t="shared" si="48"/>
        <v>0.65822784810126578</v>
      </c>
      <c r="F950" s="2">
        <v>3</v>
      </c>
      <c r="G950" s="3">
        <f t="shared" si="49"/>
        <v>18</v>
      </c>
      <c r="H950" s="2" t="s">
        <v>12</v>
      </c>
      <c r="I950" s="3"/>
    </row>
    <row r="951" spans="1:9" x14ac:dyDescent="0.25">
      <c r="A951" s="2">
        <v>949</v>
      </c>
      <c r="B951" s="2">
        <v>864</v>
      </c>
      <c r="C951" s="2">
        <v>4</v>
      </c>
      <c r="D951" s="4">
        <f t="shared" si="47"/>
        <v>81</v>
      </c>
      <c r="E951" s="5">
        <f t="shared" si="48"/>
        <v>8.5353003161222338E-2</v>
      </c>
      <c r="F951" s="2">
        <v>2</v>
      </c>
      <c r="G951" s="3">
        <f t="shared" si="49"/>
        <v>19</v>
      </c>
      <c r="H951" s="2" t="s">
        <v>12</v>
      </c>
      <c r="I951" s="3"/>
    </row>
    <row r="952" spans="1:9" x14ac:dyDescent="0.25">
      <c r="A952" s="2">
        <v>950</v>
      </c>
      <c r="B952" s="2">
        <v>360</v>
      </c>
      <c r="C952" s="2">
        <v>12</v>
      </c>
      <c r="D952" s="4">
        <f t="shared" si="47"/>
        <v>578</v>
      </c>
      <c r="E952" s="5">
        <f t="shared" si="48"/>
        <v>0.60842105263157897</v>
      </c>
      <c r="F952" s="2">
        <v>3</v>
      </c>
      <c r="G952" s="3">
        <f t="shared" si="49"/>
        <v>20</v>
      </c>
      <c r="H952" s="2" t="s">
        <v>12</v>
      </c>
      <c r="I952" s="3"/>
    </row>
    <row r="953" spans="1:9" x14ac:dyDescent="0.25">
      <c r="A953" s="2">
        <v>951</v>
      </c>
      <c r="B953" s="2">
        <v>632</v>
      </c>
      <c r="C953" s="2">
        <v>4</v>
      </c>
      <c r="D953" s="4">
        <f t="shared" si="47"/>
        <v>315</v>
      </c>
      <c r="E953" s="5">
        <f t="shared" si="48"/>
        <v>0.33123028391167192</v>
      </c>
      <c r="F953" s="2">
        <v>2</v>
      </c>
      <c r="G953" s="3">
        <f t="shared" si="49"/>
        <v>21</v>
      </c>
      <c r="H953" s="2" t="s">
        <v>12</v>
      </c>
      <c r="I953" s="3"/>
    </row>
    <row r="954" spans="1:9" x14ac:dyDescent="0.25">
      <c r="A954" s="2">
        <v>952</v>
      </c>
      <c r="B954" s="2">
        <v>384</v>
      </c>
      <c r="C954" s="2">
        <v>16</v>
      </c>
      <c r="D954" s="4">
        <f t="shared" si="47"/>
        <v>552</v>
      </c>
      <c r="E954" s="5">
        <f t="shared" si="48"/>
        <v>0.57983193277310929</v>
      </c>
      <c r="F954" s="2">
        <v>3</v>
      </c>
      <c r="G954" s="3">
        <f t="shared" si="49"/>
        <v>22</v>
      </c>
      <c r="H954" s="2" t="s">
        <v>12</v>
      </c>
      <c r="I954" s="3"/>
    </row>
    <row r="955" spans="1:9" x14ac:dyDescent="0.25">
      <c r="A955" s="2">
        <v>953</v>
      </c>
      <c r="B955" s="2">
        <v>952</v>
      </c>
      <c r="C955" s="2">
        <v>2</v>
      </c>
      <c r="D955" s="4">
        <f t="shared" si="47"/>
        <v>-1</v>
      </c>
      <c r="E955" s="5">
        <f t="shared" si="48"/>
        <v>-1.0493179433368311E-3</v>
      </c>
      <c r="F955" s="2">
        <v>1</v>
      </c>
      <c r="G955" s="3">
        <f t="shared" si="49"/>
        <v>23</v>
      </c>
      <c r="H955" s="2" t="s">
        <v>11</v>
      </c>
      <c r="I955" s="3">
        <v>-1</v>
      </c>
    </row>
    <row r="956" spans="1:9" x14ac:dyDescent="0.25">
      <c r="A956" s="2">
        <v>954</v>
      </c>
      <c r="B956" s="2">
        <v>312</v>
      </c>
      <c r="C956" s="2">
        <v>12</v>
      </c>
      <c r="D956" s="4">
        <f t="shared" si="47"/>
        <v>630</v>
      </c>
      <c r="E956" s="5">
        <f t="shared" si="48"/>
        <v>0.660377358490566</v>
      </c>
      <c r="F956" s="2">
        <v>3</v>
      </c>
      <c r="G956" s="3">
        <f t="shared" si="49"/>
        <v>24</v>
      </c>
      <c r="H956" s="2" t="s">
        <v>12</v>
      </c>
      <c r="I956" s="3"/>
    </row>
    <row r="957" spans="1:9" x14ac:dyDescent="0.25">
      <c r="A957" s="2">
        <v>955</v>
      </c>
      <c r="B957" s="2">
        <v>760</v>
      </c>
      <c r="C957" s="2">
        <v>4</v>
      </c>
      <c r="D957" s="4">
        <f t="shared" si="47"/>
        <v>191</v>
      </c>
      <c r="E957" s="5">
        <f t="shared" si="48"/>
        <v>0.2</v>
      </c>
      <c r="F957" s="2">
        <v>2</v>
      </c>
      <c r="G957" s="3">
        <f t="shared" si="49"/>
        <v>25</v>
      </c>
      <c r="H957" s="2" t="s">
        <v>12</v>
      </c>
      <c r="I957" s="3"/>
    </row>
    <row r="958" spans="1:9" x14ac:dyDescent="0.25">
      <c r="A958" s="2">
        <v>956</v>
      </c>
      <c r="B958" s="2">
        <v>476</v>
      </c>
      <c r="C958" s="2">
        <v>6</v>
      </c>
      <c r="D958" s="4">
        <f t="shared" si="47"/>
        <v>474</v>
      </c>
      <c r="E958" s="5">
        <f t="shared" si="48"/>
        <v>0.49581589958158995</v>
      </c>
      <c r="F958" s="2">
        <v>2</v>
      </c>
      <c r="G958" s="3">
        <f t="shared" si="49"/>
        <v>26</v>
      </c>
      <c r="H958" s="2" t="s">
        <v>12</v>
      </c>
      <c r="I958" s="3"/>
    </row>
    <row r="959" spans="1:9" x14ac:dyDescent="0.25">
      <c r="A959" s="2">
        <v>957</v>
      </c>
      <c r="B959" s="2">
        <v>560</v>
      </c>
      <c r="C959" s="2">
        <v>8</v>
      </c>
      <c r="D959" s="4">
        <f t="shared" si="47"/>
        <v>389</v>
      </c>
      <c r="E959" s="5">
        <f t="shared" si="48"/>
        <v>0.40647857889237199</v>
      </c>
      <c r="F959" s="2">
        <v>3</v>
      </c>
      <c r="G959" s="3">
        <f t="shared" si="49"/>
        <v>27</v>
      </c>
      <c r="H959" s="2" t="s">
        <v>12</v>
      </c>
      <c r="I959" s="3"/>
    </row>
    <row r="960" spans="1:9" x14ac:dyDescent="0.25">
      <c r="A960" s="2">
        <v>958</v>
      </c>
      <c r="B960" s="2">
        <v>478</v>
      </c>
      <c r="C960" s="2">
        <v>4</v>
      </c>
      <c r="D960" s="4">
        <f t="shared" si="47"/>
        <v>476</v>
      </c>
      <c r="E960" s="5">
        <f t="shared" si="48"/>
        <v>0.49686847599164929</v>
      </c>
      <c r="F960" s="2">
        <v>2</v>
      </c>
      <c r="G960" s="3">
        <f t="shared" si="49"/>
        <v>28</v>
      </c>
      <c r="H960" s="2" t="s">
        <v>12</v>
      </c>
      <c r="I960" s="3"/>
    </row>
    <row r="961" spans="1:9" x14ac:dyDescent="0.25">
      <c r="A961" s="2">
        <v>959</v>
      </c>
      <c r="B961" s="2">
        <v>816</v>
      </c>
      <c r="C961" s="2">
        <v>4</v>
      </c>
      <c r="D961" s="4">
        <f t="shared" si="47"/>
        <v>139</v>
      </c>
      <c r="E961" s="5">
        <f t="shared" si="48"/>
        <v>0.14494264859228362</v>
      </c>
      <c r="F961" s="2">
        <v>2</v>
      </c>
      <c r="G961" s="3">
        <f t="shared" si="49"/>
        <v>29</v>
      </c>
      <c r="H961" s="2" t="s">
        <v>12</v>
      </c>
      <c r="I961" s="3"/>
    </row>
    <row r="962" spans="1:9" x14ac:dyDescent="0.25">
      <c r="A962" s="2">
        <v>960</v>
      </c>
      <c r="B962" s="2">
        <v>256</v>
      </c>
      <c r="C962" s="2">
        <v>28</v>
      </c>
      <c r="D962" s="4">
        <f t="shared" si="47"/>
        <v>676</v>
      </c>
      <c r="E962" s="5">
        <f t="shared" si="48"/>
        <v>0.70416666666666672</v>
      </c>
      <c r="F962" s="2">
        <v>3</v>
      </c>
      <c r="G962" s="3">
        <f t="shared" si="49"/>
        <v>0</v>
      </c>
      <c r="H962" s="2" t="s">
        <v>12</v>
      </c>
      <c r="I962" s="3"/>
    </row>
    <row r="963" spans="1:9" x14ac:dyDescent="0.25">
      <c r="A963" s="2">
        <v>961</v>
      </c>
      <c r="B963" s="2">
        <v>930</v>
      </c>
      <c r="C963" s="2">
        <v>3</v>
      </c>
      <c r="D963" s="4">
        <f t="shared" ref="D963:D1026" si="50">A963-B963-C963</f>
        <v>28</v>
      </c>
      <c r="E963" s="5">
        <f t="shared" ref="E963:E1026" si="51">D963/A963</f>
        <v>2.9136316337148804E-2</v>
      </c>
      <c r="F963" s="2">
        <v>1</v>
      </c>
      <c r="G963" s="3">
        <f t="shared" ref="G963:G1002" si="52">MOD(A963,30)</f>
        <v>1</v>
      </c>
      <c r="H963" s="2" t="s">
        <v>12</v>
      </c>
      <c r="I963" s="3"/>
    </row>
    <row r="964" spans="1:9" x14ac:dyDescent="0.25">
      <c r="A964" s="2">
        <v>962</v>
      </c>
      <c r="B964" s="2">
        <v>432</v>
      </c>
      <c r="C964" s="2">
        <v>8</v>
      </c>
      <c r="D964" s="4">
        <f t="shared" si="50"/>
        <v>522</v>
      </c>
      <c r="E964" s="5">
        <f t="shared" si="51"/>
        <v>0.54261954261954259</v>
      </c>
      <c r="F964" s="2">
        <v>3</v>
      </c>
      <c r="G964" s="3">
        <f t="shared" si="52"/>
        <v>2</v>
      </c>
      <c r="H964" s="2" t="s">
        <v>12</v>
      </c>
      <c r="I964" s="3"/>
    </row>
    <row r="965" spans="1:9" x14ac:dyDescent="0.25">
      <c r="A965" s="2">
        <v>963</v>
      </c>
      <c r="B965" s="2">
        <v>636</v>
      </c>
      <c r="C965" s="2">
        <v>6</v>
      </c>
      <c r="D965" s="4">
        <f t="shared" si="50"/>
        <v>321</v>
      </c>
      <c r="E965" s="5">
        <f t="shared" si="51"/>
        <v>0.33333333333333331</v>
      </c>
      <c r="F965" s="2">
        <v>2</v>
      </c>
      <c r="G965" s="3">
        <f t="shared" si="52"/>
        <v>3</v>
      </c>
      <c r="H965" s="2" t="s">
        <v>12</v>
      </c>
      <c r="I965" s="3"/>
    </row>
    <row r="966" spans="1:9" x14ac:dyDescent="0.25">
      <c r="A966" s="2">
        <v>964</v>
      </c>
      <c r="B966" s="2">
        <v>480</v>
      </c>
      <c r="C966" s="2">
        <v>6</v>
      </c>
      <c r="D966" s="4">
        <f t="shared" si="50"/>
        <v>478</v>
      </c>
      <c r="E966" s="5">
        <f t="shared" si="51"/>
        <v>0.49585062240663902</v>
      </c>
      <c r="F966" s="2">
        <v>2</v>
      </c>
      <c r="G966" s="3">
        <f t="shared" si="52"/>
        <v>4</v>
      </c>
      <c r="H966" s="2" t="s">
        <v>12</v>
      </c>
      <c r="I966" s="3"/>
    </row>
    <row r="967" spans="1:9" x14ac:dyDescent="0.25">
      <c r="A967" s="2">
        <v>965</v>
      </c>
      <c r="B967" s="2">
        <v>768</v>
      </c>
      <c r="C967" s="2">
        <v>4</v>
      </c>
      <c r="D967" s="4">
        <f t="shared" si="50"/>
        <v>193</v>
      </c>
      <c r="E967" s="5">
        <f t="shared" si="51"/>
        <v>0.2</v>
      </c>
      <c r="F967" s="2">
        <v>2</v>
      </c>
      <c r="G967" s="3">
        <f t="shared" si="52"/>
        <v>5</v>
      </c>
      <c r="H967" s="2" t="s">
        <v>12</v>
      </c>
      <c r="I967" s="3"/>
    </row>
    <row r="968" spans="1:9" x14ac:dyDescent="0.25">
      <c r="A968" s="2">
        <v>966</v>
      </c>
      <c r="B968" s="2">
        <v>264</v>
      </c>
      <c r="C968" s="2">
        <v>16</v>
      </c>
      <c r="D968" s="4">
        <f t="shared" si="50"/>
        <v>686</v>
      </c>
      <c r="E968" s="5">
        <f t="shared" si="51"/>
        <v>0.71014492753623193</v>
      </c>
      <c r="F968" s="2">
        <v>4</v>
      </c>
      <c r="G968" s="3">
        <f t="shared" si="52"/>
        <v>6</v>
      </c>
      <c r="H968" s="2" t="s">
        <v>12</v>
      </c>
      <c r="I968" s="3"/>
    </row>
    <row r="969" spans="1:9" x14ac:dyDescent="0.25">
      <c r="A969" s="2">
        <v>967</v>
      </c>
      <c r="B969" s="2">
        <v>966</v>
      </c>
      <c r="C969" s="2">
        <v>2</v>
      </c>
      <c r="D969" s="4">
        <f t="shared" si="50"/>
        <v>-1</v>
      </c>
      <c r="E969" s="5">
        <f t="shared" si="51"/>
        <v>-1.0341261633919339E-3</v>
      </c>
      <c r="F969" s="2">
        <v>1</v>
      </c>
      <c r="G969" s="3">
        <f t="shared" si="52"/>
        <v>7</v>
      </c>
      <c r="H969" s="2" t="s">
        <v>11</v>
      </c>
      <c r="I969" s="3">
        <v>-1</v>
      </c>
    </row>
    <row r="970" spans="1:9" x14ac:dyDescent="0.25">
      <c r="A970" s="2">
        <v>968</v>
      </c>
      <c r="B970" s="2">
        <v>440</v>
      </c>
      <c r="C970" s="2">
        <v>12</v>
      </c>
      <c r="D970" s="4">
        <f t="shared" si="50"/>
        <v>516</v>
      </c>
      <c r="E970" s="5">
        <f t="shared" si="51"/>
        <v>0.53305785123966942</v>
      </c>
      <c r="F970" s="2">
        <v>2</v>
      </c>
      <c r="G970" s="3">
        <f t="shared" si="52"/>
        <v>8</v>
      </c>
      <c r="H970" s="2" t="s">
        <v>12</v>
      </c>
      <c r="I970" s="3"/>
    </row>
    <row r="971" spans="1:9" x14ac:dyDescent="0.25">
      <c r="A971" s="2">
        <v>969</v>
      </c>
      <c r="B971" s="2">
        <v>576</v>
      </c>
      <c r="C971" s="2">
        <v>8</v>
      </c>
      <c r="D971" s="4">
        <f t="shared" si="50"/>
        <v>385</v>
      </c>
      <c r="E971" s="5">
        <f t="shared" si="51"/>
        <v>0.39731682146542829</v>
      </c>
      <c r="F971" s="2">
        <v>3</v>
      </c>
      <c r="G971" s="3">
        <f t="shared" si="52"/>
        <v>9</v>
      </c>
      <c r="H971" s="2" t="s">
        <v>12</v>
      </c>
      <c r="I971" s="3"/>
    </row>
    <row r="972" spans="1:9" x14ac:dyDescent="0.25">
      <c r="A972" s="2">
        <v>970</v>
      </c>
      <c r="B972" s="2">
        <v>384</v>
      </c>
      <c r="C972" s="2">
        <v>8</v>
      </c>
      <c r="D972" s="4">
        <f t="shared" si="50"/>
        <v>578</v>
      </c>
      <c r="E972" s="5">
        <f t="shared" si="51"/>
        <v>0.59587628865979381</v>
      </c>
      <c r="F972" s="2">
        <v>3</v>
      </c>
      <c r="G972" s="3">
        <f t="shared" si="52"/>
        <v>10</v>
      </c>
      <c r="H972" s="2" t="s">
        <v>12</v>
      </c>
      <c r="I972" s="3"/>
    </row>
    <row r="973" spans="1:9" x14ac:dyDescent="0.25">
      <c r="A973" s="2">
        <v>971</v>
      </c>
      <c r="B973" s="2">
        <v>970</v>
      </c>
      <c r="C973" s="2">
        <v>2</v>
      </c>
      <c r="D973" s="4">
        <f t="shared" si="50"/>
        <v>-1</v>
      </c>
      <c r="E973" s="5">
        <f t="shared" si="51"/>
        <v>-1.0298661174047373E-3</v>
      </c>
      <c r="F973" s="2">
        <v>1</v>
      </c>
      <c r="G973" s="3">
        <f t="shared" si="52"/>
        <v>11</v>
      </c>
      <c r="H973" s="2" t="s">
        <v>11</v>
      </c>
      <c r="I973" s="3">
        <v>-1</v>
      </c>
    </row>
    <row r="974" spans="1:9" x14ac:dyDescent="0.25">
      <c r="A974" s="2">
        <v>972</v>
      </c>
      <c r="B974" s="2">
        <v>324</v>
      </c>
      <c r="C974" s="2">
        <v>18</v>
      </c>
      <c r="D974" s="4">
        <f t="shared" si="50"/>
        <v>630</v>
      </c>
      <c r="E974" s="5">
        <f t="shared" si="51"/>
        <v>0.64814814814814814</v>
      </c>
      <c r="F974" s="2">
        <v>2</v>
      </c>
      <c r="G974" s="3">
        <f t="shared" si="52"/>
        <v>12</v>
      </c>
      <c r="H974" s="2" t="s">
        <v>12</v>
      </c>
      <c r="I974" s="3"/>
    </row>
    <row r="975" spans="1:9" x14ac:dyDescent="0.25">
      <c r="A975" s="2">
        <v>973</v>
      </c>
      <c r="B975" s="2">
        <v>828</v>
      </c>
      <c r="C975" s="2">
        <v>4</v>
      </c>
      <c r="D975" s="4">
        <f t="shared" si="50"/>
        <v>141</v>
      </c>
      <c r="E975" s="5">
        <f t="shared" si="51"/>
        <v>0.14491264131551901</v>
      </c>
      <c r="F975" s="2">
        <v>2</v>
      </c>
      <c r="G975" s="3">
        <f t="shared" si="52"/>
        <v>13</v>
      </c>
      <c r="H975" s="2" t="s">
        <v>12</v>
      </c>
      <c r="I975" s="3"/>
    </row>
    <row r="976" spans="1:9" x14ac:dyDescent="0.25">
      <c r="A976" s="2">
        <v>974</v>
      </c>
      <c r="B976" s="2">
        <v>486</v>
      </c>
      <c r="C976" s="2">
        <v>4</v>
      </c>
      <c r="D976" s="4">
        <f t="shared" si="50"/>
        <v>484</v>
      </c>
      <c r="E976" s="5">
        <f t="shared" si="51"/>
        <v>0.49691991786447637</v>
      </c>
      <c r="F976" s="2">
        <v>2</v>
      </c>
      <c r="G976" s="3">
        <f t="shared" si="52"/>
        <v>14</v>
      </c>
      <c r="H976" s="2" t="s">
        <v>12</v>
      </c>
      <c r="I976" s="3"/>
    </row>
    <row r="977" spans="1:9" x14ac:dyDescent="0.25">
      <c r="A977" s="2">
        <v>975</v>
      </c>
      <c r="B977" s="2">
        <v>480</v>
      </c>
      <c r="C977" s="2">
        <v>12</v>
      </c>
      <c r="D977" s="4">
        <f t="shared" si="50"/>
        <v>483</v>
      </c>
      <c r="E977" s="5">
        <f t="shared" si="51"/>
        <v>0.49538461538461537</v>
      </c>
      <c r="F977" s="2">
        <v>3</v>
      </c>
      <c r="G977" s="3">
        <f t="shared" si="52"/>
        <v>15</v>
      </c>
      <c r="H977" s="2" t="s">
        <v>12</v>
      </c>
      <c r="I977" s="3"/>
    </row>
    <row r="978" spans="1:9" x14ac:dyDescent="0.25">
      <c r="A978" s="2">
        <v>976</v>
      </c>
      <c r="B978" s="2">
        <v>480</v>
      </c>
      <c r="C978" s="2">
        <v>10</v>
      </c>
      <c r="D978" s="4">
        <f t="shared" si="50"/>
        <v>486</v>
      </c>
      <c r="E978" s="5">
        <f t="shared" si="51"/>
        <v>0.49795081967213117</v>
      </c>
      <c r="F978" s="2">
        <v>2</v>
      </c>
      <c r="G978" s="3">
        <f t="shared" si="52"/>
        <v>16</v>
      </c>
      <c r="H978" s="2" t="s">
        <v>12</v>
      </c>
      <c r="I978" s="3"/>
    </row>
    <row r="979" spans="1:9" x14ac:dyDescent="0.25">
      <c r="A979" s="2">
        <v>977</v>
      </c>
      <c r="B979" s="2">
        <v>976</v>
      </c>
      <c r="C979" s="2">
        <v>2</v>
      </c>
      <c r="D979" s="4">
        <f t="shared" si="50"/>
        <v>-1</v>
      </c>
      <c r="E979" s="5">
        <f t="shared" si="51"/>
        <v>-1.0235414534288639E-3</v>
      </c>
      <c r="F979" s="2">
        <v>1</v>
      </c>
      <c r="G979" s="3">
        <f t="shared" si="52"/>
        <v>17</v>
      </c>
      <c r="H979" s="2" t="s">
        <v>11</v>
      </c>
      <c r="I979" s="3">
        <v>-1</v>
      </c>
    </row>
    <row r="980" spans="1:9" x14ac:dyDescent="0.25">
      <c r="A980" s="2">
        <v>978</v>
      </c>
      <c r="B980" s="2">
        <v>324</v>
      </c>
      <c r="C980" s="2">
        <v>8</v>
      </c>
      <c r="D980" s="4">
        <f t="shared" si="50"/>
        <v>646</v>
      </c>
      <c r="E980" s="5">
        <f t="shared" si="51"/>
        <v>0.66053169734151329</v>
      </c>
      <c r="F980" s="2">
        <v>3</v>
      </c>
      <c r="G980" s="3">
        <f t="shared" si="52"/>
        <v>18</v>
      </c>
      <c r="H980" s="2" t="s">
        <v>12</v>
      </c>
      <c r="I980" s="3"/>
    </row>
    <row r="981" spans="1:9" x14ac:dyDescent="0.25">
      <c r="A981" s="2">
        <v>979</v>
      </c>
      <c r="B981" s="2">
        <v>880</v>
      </c>
      <c r="C981" s="2">
        <v>4</v>
      </c>
      <c r="D981" s="4">
        <f t="shared" si="50"/>
        <v>95</v>
      </c>
      <c r="E981" s="5">
        <f t="shared" si="51"/>
        <v>9.7037793667007155E-2</v>
      </c>
      <c r="F981" s="2">
        <v>2</v>
      </c>
      <c r="G981" s="3">
        <f t="shared" si="52"/>
        <v>19</v>
      </c>
      <c r="H981" s="2" t="s">
        <v>12</v>
      </c>
      <c r="I981" s="3"/>
    </row>
    <row r="982" spans="1:9" x14ac:dyDescent="0.25">
      <c r="A982" s="2">
        <v>980</v>
      </c>
      <c r="B982" s="2">
        <v>336</v>
      </c>
      <c r="C982" s="2">
        <v>18</v>
      </c>
      <c r="D982" s="4">
        <f t="shared" si="50"/>
        <v>626</v>
      </c>
      <c r="E982" s="5">
        <f t="shared" si="51"/>
        <v>0.63877551020408163</v>
      </c>
      <c r="F982" s="2">
        <v>3</v>
      </c>
      <c r="G982" s="3">
        <f t="shared" si="52"/>
        <v>20</v>
      </c>
      <c r="H982" s="2" t="s">
        <v>12</v>
      </c>
      <c r="I982" s="3"/>
    </row>
    <row r="983" spans="1:9" x14ac:dyDescent="0.25">
      <c r="A983" s="2">
        <v>981</v>
      </c>
      <c r="B983" s="2">
        <v>648</v>
      </c>
      <c r="C983" s="2">
        <v>6</v>
      </c>
      <c r="D983" s="4">
        <f t="shared" si="50"/>
        <v>327</v>
      </c>
      <c r="E983" s="5">
        <f t="shared" si="51"/>
        <v>0.33333333333333331</v>
      </c>
      <c r="F983" s="2">
        <v>2</v>
      </c>
      <c r="G983" s="3">
        <f t="shared" si="52"/>
        <v>21</v>
      </c>
      <c r="H983" s="2" t="s">
        <v>12</v>
      </c>
      <c r="I983" s="3"/>
    </row>
    <row r="984" spans="1:9" x14ac:dyDescent="0.25">
      <c r="A984" s="2">
        <v>982</v>
      </c>
      <c r="B984" s="2">
        <v>490</v>
      </c>
      <c r="C984" s="2">
        <v>4</v>
      </c>
      <c r="D984" s="4">
        <f t="shared" si="50"/>
        <v>488</v>
      </c>
      <c r="E984" s="5">
        <f t="shared" si="51"/>
        <v>0.4969450101832994</v>
      </c>
      <c r="F984" s="2">
        <v>2</v>
      </c>
      <c r="G984" s="3">
        <f t="shared" si="52"/>
        <v>22</v>
      </c>
      <c r="H984" s="2" t="s">
        <v>12</v>
      </c>
      <c r="I984" s="3"/>
    </row>
    <row r="985" spans="1:9" x14ac:dyDescent="0.25">
      <c r="A985" s="2">
        <v>983</v>
      </c>
      <c r="B985" s="2">
        <v>982</v>
      </c>
      <c r="C985" s="2">
        <v>2</v>
      </c>
      <c r="D985" s="4">
        <f t="shared" si="50"/>
        <v>-1</v>
      </c>
      <c r="E985" s="5">
        <f t="shared" si="51"/>
        <v>-1.017293997965412E-3</v>
      </c>
      <c r="F985" s="2">
        <v>1</v>
      </c>
      <c r="G985" s="3">
        <f t="shared" si="52"/>
        <v>23</v>
      </c>
      <c r="H985" s="2" t="s">
        <v>11</v>
      </c>
      <c r="I985" s="3">
        <v>-1</v>
      </c>
    </row>
    <row r="986" spans="1:9" x14ac:dyDescent="0.25">
      <c r="A986" s="2">
        <v>984</v>
      </c>
      <c r="B986" s="2">
        <v>320</v>
      </c>
      <c r="C986" s="2">
        <v>16</v>
      </c>
      <c r="D986" s="4">
        <f t="shared" si="50"/>
        <v>648</v>
      </c>
      <c r="E986" s="5">
        <f t="shared" si="51"/>
        <v>0.65853658536585369</v>
      </c>
      <c r="F986" s="2">
        <v>3</v>
      </c>
      <c r="G986" s="3">
        <f t="shared" si="52"/>
        <v>24</v>
      </c>
      <c r="H986" s="2" t="s">
        <v>12</v>
      </c>
      <c r="I986" s="3"/>
    </row>
    <row r="987" spans="1:9" x14ac:dyDescent="0.25">
      <c r="A987" s="2">
        <v>985</v>
      </c>
      <c r="B987" s="2">
        <v>784</v>
      </c>
      <c r="C987" s="2">
        <v>4</v>
      </c>
      <c r="D987" s="4">
        <f t="shared" si="50"/>
        <v>197</v>
      </c>
      <c r="E987" s="5">
        <f t="shared" si="51"/>
        <v>0.2</v>
      </c>
      <c r="F987" s="2">
        <v>2</v>
      </c>
      <c r="G987" s="3">
        <f t="shared" si="52"/>
        <v>25</v>
      </c>
      <c r="H987" s="2" t="s">
        <v>12</v>
      </c>
      <c r="I987" s="3"/>
    </row>
    <row r="988" spans="1:9" x14ac:dyDescent="0.25">
      <c r="A988" s="2">
        <v>986</v>
      </c>
      <c r="B988" s="2">
        <v>448</v>
      </c>
      <c r="C988" s="2">
        <v>8</v>
      </c>
      <c r="D988" s="4">
        <f t="shared" si="50"/>
        <v>530</v>
      </c>
      <c r="E988" s="5">
        <f t="shared" si="51"/>
        <v>0.53752535496957399</v>
      </c>
      <c r="F988" s="2">
        <v>3</v>
      </c>
      <c r="G988" s="3">
        <f t="shared" si="52"/>
        <v>26</v>
      </c>
      <c r="H988" s="2" t="s">
        <v>12</v>
      </c>
      <c r="I988" s="3"/>
    </row>
    <row r="989" spans="1:9" x14ac:dyDescent="0.25">
      <c r="A989" s="2">
        <v>987</v>
      </c>
      <c r="B989" s="2">
        <v>552</v>
      </c>
      <c r="C989" s="2">
        <v>8</v>
      </c>
      <c r="D989" s="4">
        <f t="shared" si="50"/>
        <v>427</v>
      </c>
      <c r="E989" s="5">
        <f t="shared" si="51"/>
        <v>0.43262411347517732</v>
      </c>
      <c r="F989" s="2">
        <v>3</v>
      </c>
      <c r="G989" s="3">
        <f t="shared" si="52"/>
        <v>27</v>
      </c>
      <c r="H989" s="2" t="s">
        <v>12</v>
      </c>
      <c r="I989" s="3"/>
    </row>
    <row r="990" spans="1:9" x14ac:dyDescent="0.25">
      <c r="A990" s="2">
        <v>988</v>
      </c>
      <c r="B990" s="2">
        <v>432</v>
      </c>
      <c r="C990" s="2">
        <v>12</v>
      </c>
      <c r="D990" s="4">
        <f t="shared" si="50"/>
        <v>544</v>
      </c>
      <c r="E990" s="5">
        <f t="shared" si="51"/>
        <v>0.55060728744939269</v>
      </c>
      <c r="F990" s="2">
        <v>3</v>
      </c>
      <c r="G990" s="3">
        <f t="shared" si="52"/>
        <v>28</v>
      </c>
      <c r="H990" s="2" t="s">
        <v>12</v>
      </c>
      <c r="I990" s="3"/>
    </row>
    <row r="991" spans="1:9" x14ac:dyDescent="0.25">
      <c r="A991" s="2">
        <v>989</v>
      </c>
      <c r="B991" s="2">
        <v>924</v>
      </c>
      <c r="C991" s="2">
        <v>4</v>
      </c>
      <c r="D991" s="4">
        <f t="shared" si="50"/>
        <v>61</v>
      </c>
      <c r="E991" s="5">
        <f t="shared" si="51"/>
        <v>6.167846309403438E-2</v>
      </c>
      <c r="F991" s="2">
        <v>2</v>
      </c>
      <c r="G991" s="3">
        <f t="shared" si="52"/>
        <v>29</v>
      </c>
      <c r="H991" s="2" t="s">
        <v>12</v>
      </c>
      <c r="I991" s="3"/>
    </row>
    <row r="992" spans="1:9" x14ac:dyDescent="0.25">
      <c r="A992" s="2">
        <v>990</v>
      </c>
      <c r="B992" s="2">
        <v>240</v>
      </c>
      <c r="C992" s="2">
        <v>24</v>
      </c>
      <c r="D992" s="4">
        <f t="shared" si="50"/>
        <v>726</v>
      </c>
      <c r="E992" s="5">
        <f t="shared" si="51"/>
        <v>0.73333333333333328</v>
      </c>
      <c r="F992" s="2">
        <v>4</v>
      </c>
      <c r="G992" s="3">
        <f t="shared" si="52"/>
        <v>0</v>
      </c>
      <c r="H992" s="2" t="s">
        <v>12</v>
      </c>
      <c r="I992" s="3"/>
    </row>
    <row r="993" spans="1:9" x14ac:dyDescent="0.25">
      <c r="A993" s="2">
        <v>991</v>
      </c>
      <c r="B993" s="2">
        <v>990</v>
      </c>
      <c r="C993" s="2">
        <v>2</v>
      </c>
      <c r="D993" s="4">
        <f t="shared" si="50"/>
        <v>-1</v>
      </c>
      <c r="E993" s="5">
        <f t="shared" si="51"/>
        <v>-1.0090817356205853E-3</v>
      </c>
      <c r="F993" s="2">
        <v>1</v>
      </c>
      <c r="G993" s="3">
        <f t="shared" si="52"/>
        <v>1</v>
      </c>
      <c r="H993" s="2" t="s">
        <v>11</v>
      </c>
      <c r="I993" s="3">
        <v>-1</v>
      </c>
    </row>
    <row r="994" spans="1:9" x14ac:dyDescent="0.25">
      <c r="A994" s="2">
        <v>992</v>
      </c>
      <c r="B994" s="2">
        <v>480</v>
      </c>
      <c r="C994" s="2">
        <v>12</v>
      </c>
      <c r="D994" s="4">
        <f t="shared" si="50"/>
        <v>500</v>
      </c>
      <c r="E994" s="5">
        <f t="shared" si="51"/>
        <v>0.50403225806451613</v>
      </c>
      <c r="F994" s="2">
        <v>2</v>
      </c>
      <c r="G994" s="3">
        <f t="shared" si="52"/>
        <v>2</v>
      </c>
      <c r="H994" s="2" t="s">
        <v>12</v>
      </c>
      <c r="I994" s="3"/>
    </row>
    <row r="995" spans="1:9" x14ac:dyDescent="0.25">
      <c r="A995" s="2">
        <v>993</v>
      </c>
      <c r="B995" s="2">
        <v>660</v>
      </c>
      <c r="C995" s="2">
        <v>4</v>
      </c>
      <c r="D995" s="4">
        <f t="shared" si="50"/>
        <v>329</v>
      </c>
      <c r="E995" s="5">
        <f t="shared" si="51"/>
        <v>0.33131923464249746</v>
      </c>
      <c r="F995" s="2">
        <v>2</v>
      </c>
      <c r="G995" s="3">
        <f t="shared" si="52"/>
        <v>3</v>
      </c>
      <c r="H995" s="2" t="s">
        <v>12</v>
      </c>
      <c r="I995" s="3"/>
    </row>
    <row r="996" spans="1:9" x14ac:dyDescent="0.25">
      <c r="A996" s="2">
        <v>994</v>
      </c>
      <c r="B996" s="2">
        <v>420</v>
      </c>
      <c r="C996" s="2">
        <v>8</v>
      </c>
      <c r="D996" s="4">
        <f t="shared" si="50"/>
        <v>566</v>
      </c>
      <c r="E996" s="5">
        <f t="shared" si="51"/>
        <v>0.56941649899396374</v>
      </c>
      <c r="F996" s="2">
        <v>3</v>
      </c>
      <c r="G996" s="3">
        <f t="shared" si="52"/>
        <v>4</v>
      </c>
      <c r="H996" s="2" t="s">
        <v>12</v>
      </c>
      <c r="I996" s="3"/>
    </row>
    <row r="997" spans="1:9" x14ac:dyDescent="0.25">
      <c r="A997" s="2">
        <v>995</v>
      </c>
      <c r="B997" s="2">
        <v>792</v>
      </c>
      <c r="C997" s="2">
        <v>4</v>
      </c>
      <c r="D997" s="4">
        <f t="shared" si="50"/>
        <v>199</v>
      </c>
      <c r="E997" s="5">
        <f t="shared" si="51"/>
        <v>0.2</v>
      </c>
      <c r="F997" s="2">
        <v>2</v>
      </c>
      <c r="G997" s="3">
        <f t="shared" si="52"/>
        <v>5</v>
      </c>
      <c r="H997" s="2" t="s">
        <v>12</v>
      </c>
      <c r="I997" s="3"/>
    </row>
    <row r="998" spans="1:9" x14ac:dyDescent="0.25">
      <c r="A998" s="2">
        <v>996</v>
      </c>
      <c r="B998" s="2">
        <v>328</v>
      </c>
      <c r="C998" s="2">
        <v>12</v>
      </c>
      <c r="D998" s="4">
        <f t="shared" si="50"/>
        <v>656</v>
      </c>
      <c r="E998" s="5">
        <f t="shared" si="51"/>
        <v>0.65863453815261042</v>
      </c>
      <c r="F998" s="2">
        <v>3</v>
      </c>
      <c r="G998" s="3">
        <f t="shared" si="52"/>
        <v>6</v>
      </c>
      <c r="H998" s="2" t="s">
        <v>12</v>
      </c>
      <c r="I998" s="3"/>
    </row>
    <row r="999" spans="1:9" x14ac:dyDescent="0.25">
      <c r="A999" s="2">
        <v>997</v>
      </c>
      <c r="B999" s="2">
        <v>996</v>
      </c>
      <c r="C999" s="2">
        <v>2</v>
      </c>
      <c r="D999" s="4">
        <f t="shared" si="50"/>
        <v>-1</v>
      </c>
      <c r="E999" s="5">
        <f t="shared" si="51"/>
        <v>-1.0030090270812437E-3</v>
      </c>
      <c r="F999" s="2">
        <v>1</v>
      </c>
      <c r="G999" s="3">
        <f t="shared" si="52"/>
        <v>7</v>
      </c>
      <c r="H999" s="2" t="s">
        <v>11</v>
      </c>
      <c r="I999" s="3">
        <v>-1</v>
      </c>
    </row>
    <row r="1000" spans="1:9" x14ac:dyDescent="0.25">
      <c r="A1000" s="2">
        <v>998</v>
      </c>
      <c r="B1000" s="2">
        <v>498</v>
      </c>
      <c r="C1000" s="2">
        <v>4</v>
      </c>
      <c r="D1000" s="4">
        <f t="shared" si="50"/>
        <v>496</v>
      </c>
      <c r="E1000" s="5">
        <f t="shared" si="51"/>
        <v>0.4969939879759519</v>
      </c>
      <c r="F1000" s="2">
        <v>2</v>
      </c>
      <c r="G1000" s="3">
        <f t="shared" si="52"/>
        <v>8</v>
      </c>
      <c r="H1000" s="2" t="s">
        <v>12</v>
      </c>
      <c r="I1000" s="3"/>
    </row>
    <row r="1001" spans="1:9" x14ac:dyDescent="0.25">
      <c r="A1001" s="2">
        <v>999</v>
      </c>
      <c r="B1001" s="2">
        <v>648</v>
      </c>
      <c r="C1001" s="2">
        <v>8</v>
      </c>
      <c r="D1001" s="4">
        <f t="shared" si="50"/>
        <v>343</v>
      </c>
      <c r="E1001" s="5">
        <f t="shared" si="51"/>
        <v>0.34334334334334332</v>
      </c>
      <c r="F1001" s="2">
        <v>2</v>
      </c>
      <c r="G1001" s="3">
        <f t="shared" si="52"/>
        <v>9</v>
      </c>
      <c r="H1001" s="2" t="s">
        <v>12</v>
      </c>
      <c r="I1001" s="3"/>
    </row>
    <row r="1002" spans="1:9" x14ac:dyDescent="0.25">
      <c r="A1002" s="2">
        <v>1000</v>
      </c>
      <c r="B1002" s="2">
        <v>400</v>
      </c>
      <c r="C1002" s="2">
        <v>16</v>
      </c>
      <c r="D1002" s="4">
        <f t="shared" si="50"/>
        <v>584</v>
      </c>
      <c r="E1002" s="5">
        <f t="shared" si="51"/>
        <v>0.58399999999999996</v>
      </c>
      <c r="F1002" s="2">
        <v>2</v>
      </c>
      <c r="G1002" s="3">
        <f t="shared" si="52"/>
        <v>10</v>
      </c>
      <c r="H1002" s="2" t="s">
        <v>12</v>
      </c>
      <c r="I1002" s="3"/>
    </row>
    <row r="1004" spans="1:9" ht="16.5" x14ac:dyDescent="0.25">
      <c r="A1004" s="6" t="s">
        <v>13</v>
      </c>
      <c r="B1004" s="7">
        <f ca="1">COUNTIF(D3:D1002,0)</f>
        <v>3</v>
      </c>
      <c r="C1004" s="8" t="s">
        <v>14</v>
      </c>
    </row>
    <row r="1005" spans="1:9" ht="16.5" x14ac:dyDescent="0.25">
      <c r="A1005" s="6" t="s">
        <v>15</v>
      </c>
      <c r="B1005" s="7">
        <f ca="1">COUNTIF(D3:D1002,1)</f>
        <v>0</v>
      </c>
      <c r="C1005" s="8" t="s">
        <v>16</v>
      </c>
    </row>
    <row r="1006" spans="1:9" ht="16.5" x14ac:dyDescent="0.25">
      <c r="A1006" s="6" t="s">
        <v>17</v>
      </c>
      <c r="B1006" s="7">
        <f ca="1">MIN(D3:D1002)</f>
        <v>-1</v>
      </c>
      <c r="C1006" s="8" t="s">
        <v>18</v>
      </c>
    </row>
    <row r="1007" spans="1:9" ht="16.5" x14ac:dyDescent="0.25">
      <c r="A1007" s="6" t="s">
        <v>19</v>
      </c>
      <c r="B1007" s="7">
        <f ca="1">MAX(D3:D1002)</f>
        <v>726</v>
      </c>
      <c r="C1007" s="8"/>
    </row>
    <row r="1008" spans="1:9" ht="16.5" x14ac:dyDescent="0.25">
      <c r="A1008" s="6" t="s">
        <v>20</v>
      </c>
      <c r="B1008" s="7">
        <f ca="1">AVERAGE(E3:E1002)</f>
        <v>0.35952624077953454</v>
      </c>
      <c r="C1008" s="8" t="s">
        <v>21</v>
      </c>
    </row>
    <row r="1009" spans="1:3" ht="16.5" x14ac:dyDescent="0.25">
      <c r="A1009" s="6" t="s">
        <v>22</v>
      </c>
      <c r="B1009" s="7">
        <f>COUNTIF(H3:H1002,"prime")</f>
        <v>168</v>
      </c>
      <c r="C1009" s="8"/>
    </row>
  </sheetData>
  <mergeCells count="1">
    <mergeCell ref="A1:I1"/>
  </mergeCells>
  <conditionalFormatting sqref="D3:D1002">
    <cfRule type="cellIs" dxfId="10" priority="1" operator="equal">
      <formula>0</formula>
    </cfRule>
    <cfRule type="cellIs" dxfId="9" priority="2" operator="equal">
      <formula>1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76749"/>
  </sheetPr>
  <dimension ref="A1:H22"/>
  <sheetViews>
    <sheetView workbookViewId="0"/>
  </sheetViews>
  <sheetFormatPr defaultRowHeight="15" x14ac:dyDescent="0.25"/>
  <cols>
    <col min="1" max="1" width="5" customWidth="1"/>
    <col min="2" max="5" width="8" customWidth="1"/>
    <col min="6" max="6" width="12" customWidth="1"/>
    <col min="7" max="7" width="8" customWidth="1"/>
    <col min="8" max="8" width="30" customWidth="1"/>
  </cols>
  <sheetData>
    <row r="1" spans="1:8" ht="20.25" x14ac:dyDescent="0.25">
      <c r="A1" s="52" t="s">
        <v>23</v>
      </c>
      <c r="B1" s="53"/>
      <c r="C1" s="53"/>
      <c r="D1" s="53"/>
      <c r="E1" s="53"/>
      <c r="F1" s="53"/>
      <c r="G1" s="53"/>
      <c r="H1" s="53"/>
    </row>
    <row r="3" spans="1:8" ht="16.5" x14ac:dyDescent="0.25">
      <c r="A3" s="6" t="s">
        <v>24</v>
      </c>
    </row>
    <row r="4" spans="1:8" x14ac:dyDescent="0.25">
      <c r="A4" s="9" t="s">
        <v>25</v>
      </c>
    </row>
    <row r="6" spans="1:8" ht="16.5" x14ac:dyDescent="0.25">
      <c r="A6" s="6" t="s">
        <v>26</v>
      </c>
    </row>
    <row r="7" spans="1:8" ht="25.5" x14ac:dyDescent="0.25">
      <c r="A7" s="1" t="s">
        <v>1</v>
      </c>
      <c r="B7" s="1" t="s">
        <v>2</v>
      </c>
      <c r="C7" s="1" t="s">
        <v>3</v>
      </c>
      <c r="D7" s="1" t="s">
        <v>4</v>
      </c>
      <c r="E7" s="1" t="s">
        <v>27</v>
      </c>
      <c r="F7" s="1" t="s">
        <v>28</v>
      </c>
      <c r="G7" s="1" t="s">
        <v>29</v>
      </c>
    </row>
    <row r="8" spans="1:8" ht="38.25" x14ac:dyDescent="0.25">
      <c r="A8" s="10">
        <v>6</v>
      </c>
      <c r="B8" s="10">
        <v>2</v>
      </c>
      <c r="C8" s="10">
        <v>4</v>
      </c>
      <c r="D8" s="10">
        <v>0</v>
      </c>
      <c r="E8" s="10" t="s">
        <v>30</v>
      </c>
      <c r="F8" s="10" t="s">
        <v>31</v>
      </c>
      <c r="G8" s="10" t="s">
        <v>32</v>
      </c>
    </row>
    <row r="9" spans="1:8" ht="51" x14ac:dyDescent="0.25">
      <c r="A9" s="10">
        <v>8</v>
      </c>
      <c r="B9" s="10">
        <v>4</v>
      </c>
      <c r="C9" s="10">
        <v>4</v>
      </c>
      <c r="D9" s="10">
        <v>0</v>
      </c>
      <c r="E9" s="10" t="s">
        <v>33</v>
      </c>
      <c r="F9" s="10" t="s">
        <v>34</v>
      </c>
      <c r="G9" s="10" t="s">
        <v>35</v>
      </c>
    </row>
    <row r="10" spans="1:8" ht="51" x14ac:dyDescent="0.25">
      <c r="A10" s="10">
        <v>9</v>
      </c>
      <c r="B10" s="10">
        <v>6</v>
      </c>
      <c r="C10" s="10">
        <v>3</v>
      </c>
      <c r="D10" s="10">
        <v>0</v>
      </c>
      <c r="E10" s="10" t="s">
        <v>36</v>
      </c>
      <c r="F10" s="10" t="s">
        <v>34</v>
      </c>
      <c r="G10" s="10" t="s">
        <v>37</v>
      </c>
    </row>
    <row r="12" spans="1:8" ht="16.5" x14ac:dyDescent="0.25">
      <c r="A12" s="6" t="s">
        <v>38</v>
      </c>
    </row>
    <row r="13" spans="1:8" ht="25.5" x14ac:dyDescent="0.25">
      <c r="A13" s="1" t="s">
        <v>28</v>
      </c>
      <c r="B13" s="1" t="s">
        <v>39</v>
      </c>
      <c r="C13" s="1" t="s">
        <v>40</v>
      </c>
    </row>
    <row r="14" spans="1:8" ht="51" x14ac:dyDescent="0.25">
      <c r="A14" s="11" t="s">
        <v>41</v>
      </c>
      <c r="B14" s="11" t="s">
        <v>42</v>
      </c>
      <c r="C14" s="11" t="s">
        <v>43</v>
      </c>
    </row>
    <row r="15" spans="1:8" ht="76.5" x14ac:dyDescent="0.25">
      <c r="A15" s="12" t="s">
        <v>44</v>
      </c>
      <c r="B15" s="12" t="s">
        <v>45</v>
      </c>
      <c r="C15" s="12" t="s">
        <v>46</v>
      </c>
    </row>
    <row r="16" spans="1:8" ht="51" x14ac:dyDescent="0.25">
      <c r="A16" s="11" t="s">
        <v>47</v>
      </c>
      <c r="B16" s="11" t="s">
        <v>48</v>
      </c>
      <c r="C16" s="11" t="s">
        <v>49</v>
      </c>
    </row>
    <row r="17" spans="1:3" ht="63.75" x14ac:dyDescent="0.25">
      <c r="A17" s="12" t="s">
        <v>50</v>
      </c>
      <c r="B17" s="12" t="s">
        <v>51</v>
      </c>
      <c r="C17" s="12" t="s">
        <v>52</v>
      </c>
    </row>
    <row r="18" spans="1:3" ht="102" x14ac:dyDescent="0.25">
      <c r="A18" s="11" t="s">
        <v>53</v>
      </c>
      <c r="B18" s="11" t="s">
        <v>54</v>
      </c>
      <c r="C18" s="11" t="s">
        <v>55</v>
      </c>
    </row>
    <row r="19" spans="1:3" ht="76.5" x14ac:dyDescent="0.25">
      <c r="A19" s="12" t="s">
        <v>56</v>
      </c>
      <c r="B19" s="12" t="s">
        <v>57</v>
      </c>
      <c r="C19" s="12" t="s">
        <v>58</v>
      </c>
    </row>
    <row r="21" spans="1:3" x14ac:dyDescent="0.25">
      <c r="A21" s="9" t="s">
        <v>59</v>
      </c>
    </row>
    <row r="22" spans="1:3" ht="15.75" x14ac:dyDescent="0.25">
      <c r="A22" s="13" t="str">
        <f>IF(3=3,"THEOREM CONFIRMED: d(n)=0 iff n in {6,8,9}","THEOREM FAILS")</f>
        <v>THEOREM CONFIRMED: d(n)=0 iff n in {6,8,9}</v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B2C2C"/>
  </sheetPr>
  <dimension ref="A1:H25"/>
  <sheetViews>
    <sheetView workbookViewId="0">
      <selection sqref="A1:H1"/>
    </sheetView>
  </sheetViews>
  <sheetFormatPr defaultRowHeight="15" x14ac:dyDescent="0.25"/>
  <cols>
    <col min="1" max="6" width="8" customWidth="1"/>
    <col min="7" max="8" width="20" customWidth="1"/>
  </cols>
  <sheetData>
    <row r="1" spans="1:8" ht="20.25" x14ac:dyDescent="0.25">
      <c r="A1" s="52" t="s">
        <v>60</v>
      </c>
      <c r="B1" s="53"/>
      <c r="C1" s="53"/>
      <c r="D1" s="53"/>
      <c r="E1" s="53"/>
      <c r="F1" s="53"/>
      <c r="G1" s="53"/>
      <c r="H1" s="53"/>
    </row>
    <row r="2" spans="1:8" x14ac:dyDescent="0.25">
      <c r="A2" s="14" t="s">
        <v>61</v>
      </c>
    </row>
    <row r="4" spans="1:8" ht="25.5" x14ac:dyDescent="0.25">
      <c r="A4" s="1" t="s">
        <v>1</v>
      </c>
      <c r="B4" s="1" t="s">
        <v>62</v>
      </c>
      <c r="C4" s="1" t="s">
        <v>4</v>
      </c>
      <c r="D4" s="1" t="s">
        <v>63</v>
      </c>
      <c r="E4" s="1" t="s">
        <v>64</v>
      </c>
      <c r="F4" s="1" t="s">
        <v>65</v>
      </c>
      <c r="G4" s="1" t="s">
        <v>66</v>
      </c>
      <c r="H4" s="1" t="s">
        <v>67</v>
      </c>
    </row>
    <row r="5" spans="1:8" x14ac:dyDescent="0.25">
      <c r="A5" s="2">
        <v>2</v>
      </c>
      <c r="B5" s="2">
        <v>3</v>
      </c>
      <c r="C5" s="2">
        <v>-1</v>
      </c>
      <c r="D5" s="7">
        <f t="shared" ref="D5:D11" si="0">B5-1-B5+1</f>
        <v>0</v>
      </c>
      <c r="E5" s="3" t="str">
        <f t="shared" ref="E5:E11" si="1">IF(C5=C5,"=","≠")</f>
        <v>=</v>
      </c>
      <c r="F5" s="2" t="s">
        <v>68</v>
      </c>
      <c r="G5" s="2" t="s">
        <v>69</v>
      </c>
      <c r="H5" s="11" t="s">
        <v>70</v>
      </c>
    </row>
    <row r="6" spans="1:8" ht="25.5" x14ac:dyDescent="0.25">
      <c r="A6" s="2">
        <v>3</v>
      </c>
      <c r="B6" s="2">
        <v>4</v>
      </c>
      <c r="C6" s="2">
        <v>-1</v>
      </c>
      <c r="D6" s="7">
        <f t="shared" si="0"/>
        <v>0</v>
      </c>
      <c r="E6" s="3" t="str">
        <f t="shared" si="1"/>
        <v>=</v>
      </c>
      <c r="F6" s="2" t="s">
        <v>71</v>
      </c>
      <c r="G6" s="2" t="s">
        <v>72</v>
      </c>
      <c r="H6" s="11" t="s">
        <v>73</v>
      </c>
    </row>
    <row r="7" spans="1:8" x14ac:dyDescent="0.25">
      <c r="A7" s="2">
        <v>4</v>
      </c>
      <c r="B7" s="2">
        <v>5</v>
      </c>
      <c r="C7" s="2">
        <v>-1</v>
      </c>
      <c r="D7" s="7">
        <f t="shared" si="0"/>
        <v>0</v>
      </c>
      <c r="E7" s="3" t="str">
        <f t="shared" si="1"/>
        <v>=</v>
      </c>
      <c r="F7" s="2" t="s">
        <v>74</v>
      </c>
      <c r="G7" s="2" t="s">
        <v>75</v>
      </c>
      <c r="H7" s="11" t="s">
        <v>70</v>
      </c>
    </row>
    <row r="8" spans="1:8" x14ac:dyDescent="0.25">
      <c r="A8" s="2">
        <v>8</v>
      </c>
      <c r="B8" s="2">
        <v>9</v>
      </c>
      <c r="C8" s="2">
        <v>0</v>
      </c>
      <c r="D8" s="7">
        <f t="shared" si="0"/>
        <v>0</v>
      </c>
      <c r="E8" s="3" t="str">
        <f t="shared" si="1"/>
        <v>=</v>
      </c>
      <c r="F8" s="2" t="s">
        <v>76</v>
      </c>
      <c r="G8" s="2" t="s">
        <v>77</v>
      </c>
      <c r="H8" s="11" t="s">
        <v>70</v>
      </c>
    </row>
    <row r="9" spans="1:8" ht="25.5" x14ac:dyDescent="0.25">
      <c r="A9" s="2">
        <v>15</v>
      </c>
      <c r="B9" s="2">
        <v>16</v>
      </c>
      <c r="C9" s="2">
        <v>3</v>
      </c>
      <c r="D9" s="7">
        <f t="shared" si="0"/>
        <v>0</v>
      </c>
      <c r="E9" s="3" t="str">
        <f t="shared" si="1"/>
        <v>=</v>
      </c>
      <c r="F9" s="2" t="s">
        <v>78</v>
      </c>
      <c r="G9" s="2" t="s">
        <v>79</v>
      </c>
      <c r="H9" s="11" t="s">
        <v>73</v>
      </c>
    </row>
    <row r="10" spans="1:8" ht="25.5" x14ac:dyDescent="0.25">
      <c r="A10" s="2">
        <v>255</v>
      </c>
      <c r="B10" s="2">
        <v>256</v>
      </c>
      <c r="C10" s="2">
        <v>119</v>
      </c>
      <c r="D10" s="7">
        <f t="shared" si="0"/>
        <v>0</v>
      </c>
      <c r="E10" s="3" t="str">
        <f t="shared" si="1"/>
        <v>=</v>
      </c>
      <c r="F10" s="2" t="s">
        <v>80</v>
      </c>
      <c r="G10" s="2" t="s">
        <v>81</v>
      </c>
      <c r="H10" s="11" t="s">
        <v>73</v>
      </c>
    </row>
    <row r="11" spans="1:8" ht="25.5" x14ac:dyDescent="0.25">
      <c r="A11" s="2">
        <v>65535</v>
      </c>
      <c r="B11" s="2">
        <v>65536</v>
      </c>
      <c r="C11" s="2">
        <v>32751</v>
      </c>
      <c r="D11" s="7">
        <f t="shared" si="0"/>
        <v>0</v>
      </c>
      <c r="E11" s="3" t="str">
        <f t="shared" si="1"/>
        <v>=</v>
      </c>
      <c r="F11" s="2" t="s">
        <v>82</v>
      </c>
      <c r="G11" s="2" t="s">
        <v>83</v>
      </c>
      <c r="H11" s="11" t="s">
        <v>73</v>
      </c>
    </row>
    <row r="14" spans="1:8" ht="16.5" x14ac:dyDescent="0.25">
      <c r="A14" s="6" t="s">
        <v>84</v>
      </c>
    </row>
    <row r="15" spans="1:8" x14ac:dyDescent="0.25">
      <c r="A15" s="15" t="s">
        <v>85</v>
      </c>
    </row>
    <row r="16" spans="1:8" x14ac:dyDescent="0.25">
      <c r="A16" s="15" t="s">
        <v>86</v>
      </c>
    </row>
    <row r="17" spans="1:1" x14ac:dyDescent="0.25">
      <c r="A17" s="15" t="s">
        <v>87</v>
      </c>
    </row>
    <row r="18" spans="1:1" x14ac:dyDescent="0.25">
      <c r="A18" s="7" t="s">
        <v>88</v>
      </c>
    </row>
    <row r="19" spans="1:1" x14ac:dyDescent="0.25">
      <c r="A19" s="7" t="s">
        <v>89</v>
      </c>
    </row>
    <row r="20" spans="1:1" x14ac:dyDescent="0.25">
      <c r="A20" s="7" t="s">
        <v>90</v>
      </c>
    </row>
    <row r="21" spans="1:1" x14ac:dyDescent="0.25">
      <c r="A21" s="7" t="s">
        <v>91</v>
      </c>
    </row>
    <row r="23" spans="1:1" x14ac:dyDescent="0.25">
      <c r="A23" s="16" t="s">
        <v>92</v>
      </c>
    </row>
    <row r="24" spans="1:1" x14ac:dyDescent="0.25">
      <c r="A24" s="17" t="s">
        <v>93</v>
      </c>
    </row>
    <row r="25" spans="1:1" x14ac:dyDescent="0.25">
      <c r="A25" s="17" t="s">
        <v>94</v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553C9A"/>
  </sheetPr>
  <dimension ref="A1:F218"/>
  <sheetViews>
    <sheetView workbookViewId="0"/>
  </sheetViews>
  <sheetFormatPr defaultRowHeight="15" x14ac:dyDescent="0.25"/>
  <cols>
    <col min="1" max="1" width="8" customWidth="1"/>
    <col min="2" max="5" width="10" customWidth="1"/>
    <col min="6" max="6" width="12" customWidth="1"/>
  </cols>
  <sheetData>
    <row r="1" spans="1:6" ht="20.25" x14ac:dyDescent="0.25">
      <c r="A1" s="52" t="s">
        <v>95</v>
      </c>
      <c r="B1" s="53"/>
      <c r="C1" s="53"/>
      <c r="D1" s="53"/>
      <c r="E1" s="53"/>
      <c r="F1" s="53"/>
    </row>
    <row r="2" spans="1:6" x14ac:dyDescent="0.25">
      <c r="A2" s="18" t="s">
        <v>96</v>
      </c>
    </row>
    <row r="4" spans="1:6" ht="25.5" x14ac:dyDescent="0.25">
      <c r="A4" s="1" t="s">
        <v>97</v>
      </c>
      <c r="B4" s="1" t="s">
        <v>98</v>
      </c>
      <c r="C4" s="1" t="s">
        <v>99</v>
      </c>
      <c r="D4" s="1" t="s">
        <v>100</v>
      </c>
      <c r="E4" s="1" t="s">
        <v>101</v>
      </c>
      <c r="F4" s="1" t="s">
        <v>102</v>
      </c>
    </row>
    <row r="5" spans="1:6" x14ac:dyDescent="0.25">
      <c r="A5" s="2">
        <v>1255</v>
      </c>
      <c r="B5" s="2">
        <v>69</v>
      </c>
      <c r="C5" s="3">
        <f t="shared" ref="C5:C36" si="0">MOD(A5,30)</f>
        <v>25</v>
      </c>
      <c r="D5" s="3">
        <f t="shared" ref="D5:D36" si="1">A5+5</f>
        <v>1260</v>
      </c>
      <c r="E5" s="3">
        <f t="shared" ref="E5:E36" si="2">MOD(D5,30)</f>
        <v>0</v>
      </c>
      <c r="F5" s="19" t="str">
        <f t="shared" ref="F5:F36" si="3">IF(B5&gt;=50,"LARGE","")</f>
        <v>LARGE</v>
      </c>
    </row>
    <row r="6" spans="1:6" x14ac:dyDescent="0.25">
      <c r="A6" s="2">
        <v>1315</v>
      </c>
      <c r="B6" s="2">
        <v>66</v>
      </c>
      <c r="C6" s="3">
        <f t="shared" si="0"/>
        <v>25</v>
      </c>
      <c r="D6" s="3">
        <f t="shared" si="1"/>
        <v>1320</v>
      </c>
      <c r="E6" s="3">
        <f t="shared" si="2"/>
        <v>0</v>
      </c>
      <c r="F6" s="19" t="str">
        <f t="shared" si="3"/>
        <v>LARGE</v>
      </c>
    </row>
    <row r="7" spans="1:6" x14ac:dyDescent="0.25">
      <c r="A7" s="2">
        <v>1345</v>
      </c>
      <c r="B7" s="2">
        <v>61</v>
      </c>
      <c r="C7" s="3">
        <f t="shared" si="0"/>
        <v>25</v>
      </c>
      <c r="D7" s="3">
        <f t="shared" si="1"/>
        <v>1350</v>
      </c>
      <c r="E7" s="3">
        <f t="shared" si="2"/>
        <v>0</v>
      </c>
      <c r="F7" s="19" t="str">
        <f t="shared" si="3"/>
        <v>LARGE</v>
      </c>
    </row>
    <row r="8" spans="1:6" x14ac:dyDescent="0.25">
      <c r="A8" s="2">
        <v>1375</v>
      </c>
      <c r="B8" s="2">
        <v>61</v>
      </c>
      <c r="C8" s="3">
        <f t="shared" si="0"/>
        <v>25</v>
      </c>
      <c r="D8" s="3">
        <f t="shared" si="1"/>
        <v>1380</v>
      </c>
      <c r="E8" s="3">
        <f t="shared" si="2"/>
        <v>0</v>
      </c>
      <c r="F8" s="19" t="str">
        <f t="shared" si="3"/>
        <v>LARGE</v>
      </c>
    </row>
    <row r="9" spans="1:6" x14ac:dyDescent="0.25">
      <c r="A9" s="2">
        <v>1381</v>
      </c>
      <c r="B9" s="2">
        <v>60</v>
      </c>
      <c r="C9" s="3">
        <f t="shared" si="0"/>
        <v>1</v>
      </c>
      <c r="D9" s="3">
        <f t="shared" si="1"/>
        <v>1386</v>
      </c>
      <c r="E9" s="3">
        <f t="shared" si="2"/>
        <v>6</v>
      </c>
      <c r="F9" s="19" t="str">
        <f t="shared" si="3"/>
        <v>LARGE</v>
      </c>
    </row>
    <row r="10" spans="1:6" x14ac:dyDescent="0.25">
      <c r="A10" s="2">
        <v>1405</v>
      </c>
      <c r="B10" s="2">
        <v>60</v>
      </c>
      <c r="C10" s="3">
        <f t="shared" si="0"/>
        <v>25</v>
      </c>
      <c r="D10" s="3">
        <f t="shared" si="1"/>
        <v>1410</v>
      </c>
      <c r="E10" s="3">
        <f t="shared" si="2"/>
        <v>0</v>
      </c>
      <c r="F10" s="19" t="str">
        <f t="shared" si="3"/>
        <v>LARGE</v>
      </c>
    </row>
    <row r="11" spans="1:6" x14ac:dyDescent="0.25">
      <c r="A11" s="2">
        <v>1285</v>
      </c>
      <c r="B11" s="2">
        <v>60</v>
      </c>
      <c r="C11" s="3">
        <f t="shared" si="0"/>
        <v>25</v>
      </c>
      <c r="D11" s="3">
        <f t="shared" si="1"/>
        <v>1290</v>
      </c>
      <c r="E11" s="3">
        <f t="shared" si="2"/>
        <v>0</v>
      </c>
      <c r="F11" s="19" t="str">
        <f t="shared" si="3"/>
        <v>LARGE</v>
      </c>
    </row>
    <row r="12" spans="1:6" x14ac:dyDescent="0.25">
      <c r="A12" s="2">
        <v>1135</v>
      </c>
      <c r="B12" s="2">
        <v>59</v>
      </c>
      <c r="C12" s="3">
        <f t="shared" si="0"/>
        <v>25</v>
      </c>
      <c r="D12" s="3">
        <f t="shared" si="1"/>
        <v>1140</v>
      </c>
      <c r="E12" s="3">
        <f t="shared" si="2"/>
        <v>0</v>
      </c>
      <c r="F12" s="19" t="str">
        <f t="shared" si="3"/>
        <v>LARGE</v>
      </c>
    </row>
    <row r="13" spans="1:6" x14ac:dyDescent="0.25">
      <c r="A13" s="2">
        <v>1165</v>
      </c>
      <c r="B13" s="2">
        <v>58</v>
      </c>
      <c r="C13" s="3">
        <f t="shared" si="0"/>
        <v>25</v>
      </c>
      <c r="D13" s="3">
        <f t="shared" si="1"/>
        <v>1170</v>
      </c>
      <c r="E13" s="3">
        <f t="shared" si="2"/>
        <v>0</v>
      </c>
      <c r="F13" s="19" t="str">
        <f t="shared" si="3"/>
        <v>LARGE</v>
      </c>
    </row>
    <row r="14" spans="1:6" x14ac:dyDescent="0.25">
      <c r="A14" s="2">
        <v>1045</v>
      </c>
      <c r="B14" s="2">
        <v>57</v>
      </c>
      <c r="C14" s="3">
        <f t="shared" si="0"/>
        <v>25</v>
      </c>
      <c r="D14" s="3">
        <f t="shared" si="1"/>
        <v>1050</v>
      </c>
      <c r="E14" s="3">
        <f t="shared" si="2"/>
        <v>0</v>
      </c>
      <c r="F14" s="19" t="str">
        <f t="shared" si="3"/>
        <v>LARGE</v>
      </c>
    </row>
    <row r="15" spans="1:6" x14ac:dyDescent="0.25">
      <c r="A15" s="2">
        <v>1195</v>
      </c>
      <c r="B15" s="2">
        <v>55</v>
      </c>
      <c r="C15" s="3">
        <f t="shared" si="0"/>
        <v>25</v>
      </c>
      <c r="D15" s="3">
        <f t="shared" si="1"/>
        <v>1200</v>
      </c>
      <c r="E15" s="3">
        <f t="shared" si="2"/>
        <v>0</v>
      </c>
      <c r="F15" s="19" t="str">
        <f t="shared" si="3"/>
        <v>LARGE</v>
      </c>
    </row>
    <row r="16" spans="1:6" x14ac:dyDescent="0.25">
      <c r="A16" s="2">
        <v>1465</v>
      </c>
      <c r="B16" s="2">
        <v>55</v>
      </c>
      <c r="C16" s="3">
        <f t="shared" si="0"/>
        <v>25</v>
      </c>
      <c r="D16" s="3">
        <f t="shared" si="1"/>
        <v>1470</v>
      </c>
      <c r="E16" s="3">
        <f t="shared" si="2"/>
        <v>0</v>
      </c>
      <c r="F16" s="19" t="str">
        <f t="shared" si="3"/>
        <v>LARGE</v>
      </c>
    </row>
    <row r="17" spans="1:6" x14ac:dyDescent="0.25">
      <c r="A17" s="2">
        <v>1225</v>
      </c>
      <c r="B17" s="2">
        <v>55</v>
      </c>
      <c r="C17" s="3">
        <f t="shared" si="0"/>
        <v>25</v>
      </c>
      <c r="D17" s="3">
        <f t="shared" si="1"/>
        <v>1230</v>
      </c>
      <c r="E17" s="3">
        <f t="shared" si="2"/>
        <v>0</v>
      </c>
      <c r="F17" s="19" t="str">
        <f t="shared" si="3"/>
        <v>LARGE</v>
      </c>
    </row>
    <row r="18" spans="1:6" x14ac:dyDescent="0.25">
      <c r="A18" s="2">
        <v>1297</v>
      </c>
      <c r="B18" s="2">
        <v>54</v>
      </c>
      <c r="C18" s="3">
        <f t="shared" si="0"/>
        <v>7</v>
      </c>
      <c r="D18" s="3">
        <f t="shared" si="1"/>
        <v>1302</v>
      </c>
      <c r="E18" s="3">
        <f t="shared" si="2"/>
        <v>12</v>
      </c>
      <c r="F18" s="19" t="str">
        <f t="shared" si="3"/>
        <v>LARGE</v>
      </c>
    </row>
    <row r="19" spans="1:6" x14ac:dyDescent="0.25">
      <c r="A19" s="2">
        <v>1105</v>
      </c>
      <c r="B19" s="2">
        <v>54</v>
      </c>
      <c r="C19" s="3">
        <f t="shared" si="0"/>
        <v>25</v>
      </c>
      <c r="D19" s="3">
        <f t="shared" si="1"/>
        <v>1110</v>
      </c>
      <c r="E19" s="3">
        <f t="shared" si="2"/>
        <v>0</v>
      </c>
      <c r="F19" s="19" t="str">
        <f t="shared" si="3"/>
        <v>LARGE</v>
      </c>
    </row>
    <row r="20" spans="1:6" x14ac:dyDescent="0.25">
      <c r="A20" s="2">
        <v>1075</v>
      </c>
      <c r="B20" s="2">
        <v>54</v>
      </c>
      <c r="C20" s="3">
        <f t="shared" si="0"/>
        <v>25</v>
      </c>
      <c r="D20" s="3">
        <f t="shared" si="1"/>
        <v>1080</v>
      </c>
      <c r="E20" s="3">
        <f t="shared" si="2"/>
        <v>0</v>
      </c>
      <c r="F20" s="19" t="str">
        <f t="shared" si="3"/>
        <v>LARGE</v>
      </c>
    </row>
    <row r="21" spans="1:6" x14ac:dyDescent="0.25">
      <c r="A21" s="2">
        <v>1339</v>
      </c>
      <c r="B21" s="2">
        <v>54</v>
      </c>
      <c r="C21" s="3">
        <f t="shared" si="0"/>
        <v>19</v>
      </c>
      <c r="D21" s="3">
        <f t="shared" si="1"/>
        <v>1344</v>
      </c>
      <c r="E21" s="3">
        <f t="shared" si="2"/>
        <v>24</v>
      </c>
      <c r="F21" s="19" t="str">
        <f t="shared" si="3"/>
        <v>LARGE</v>
      </c>
    </row>
    <row r="22" spans="1:6" x14ac:dyDescent="0.25">
      <c r="A22" s="2">
        <v>985</v>
      </c>
      <c r="B22" s="2">
        <v>53</v>
      </c>
      <c r="C22" s="3">
        <f t="shared" si="0"/>
        <v>25</v>
      </c>
      <c r="D22" s="3">
        <f t="shared" si="1"/>
        <v>990</v>
      </c>
      <c r="E22" s="3">
        <f t="shared" si="2"/>
        <v>0</v>
      </c>
      <c r="F22" s="19" t="str">
        <f t="shared" si="3"/>
        <v>LARGE</v>
      </c>
    </row>
    <row r="23" spans="1:6" x14ac:dyDescent="0.25">
      <c r="A23" s="2">
        <v>1321</v>
      </c>
      <c r="B23" s="2">
        <v>53</v>
      </c>
      <c r="C23" s="3">
        <f t="shared" si="0"/>
        <v>1</v>
      </c>
      <c r="D23" s="3">
        <f t="shared" si="1"/>
        <v>1326</v>
      </c>
      <c r="E23" s="3">
        <f t="shared" si="2"/>
        <v>6</v>
      </c>
      <c r="F23" s="19" t="str">
        <f t="shared" si="3"/>
        <v>LARGE</v>
      </c>
    </row>
    <row r="24" spans="1:6" x14ac:dyDescent="0.25">
      <c r="A24" s="2">
        <v>1015</v>
      </c>
      <c r="B24" s="2">
        <v>52</v>
      </c>
      <c r="C24" s="3">
        <f t="shared" si="0"/>
        <v>25</v>
      </c>
      <c r="D24" s="3">
        <f t="shared" si="1"/>
        <v>1020</v>
      </c>
      <c r="E24" s="3">
        <f t="shared" si="2"/>
        <v>0</v>
      </c>
      <c r="F24" s="19" t="str">
        <f t="shared" si="3"/>
        <v>LARGE</v>
      </c>
    </row>
    <row r="25" spans="1:6" x14ac:dyDescent="0.25">
      <c r="A25" s="2">
        <v>1435</v>
      </c>
      <c r="B25" s="2">
        <v>51</v>
      </c>
      <c r="C25" s="3">
        <f t="shared" si="0"/>
        <v>25</v>
      </c>
      <c r="D25" s="3">
        <f t="shared" si="1"/>
        <v>1440</v>
      </c>
      <c r="E25" s="3">
        <f t="shared" si="2"/>
        <v>0</v>
      </c>
      <c r="F25" s="19" t="str">
        <f t="shared" si="3"/>
        <v>LARGE</v>
      </c>
    </row>
    <row r="26" spans="1:6" x14ac:dyDescent="0.25">
      <c r="A26" s="2">
        <v>1249</v>
      </c>
      <c r="B26" s="2">
        <v>51</v>
      </c>
      <c r="C26" s="3">
        <f t="shared" si="0"/>
        <v>19</v>
      </c>
      <c r="D26" s="3">
        <f t="shared" si="1"/>
        <v>1254</v>
      </c>
      <c r="E26" s="3">
        <f t="shared" si="2"/>
        <v>24</v>
      </c>
      <c r="F26" s="19" t="str">
        <f t="shared" si="3"/>
        <v>LARGE</v>
      </c>
    </row>
    <row r="27" spans="1:6" x14ac:dyDescent="0.25">
      <c r="A27" s="2">
        <v>835</v>
      </c>
      <c r="B27" s="2">
        <v>51</v>
      </c>
      <c r="C27" s="3">
        <f t="shared" si="0"/>
        <v>25</v>
      </c>
      <c r="D27" s="3">
        <f t="shared" si="1"/>
        <v>840</v>
      </c>
      <c r="E27" s="3">
        <f t="shared" si="2"/>
        <v>0</v>
      </c>
      <c r="F27" s="19" t="str">
        <f t="shared" si="3"/>
        <v>LARGE</v>
      </c>
    </row>
    <row r="28" spans="1:6" x14ac:dyDescent="0.25">
      <c r="A28" s="2">
        <v>1423</v>
      </c>
      <c r="B28" s="2">
        <v>50</v>
      </c>
      <c r="C28" s="3">
        <f t="shared" si="0"/>
        <v>13</v>
      </c>
      <c r="D28" s="3">
        <f t="shared" si="1"/>
        <v>1428</v>
      </c>
      <c r="E28" s="3">
        <f t="shared" si="2"/>
        <v>18</v>
      </c>
      <c r="F28" s="19" t="str">
        <f t="shared" si="3"/>
        <v>LARGE</v>
      </c>
    </row>
    <row r="29" spans="1:6" x14ac:dyDescent="0.25">
      <c r="A29" s="2">
        <v>1129</v>
      </c>
      <c r="B29" s="2">
        <v>50</v>
      </c>
      <c r="C29" s="3">
        <f t="shared" si="0"/>
        <v>19</v>
      </c>
      <c r="D29" s="3">
        <f t="shared" si="1"/>
        <v>1134</v>
      </c>
      <c r="E29" s="3">
        <f t="shared" si="2"/>
        <v>24</v>
      </c>
      <c r="F29" s="19" t="str">
        <f t="shared" si="3"/>
        <v>LARGE</v>
      </c>
    </row>
    <row r="30" spans="1:6" x14ac:dyDescent="0.25">
      <c r="A30" s="2">
        <v>1171</v>
      </c>
      <c r="B30" s="2">
        <v>50</v>
      </c>
      <c r="C30" s="3">
        <f t="shared" si="0"/>
        <v>1</v>
      </c>
      <c r="D30" s="3">
        <f t="shared" si="1"/>
        <v>1176</v>
      </c>
      <c r="E30" s="3">
        <f t="shared" si="2"/>
        <v>6</v>
      </c>
      <c r="F30" s="19" t="str">
        <f t="shared" si="3"/>
        <v>LARGE</v>
      </c>
    </row>
    <row r="31" spans="1:6" x14ac:dyDescent="0.25">
      <c r="A31" s="2">
        <v>1213</v>
      </c>
      <c r="B31" s="2">
        <v>50</v>
      </c>
      <c r="C31" s="3">
        <f t="shared" si="0"/>
        <v>13</v>
      </c>
      <c r="D31" s="3">
        <f t="shared" si="1"/>
        <v>1218</v>
      </c>
      <c r="E31" s="3">
        <f t="shared" si="2"/>
        <v>18</v>
      </c>
      <c r="F31" s="19" t="str">
        <f t="shared" si="3"/>
        <v>LARGE</v>
      </c>
    </row>
    <row r="32" spans="1:6" x14ac:dyDescent="0.25">
      <c r="A32" s="2">
        <v>919</v>
      </c>
      <c r="B32" s="2">
        <v>49</v>
      </c>
      <c r="C32" s="3">
        <f t="shared" si="0"/>
        <v>19</v>
      </c>
      <c r="D32" s="3">
        <f t="shared" si="1"/>
        <v>924</v>
      </c>
      <c r="E32" s="3">
        <f t="shared" si="2"/>
        <v>24</v>
      </c>
      <c r="F32" s="19" t="str">
        <f t="shared" si="3"/>
        <v/>
      </c>
    </row>
    <row r="33" spans="1:6" x14ac:dyDescent="0.25">
      <c r="A33" s="2">
        <v>1363</v>
      </c>
      <c r="B33" s="2">
        <v>49</v>
      </c>
      <c r="C33" s="3">
        <f t="shared" si="0"/>
        <v>13</v>
      </c>
      <c r="D33" s="3">
        <f t="shared" si="1"/>
        <v>1368</v>
      </c>
      <c r="E33" s="3">
        <f t="shared" si="2"/>
        <v>18</v>
      </c>
      <c r="F33" s="19" t="str">
        <f t="shared" si="3"/>
        <v/>
      </c>
    </row>
    <row r="34" spans="1:6" x14ac:dyDescent="0.25">
      <c r="A34" s="2">
        <v>1369</v>
      </c>
      <c r="B34" s="2">
        <v>49</v>
      </c>
      <c r="C34" s="3">
        <f t="shared" si="0"/>
        <v>19</v>
      </c>
      <c r="D34" s="3">
        <f t="shared" si="1"/>
        <v>1374</v>
      </c>
      <c r="E34" s="3">
        <f t="shared" si="2"/>
        <v>24</v>
      </c>
      <c r="F34" s="19" t="str">
        <f t="shared" si="3"/>
        <v/>
      </c>
    </row>
    <row r="35" spans="1:6" x14ac:dyDescent="0.25">
      <c r="A35" s="2">
        <v>1291</v>
      </c>
      <c r="B35" s="2">
        <v>49</v>
      </c>
      <c r="C35" s="3">
        <f t="shared" si="0"/>
        <v>1</v>
      </c>
      <c r="D35" s="3">
        <f t="shared" si="1"/>
        <v>1296</v>
      </c>
      <c r="E35" s="3">
        <f t="shared" si="2"/>
        <v>6</v>
      </c>
      <c r="F35" s="19" t="str">
        <f t="shared" si="3"/>
        <v/>
      </c>
    </row>
    <row r="36" spans="1:6" x14ac:dyDescent="0.25">
      <c r="A36" s="2">
        <v>1303</v>
      </c>
      <c r="B36" s="2">
        <v>49</v>
      </c>
      <c r="C36" s="3">
        <f t="shared" si="0"/>
        <v>13</v>
      </c>
      <c r="D36" s="3">
        <f t="shared" si="1"/>
        <v>1308</v>
      </c>
      <c r="E36" s="3">
        <f t="shared" si="2"/>
        <v>18</v>
      </c>
      <c r="F36" s="19" t="str">
        <f t="shared" si="3"/>
        <v/>
      </c>
    </row>
    <row r="37" spans="1:6" x14ac:dyDescent="0.25">
      <c r="A37" s="2">
        <v>1399</v>
      </c>
      <c r="B37" s="2">
        <v>49</v>
      </c>
      <c r="C37" s="3">
        <f t="shared" ref="C37:C68" si="4">MOD(A37,30)</f>
        <v>19</v>
      </c>
      <c r="D37" s="3">
        <f t="shared" ref="D37:D68" si="5">A37+5</f>
        <v>1404</v>
      </c>
      <c r="E37" s="3">
        <f t="shared" ref="E37:E68" si="6">MOD(D37,30)</f>
        <v>24</v>
      </c>
      <c r="F37" s="19" t="str">
        <f t="shared" ref="F37:F68" si="7">IF(B37&gt;=50,"LARGE","")</f>
        <v/>
      </c>
    </row>
    <row r="38" spans="1:6" x14ac:dyDescent="0.25">
      <c r="A38" s="2">
        <v>895</v>
      </c>
      <c r="B38" s="2">
        <v>49</v>
      </c>
      <c r="C38" s="3">
        <f t="shared" si="4"/>
        <v>25</v>
      </c>
      <c r="D38" s="3">
        <f t="shared" si="5"/>
        <v>900</v>
      </c>
      <c r="E38" s="3">
        <f t="shared" si="6"/>
        <v>0</v>
      </c>
      <c r="F38" s="19" t="str">
        <f t="shared" si="7"/>
        <v/>
      </c>
    </row>
    <row r="39" spans="1:6" x14ac:dyDescent="0.25">
      <c r="A39" s="2">
        <v>1117</v>
      </c>
      <c r="B39" s="2">
        <v>48</v>
      </c>
      <c r="C39" s="3">
        <f t="shared" si="4"/>
        <v>7</v>
      </c>
      <c r="D39" s="3">
        <f t="shared" si="5"/>
        <v>1122</v>
      </c>
      <c r="E39" s="3">
        <f t="shared" si="6"/>
        <v>12</v>
      </c>
      <c r="F39" s="19" t="str">
        <f t="shared" si="7"/>
        <v/>
      </c>
    </row>
    <row r="40" spans="1:6" x14ac:dyDescent="0.25">
      <c r="A40" s="2">
        <v>1087</v>
      </c>
      <c r="B40" s="2">
        <v>48</v>
      </c>
      <c r="C40" s="3">
        <f t="shared" si="4"/>
        <v>7</v>
      </c>
      <c r="D40" s="3">
        <f t="shared" si="5"/>
        <v>1092</v>
      </c>
      <c r="E40" s="3">
        <f t="shared" si="6"/>
        <v>12</v>
      </c>
      <c r="F40" s="19" t="str">
        <f t="shared" si="7"/>
        <v/>
      </c>
    </row>
    <row r="41" spans="1:6" x14ac:dyDescent="0.25">
      <c r="A41" s="2">
        <v>1327</v>
      </c>
      <c r="B41" s="2">
        <v>48</v>
      </c>
      <c r="C41" s="3">
        <f t="shared" si="4"/>
        <v>7</v>
      </c>
      <c r="D41" s="3">
        <f t="shared" si="5"/>
        <v>1332</v>
      </c>
      <c r="E41" s="3">
        <f t="shared" si="6"/>
        <v>12</v>
      </c>
      <c r="F41" s="19" t="str">
        <f t="shared" si="7"/>
        <v/>
      </c>
    </row>
    <row r="42" spans="1:6" x14ac:dyDescent="0.25">
      <c r="A42" s="2">
        <v>1495</v>
      </c>
      <c r="B42" s="2">
        <v>48</v>
      </c>
      <c r="C42" s="3">
        <f t="shared" si="4"/>
        <v>25</v>
      </c>
      <c r="D42" s="3">
        <f t="shared" si="5"/>
        <v>1500</v>
      </c>
      <c r="E42" s="3">
        <f t="shared" si="6"/>
        <v>0</v>
      </c>
      <c r="F42" s="19" t="str">
        <f t="shared" si="7"/>
        <v/>
      </c>
    </row>
    <row r="43" spans="1:6" x14ac:dyDescent="0.25">
      <c r="A43" s="2">
        <v>865</v>
      </c>
      <c r="B43" s="2">
        <v>47</v>
      </c>
      <c r="C43" s="3">
        <f t="shared" si="4"/>
        <v>25</v>
      </c>
      <c r="D43" s="3">
        <f t="shared" si="5"/>
        <v>870</v>
      </c>
      <c r="E43" s="3">
        <f t="shared" si="6"/>
        <v>0</v>
      </c>
      <c r="F43" s="19" t="str">
        <f t="shared" si="7"/>
        <v/>
      </c>
    </row>
    <row r="44" spans="1:6" x14ac:dyDescent="0.25">
      <c r="A44" s="2">
        <v>961</v>
      </c>
      <c r="B44" s="2">
        <v>47</v>
      </c>
      <c r="C44" s="3">
        <f t="shared" si="4"/>
        <v>1</v>
      </c>
      <c r="D44" s="3">
        <f t="shared" si="5"/>
        <v>966</v>
      </c>
      <c r="E44" s="3">
        <f t="shared" si="6"/>
        <v>6</v>
      </c>
      <c r="F44" s="19" t="str">
        <f t="shared" si="7"/>
        <v/>
      </c>
    </row>
    <row r="45" spans="1:6" x14ac:dyDescent="0.25">
      <c r="A45" s="2">
        <v>1309</v>
      </c>
      <c r="B45" s="2">
        <v>47</v>
      </c>
      <c r="C45" s="3">
        <f t="shared" si="4"/>
        <v>19</v>
      </c>
      <c r="D45" s="3">
        <f t="shared" si="5"/>
        <v>1314</v>
      </c>
      <c r="E45" s="3">
        <f t="shared" si="6"/>
        <v>24</v>
      </c>
      <c r="F45" s="19" t="str">
        <f t="shared" si="7"/>
        <v/>
      </c>
    </row>
    <row r="46" spans="1:6" x14ac:dyDescent="0.25">
      <c r="A46" s="2">
        <v>1099</v>
      </c>
      <c r="B46" s="2">
        <v>46</v>
      </c>
      <c r="C46" s="3">
        <f t="shared" si="4"/>
        <v>19</v>
      </c>
      <c r="D46" s="3">
        <f t="shared" si="5"/>
        <v>1104</v>
      </c>
      <c r="E46" s="3">
        <f t="shared" si="6"/>
        <v>24</v>
      </c>
      <c r="F46" s="19" t="str">
        <f t="shared" si="7"/>
        <v/>
      </c>
    </row>
    <row r="47" spans="1:6" x14ac:dyDescent="0.25">
      <c r="A47" s="2">
        <v>1183</v>
      </c>
      <c r="B47" s="2">
        <v>46</v>
      </c>
      <c r="C47" s="3">
        <f t="shared" si="4"/>
        <v>13</v>
      </c>
      <c r="D47" s="3">
        <f t="shared" si="5"/>
        <v>1188</v>
      </c>
      <c r="E47" s="3">
        <f t="shared" si="6"/>
        <v>18</v>
      </c>
      <c r="F47" s="19" t="str">
        <f t="shared" si="7"/>
        <v/>
      </c>
    </row>
    <row r="48" spans="1:6" x14ac:dyDescent="0.25">
      <c r="A48" s="2">
        <v>1237</v>
      </c>
      <c r="B48" s="2">
        <v>46</v>
      </c>
      <c r="C48" s="3">
        <f t="shared" si="4"/>
        <v>7</v>
      </c>
      <c r="D48" s="3">
        <f t="shared" si="5"/>
        <v>1242</v>
      </c>
      <c r="E48" s="3">
        <f t="shared" si="6"/>
        <v>12</v>
      </c>
      <c r="F48" s="19" t="str">
        <f t="shared" si="7"/>
        <v/>
      </c>
    </row>
    <row r="49" spans="1:6" x14ac:dyDescent="0.25">
      <c r="A49" s="2">
        <v>1351</v>
      </c>
      <c r="B49" s="2">
        <v>46</v>
      </c>
      <c r="C49" s="3">
        <f t="shared" si="4"/>
        <v>1</v>
      </c>
      <c r="D49" s="3">
        <f t="shared" si="5"/>
        <v>1356</v>
      </c>
      <c r="E49" s="3">
        <f t="shared" si="6"/>
        <v>6</v>
      </c>
      <c r="F49" s="19" t="str">
        <f t="shared" si="7"/>
        <v/>
      </c>
    </row>
    <row r="50" spans="1:6" x14ac:dyDescent="0.25">
      <c r="A50" s="2">
        <v>1393</v>
      </c>
      <c r="B50" s="2">
        <v>46</v>
      </c>
      <c r="C50" s="3">
        <f t="shared" si="4"/>
        <v>13</v>
      </c>
      <c r="D50" s="3">
        <f t="shared" si="5"/>
        <v>1398</v>
      </c>
      <c r="E50" s="3">
        <f t="shared" si="6"/>
        <v>18</v>
      </c>
      <c r="F50" s="19" t="str">
        <f t="shared" si="7"/>
        <v/>
      </c>
    </row>
    <row r="51" spans="1:6" x14ac:dyDescent="0.25">
      <c r="A51" s="2">
        <v>1189</v>
      </c>
      <c r="B51" s="2">
        <v>46</v>
      </c>
      <c r="C51" s="3">
        <f t="shared" si="4"/>
        <v>19</v>
      </c>
      <c r="D51" s="3">
        <f t="shared" si="5"/>
        <v>1194</v>
      </c>
      <c r="E51" s="3">
        <f t="shared" si="6"/>
        <v>24</v>
      </c>
      <c r="F51" s="19" t="str">
        <f t="shared" si="7"/>
        <v/>
      </c>
    </row>
    <row r="52" spans="1:6" x14ac:dyDescent="0.25">
      <c r="A52" s="2">
        <v>1243</v>
      </c>
      <c r="B52" s="2">
        <v>46</v>
      </c>
      <c r="C52" s="3">
        <f t="shared" si="4"/>
        <v>13</v>
      </c>
      <c r="D52" s="3">
        <f t="shared" si="5"/>
        <v>1248</v>
      </c>
      <c r="E52" s="3">
        <f t="shared" si="6"/>
        <v>18</v>
      </c>
      <c r="F52" s="19" t="str">
        <f t="shared" si="7"/>
        <v/>
      </c>
    </row>
    <row r="53" spans="1:6" x14ac:dyDescent="0.25">
      <c r="A53" s="2">
        <v>1411</v>
      </c>
      <c r="B53" s="2">
        <v>46</v>
      </c>
      <c r="C53" s="3">
        <f t="shared" si="4"/>
        <v>1</v>
      </c>
      <c r="D53" s="3">
        <f t="shared" si="5"/>
        <v>1416</v>
      </c>
      <c r="E53" s="3">
        <f t="shared" si="6"/>
        <v>6</v>
      </c>
      <c r="F53" s="19" t="str">
        <f t="shared" si="7"/>
        <v/>
      </c>
    </row>
    <row r="54" spans="1:6" x14ac:dyDescent="0.25">
      <c r="A54" s="2">
        <v>1525</v>
      </c>
      <c r="B54" s="2">
        <v>46</v>
      </c>
      <c r="C54" s="3">
        <f t="shared" si="4"/>
        <v>25</v>
      </c>
      <c r="D54" s="3">
        <f t="shared" si="5"/>
        <v>1530</v>
      </c>
      <c r="E54" s="3">
        <f t="shared" si="6"/>
        <v>0</v>
      </c>
      <c r="F54" s="19" t="str">
        <f t="shared" si="7"/>
        <v/>
      </c>
    </row>
    <row r="55" spans="1:6" x14ac:dyDescent="0.25">
      <c r="A55" s="2">
        <v>1219</v>
      </c>
      <c r="B55" s="2">
        <v>46</v>
      </c>
      <c r="C55" s="3">
        <f t="shared" si="4"/>
        <v>19</v>
      </c>
      <c r="D55" s="3">
        <f t="shared" si="5"/>
        <v>1224</v>
      </c>
      <c r="E55" s="3">
        <f t="shared" si="6"/>
        <v>24</v>
      </c>
      <c r="F55" s="19" t="str">
        <f t="shared" si="7"/>
        <v/>
      </c>
    </row>
    <row r="56" spans="1:6" x14ac:dyDescent="0.25">
      <c r="A56" s="2">
        <v>1279</v>
      </c>
      <c r="B56" s="2">
        <v>46</v>
      </c>
      <c r="C56" s="3">
        <f t="shared" si="4"/>
        <v>19</v>
      </c>
      <c r="D56" s="3">
        <f t="shared" si="5"/>
        <v>1284</v>
      </c>
      <c r="E56" s="3">
        <f t="shared" si="6"/>
        <v>24</v>
      </c>
      <c r="F56" s="19" t="str">
        <f t="shared" si="7"/>
        <v/>
      </c>
    </row>
    <row r="57" spans="1:6" x14ac:dyDescent="0.25">
      <c r="A57" s="2">
        <v>1021</v>
      </c>
      <c r="B57" s="2">
        <v>45</v>
      </c>
      <c r="C57" s="3">
        <f t="shared" si="4"/>
        <v>1</v>
      </c>
      <c r="D57" s="3">
        <f t="shared" si="5"/>
        <v>1026</v>
      </c>
      <c r="E57" s="3">
        <f t="shared" si="6"/>
        <v>6</v>
      </c>
      <c r="F57" s="19" t="str">
        <f t="shared" si="7"/>
        <v/>
      </c>
    </row>
    <row r="58" spans="1:6" x14ac:dyDescent="0.25">
      <c r="A58" s="2">
        <v>1153</v>
      </c>
      <c r="B58" s="2">
        <v>45</v>
      </c>
      <c r="C58" s="3">
        <f t="shared" si="4"/>
        <v>13</v>
      </c>
      <c r="D58" s="3">
        <f t="shared" si="5"/>
        <v>1158</v>
      </c>
      <c r="E58" s="3">
        <f t="shared" si="6"/>
        <v>18</v>
      </c>
      <c r="F58" s="19" t="str">
        <f t="shared" si="7"/>
        <v/>
      </c>
    </row>
    <row r="59" spans="1:6" x14ac:dyDescent="0.25">
      <c r="A59" s="2">
        <v>775</v>
      </c>
      <c r="B59" s="2">
        <v>45</v>
      </c>
      <c r="C59" s="3">
        <f t="shared" si="4"/>
        <v>25</v>
      </c>
      <c r="D59" s="3">
        <f t="shared" si="5"/>
        <v>780</v>
      </c>
      <c r="E59" s="3">
        <f t="shared" si="6"/>
        <v>0</v>
      </c>
      <c r="F59" s="19" t="str">
        <f t="shared" si="7"/>
        <v/>
      </c>
    </row>
    <row r="60" spans="1:6" x14ac:dyDescent="0.25">
      <c r="A60" s="2">
        <v>925</v>
      </c>
      <c r="B60" s="2">
        <v>45</v>
      </c>
      <c r="C60" s="3">
        <f t="shared" si="4"/>
        <v>25</v>
      </c>
      <c r="D60" s="3">
        <f t="shared" si="5"/>
        <v>930</v>
      </c>
      <c r="E60" s="3">
        <f t="shared" si="6"/>
        <v>0</v>
      </c>
      <c r="F60" s="19" t="str">
        <f t="shared" si="7"/>
        <v/>
      </c>
    </row>
    <row r="61" spans="1:6" x14ac:dyDescent="0.25">
      <c r="A61" s="2">
        <v>955</v>
      </c>
      <c r="B61" s="2">
        <v>45</v>
      </c>
      <c r="C61" s="3">
        <f t="shared" si="4"/>
        <v>25</v>
      </c>
      <c r="D61" s="3">
        <f t="shared" si="5"/>
        <v>960</v>
      </c>
      <c r="E61" s="3">
        <f t="shared" si="6"/>
        <v>0</v>
      </c>
      <c r="F61" s="19" t="str">
        <f t="shared" si="7"/>
        <v/>
      </c>
    </row>
    <row r="62" spans="1:6" x14ac:dyDescent="0.25">
      <c r="A62" s="2">
        <v>1387</v>
      </c>
      <c r="B62" s="2">
        <v>45</v>
      </c>
      <c r="C62" s="3">
        <f t="shared" si="4"/>
        <v>7</v>
      </c>
      <c r="D62" s="3">
        <f t="shared" si="5"/>
        <v>1392</v>
      </c>
      <c r="E62" s="3">
        <f t="shared" si="6"/>
        <v>12</v>
      </c>
      <c r="F62" s="19" t="str">
        <f t="shared" si="7"/>
        <v/>
      </c>
    </row>
    <row r="63" spans="1:6" x14ac:dyDescent="0.25">
      <c r="A63" s="2">
        <v>1585</v>
      </c>
      <c r="B63" s="2">
        <v>45</v>
      </c>
      <c r="C63" s="3">
        <f t="shared" si="4"/>
        <v>25</v>
      </c>
      <c r="D63" s="3">
        <f t="shared" si="5"/>
        <v>1590</v>
      </c>
      <c r="E63" s="3">
        <f t="shared" si="6"/>
        <v>0</v>
      </c>
      <c r="F63" s="19" t="str">
        <f t="shared" si="7"/>
        <v/>
      </c>
    </row>
    <row r="64" spans="1:6" x14ac:dyDescent="0.25">
      <c r="A64" s="2">
        <v>1555</v>
      </c>
      <c r="B64" s="2">
        <v>45</v>
      </c>
      <c r="C64" s="3">
        <f t="shared" si="4"/>
        <v>25</v>
      </c>
      <c r="D64" s="3">
        <f t="shared" si="5"/>
        <v>1560</v>
      </c>
      <c r="E64" s="3">
        <f t="shared" si="6"/>
        <v>0</v>
      </c>
      <c r="F64" s="19" t="str">
        <f t="shared" si="7"/>
        <v/>
      </c>
    </row>
    <row r="65" spans="1:6" x14ac:dyDescent="0.25">
      <c r="A65" s="2">
        <v>1333</v>
      </c>
      <c r="B65" s="2">
        <v>45</v>
      </c>
      <c r="C65" s="3">
        <f t="shared" si="4"/>
        <v>13</v>
      </c>
      <c r="D65" s="3">
        <f t="shared" si="5"/>
        <v>1338</v>
      </c>
      <c r="E65" s="3">
        <f t="shared" si="6"/>
        <v>18</v>
      </c>
      <c r="F65" s="19" t="str">
        <f t="shared" si="7"/>
        <v/>
      </c>
    </row>
    <row r="66" spans="1:6" x14ac:dyDescent="0.25">
      <c r="A66" s="2">
        <v>1357</v>
      </c>
      <c r="B66" s="2">
        <v>45</v>
      </c>
      <c r="C66" s="3">
        <f t="shared" si="4"/>
        <v>7</v>
      </c>
      <c r="D66" s="3">
        <f t="shared" si="5"/>
        <v>1362</v>
      </c>
      <c r="E66" s="3">
        <f t="shared" si="6"/>
        <v>12</v>
      </c>
      <c r="F66" s="19" t="str">
        <f t="shared" si="7"/>
        <v/>
      </c>
    </row>
    <row r="67" spans="1:6" x14ac:dyDescent="0.25">
      <c r="A67" s="2">
        <v>1201</v>
      </c>
      <c r="B67" s="2">
        <v>44</v>
      </c>
      <c r="C67" s="3">
        <f t="shared" si="4"/>
        <v>1</v>
      </c>
      <c r="D67" s="3">
        <f t="shared" si="5"/>
        <v>1206</v>
      </c>
      <c r="E67" s="3">
        <f t="shared" si="6"/>
        <v>6</v>
      </c>
      <c r="F67" s="19" t="str">
        <f t="shared" si="7"/>
        <v/>
      </c>
    </row>
    <row r="68" spans="1:6" x14ac:dyDescent="0.25">
      <c r="A68" s="2">
        <v>1273</v>
      </c>
      <c r="B68" s="2">
        <v>44</v>
      </c>
      <c r="C68" s="3">
        <f t="shared" si="4"/>
        <v>13</v>
      </c>
      <c r="D68" s="3">
        <f t="shared" si="5"/>
        <v>1278</v>
      </c>
      <c r="E68" s="3">
        <f t="shared" si="6"/>
        <v>18</v>
      </c>
      <c r="F68" s="19" t="str">
        <f t="shared" si="7"/>
        <v/>
      </c>
    </row>
    <row r="69" spans="1:6" x14ac:dyDescent="0.25">
      <c r="A69" s="2">
        <v>1261</v>
      </c>
      <c r="B69" s="2">
        <v>44</v>
      </c>
      <c r="C69" s="3">
        <f t="shared" ref="C69:C100" si="8">MOD(A69,30)</f>
        <v>1</v>
      </c>
      <c r="D69" s="3">
        <f t="shared" ref="D69:D100" si="9">A69+5</f>
        <v>1266</v>
      </c>
      <c r="E69" s="3">
        <f t="shared" ref="E69:E100" si="10">MOD(D69,30)</f>
        <v>6</v>
      </c>
      <c r="F69" s="19" t="str">
        <f t="shared" ref="F69:F100" si="11">IF(B69&gt;=50,"LARGE","")</f>
        <v/>
      </c>
    </row>
    <row r="70" spans="1:6" x14ac:dyDescent="0.25">
      <c r="A70" s="2">
        <v>1429</v>
      </c>
      <c r="B70" s="2">
        <v>44</v>
      </c>
      <c r="C70" s="3">
        <f t="shared" si="8"/>
        <v>19</v>
      </c>
      <c r="D70" s="3">
        <f t="shared" si="9"/>
        <v>1434</v>
      </c>
      <c r="E70" s="3">
        <f t="shared" si="10"/>
        <v>24</v>
      </c>
      <c r="F70" s="19" t="str">
        <f t="shared" si="11"/>
        <v/>
      </c>
    </row>
    <row r="71" spans="1:6" x14ac:dyDescent="0.25">
      <c r="A71" s="2">
        <v>1051</v>
      </c>
      <c r="B71" s="2">
        <v>44</v>
      </c>
      <c r="C71" s="3">
        <f t="shared" si="8"/>
        <v>1</v>
      </c>
      <c r="D71" s="3">
        <f t="shared" si="9"/>
        <v>1056</v>
      </c>
      <c r="E71" s="3">
        <f t="shared" si="10"/>
        <v>6</v>
      </c>
      <c r="F71" s="19" t="str">
        <f t="shared" si="11"/>
        <v/>
      </c>
    </row>
    <row r="72" spans="1:6" x14ac:dyDescent="0.25">
      <c r="A72" s="2">
        <v>1159</v>
      </c>
      <c r="B72" s="2">
        <v>44</v>
      </c>
      <c r="C72" s="3">
        <f t="shared" si="8"/>
        <v>19</v>
      </c>
      <c r="D72" s="3">
        <f t="shared" si="9"/>
        <v>1164</v>
      </c>
      <c r="E72" s="3">
        <f t="shared" si="10"/>
        <v>24</v>
      </c>
      <c r="F72" s="19" t="str">
        <f t="shared" si="11"/>
        <v/>
      </c>
    </row>
    <row r="73" spans="1:6" x14ac:dyDescent="0.25">
      <c r="A73" s="2">
        <v>1003</v>
      </c>
      <c r="B73" s="2">
        <v>43</v>
      </c>
      <c r="C73" s="3">
        <f t="shared" si="8"/>
        <v>13</v>
      </c>
      <c r="D73" s="3">
        <f t="shared" si="9"/>
        <v>1008</v>
      </c>
      <c r="E73" s="3">
        <f t="shared" si="10"/>
        <v>18</v>
      </c>
      <c r="F73" s="19" t="str">
        <f t="shared" si="11"/>
        <v/>
      </c>
    </row>
    <row r="74" spans="1:6" x14ac:dyDescent="0.25">
      <c r="A74" s="2">
        <v>1009</v>
      </c>
      <c r="B74" s="2">
        <v>43</v>
      </c>
      <c r="C74" s="3">
        <f t="shared" si="8"/>
        <v>19</v>
      </c>
      <c r="D74" s="3">
        <f t="shared" si="9"/>
        <v>1014</v>
      </c>
      <c r="E74" s="3">
        <f t="shared" si="10"/>
        <v>24</v>
      </c>
      <c r="F74" s="19" t="str">
        <f t="shared" si="11"/>
        <v/>
      </c>
    </row>
    <row r="75" spans="1:6" x14ac:dyDescent="0.25">
      <c r="A75" s="2">
        <v>1267</v>
      </c>
      <c r="B75" s="2">
        <v>43</v>
      </c>
      <c r="C75" s="3">
        <f t="shared" si="8"/>
        <v>7</v>
      </c>
      <c r="D75" s="3">
        <f t="shared" si="9"/>
        <v>1272</v>
      </c>
      <c r="E75" s="3">
        <f t="shared" si="10"/>
        <v>12</v>
      </c>
      <c r="F75" s="19" t="str">
        <f t="shared" si="11"/>
        <v/>
      </c>
    </row>
    <row r="76" spans="1:6" x14ac:dyDescent="0.25">
      <c r="A76" s="2">
        <v>1111</v>
      </c>
      <c r="B76" s="2">
        <v>43</v>
      </c>
      <c r="C76" s="3">
        <f t="shared" si="8"/>
        <v>1</v>
      </c>
      <c r="D76" s="3">
        <f t="shared" si="9"/>
        <v>1116</v>
      </c>
      <c r="E76" s="3">
        <f t="shared" si="10"/>
        <v>6</v>
      </c>
      <c r="F76" s="19" t="str">
        <f t="shared" si="11"/>
        <v/>
      </c>
    </row>
    <row r="77" spans="1:6" x14ac:dyDescent="0.25">
      <c r="A77" s="2">
        <v>1325</v>
      </c>
      <c r="B77" s="2">
        <v>43</v>
      </c>
      <c r="C77" s="3">
        <f t="shared" si="8"/>
        <v>5</v>
      </c>
      <c r="D77" s="3">
        <f t="shared" si="9"/>
        <v>1330</v>
      </c>
      <c r="E77" s="3">
        <f t="shared" si="10"/>
        <v>10</v>
      </c>
      <c r="F77" s="19" t="str">
        <f t="shared" si="11"/>
        <v/>
      </c>
    </row>
    <row r="78" spans="1:6" x14ac:dyDescent="0.25">
      <c r="A78" s="2">
        <v>1507</v>
      </c>
      <c r="B78" s="2">
        <v>43</v>
      </c>
      <c r="C78" s="3">
        <f t="shared" si="8"/>
        <v>7</v>
      </c>
      <c r="D78" s="3">
        <f t="shared" si="9"/>
        <v>1512</v>
      </c>
      <c r="E78" s="3">
        <f t="shared" si="10"/>
        <v>12</v>
      </c>
      <c r="F78" s="19" t="str">
        <f t="shared" si="11"/>
        <v/>
      </c>
    </row>
    <row r="79" spans="1:6" x14ac:dyDescent="0.25">
      <c r="A79" s="2">
        <v>805</v>
      </c>
      <c r="B79" s="2">
        <v>42</v>
      </c>
      <c r="C79" s="3">
        <f t="shared" si="8"/>
        <v>25</v>
      </c>
      <c r="D79" s="3">
        <f t="shared" si="9"/>
        <v>810</v>
      </c>
      <c r="E79" s="3">
        <f t="shared" si="10"/>
        <v>0</v>
      </c>
      <c r="F79" s="19" t="str">
        <f t="shared" si="11"/>
        <v/>
      </c>
    </row>
    <row r="80" spans="1:6" x14ac:dyDescent="0.25">
      <c r="A80" s="2">
        <v>1471</v>
      </c>
      <c r="B80" s="2">
        <v>42</v>
      </c>
      <c r="C80" s="3">
        <f t="shared" si="8"/>
        <v>1</v>
      </c>
      <c r="D80" s="3">
        <f t="shared" si="9"/>
        <v>1476</v>
      </c>
      <c r="E80" s="3">
        <f t="shared" si="10"/>
        <v>6</v>
      </c>
      <c r="F80" s="19" t="str">
        <f t="shared" si="11"/>
        <v/>
      </c>
    </row>
    <row r="81" spans="1:6" x14ac:dyDescent="0.25">
      <c r="A81" s="2">
        <v>1513</v>
      </c>
      <c r="B81" s="2">
        <v>42</v>
      </c>
      <c r="C81" s="3">
        <f t="shared" si="8"/>
        <v>13</v>
      </c>
      <c r="D81" s="3">
        <f t="shared" si="9"/>
        <v>1518</v>
      </c>
      <c r="E81" s="3">
        <f t="shared" si="10"/>
        <v>18</v>
      </c>
      <c r="F81" s="19" t="str">
        <f t="shared" si="11"/>
        <v/>
      </c>
    </row>
    <row r="82" spans="1:6" x14ac:dyDescent="0.25">
      <c r="A82" s="2">
        <v>1231</v>
      </c>
      <c r="B82" s="2">
        <v>42</v>
      </c>
      <c r="C82" s="3">
        <f t="shared" si="8"/>
        <v>1</v>
      </c>
      <c r="D82" s="3">
        <f t="shared" si="9"/>
        <v>1236</v>
      </c>
      <c r="E82" s="3">
        <f t="shared" si="10"/>
        <v>6</v>
      </c>
      <c r="F82" s="19" t="str">
        <f t="shared" si="11"/>
        <v/>
      </c>
    </row>
    <row r="83" spans="1:6" x14ac:dyDescent="0.25">
      <c r="A83" s="2">
        <v>1177</v>
      </c>
      <c r="B83" s="2">
        <v>42</v>
      </c>
      <c r="C83" s="3">
        <f t="shared" si="8"/>
        <v>7</v>
      </c>
      <c r="D83" s="3">
        <f t="shared" si="9"/>
        <v>1182</v>
      </c>
      <c r="E83" s="3">
        <f t="shared" si="10"/>
        <v>12</v>
      </c>
      <c r="F83" s="19" t="str">
        <f t="shared" si="11"/>
        <v/>
      </c>
    </row>
    <row r="84" spans="1:6" x14ac:dyDescent="0.25">
      <c r="A84" s="2">
        <v>1207</v>
      </c>
      <c r="B84" s="2">
        <v>42</v>
      </c>
      <c r="C84" s="3">
        <f t="shared" si="8"/>
        <v>7</v>
      </c>
      <c r="D84" s="3">
        <f t="shared" si="9"/>
        <v>1212</v>
      </c>
      <c r="E84" s="3">
        <f t="shared" si="10"/>
        <v>12</v>
      </c>
      <c r="F84" s="19" t="str">
        <f t="shared" si="11"/>
        <v/>
      </c>
    </row>
    <row r="85" spans="1:6" x14ac:dyDescent="0.25">
      <c r="A85" s="2">
        <v>1675</v>
      </c>
      <c r="B85" s="2">
        <v>42</v>
      </c>
      <c r="C85" s="3">
        <f t="shared" si="8"/>
        <v>25</v>
      </c>
      <c r="D85" s="3">
        <f t="shared" si="9"/>
        <v>1680</v>
      </c>
      <c r="E85" s="3">
        <f t="shared" si="10"/>
        <v>0</v>
      </c>
      <c r="F85" s="19" t="str">
        <f t="shared" si="11"/>
        <v/>
      </c>
    </row>
    <row r="86" spans="1:6" x14ac:dyDescent="0.25">
      <c r="A86" s="2">
        <v>715</v>
      </c>
      <c r="B86" s="2">
        <v>41</v>
      </c>
      <c r="C86" s="3">
        <f t="shared" si="8"/>
        <v>25</v>
      </c>
      <c r="D86" s="3">
        <f t="shared" si="9"/>
        <v>720</v>
      </c>
      <c r="E86" s="3">
        <f t="shared" si="10"/>
        <v>0</v>
      </c>
      <c r="F86" s="19" t="str">
        <f t="shared" si="11"/>
        <v/>
      </c>
    </row>
    <row r="87" spans="1:6" x14ac:dyDescent="0.25">
      <c r="A87" s="2">
        <v>1141</v>
      </c>
      <c r="B87" s="2">
        <v>41</v>
      </c>
      <c r="C87" s="3">
        <f t="shared" si="8"/>
        <v>1</v>
      </c>
      <c r="D87" s="3">
        <f t="shared" si="9"/>
        <v>1146</v>
      </c>
      <c r="E87" s="3">
        <f t="shared" si="10"/>
        <v>6</v>
      </c>
      <c r="F87" s="19" t="str">
        <f t="shared" si="11"/>
        <v/>
      </c>
    </row>
    <row r="88" spans="1:6" x14ac:dyDescent="0.25">
      <c r="A88" s="2">
        <v>1039</v>
      </c>
      <c r="B88" s="2">
        <v>41</v>
      </c>
      <c r="C88" s="3">
        <f t="shared" si="8"/>
        <v>19</v>
      </c>
      <c r="D88" s="3">
        <f t="shared" si="9"/>
        <v>1044</v>
      </c>
      <c r="E88" s="3">
        <f t="shared" si="10"/>
        <v>24</v>
      </c>
      <c r="F88" s="19" t="str">
        <f t="shared" si="11"/>
        <v/>
      </c>
    </row>
    <row r="89" spans="1:6" x14ac:dyDescent="0.25">
      <c r="A89" s="2">
        <v>1477</v>
      </c>
      <c r="B89" s="2">
        <v>41</v>
      </c>
      <c r="C89" s="3">
        <f t="shared" si="8"/>
        <v>7</v>
      </c>
      <c r="D89" s="3">
        <f t="shared" si="9"/>
        <v>1482</v>
      </c>
      <c r="E89" s="3">
        <f t="shared" si="10"/>
        <v>12</v>
      </c>
      <c r="F89" s="19" t="str">
        <f t="shared" si="11"/>
        <v/>
      </c>
    </row>
    <row r="90" spans="1:6" x14ac:dyDescent="0.25">
      <c r="A90" s="2">
        <v>655</v>
      </c>
      <c r="B90" s="2">
        <v>41</v>
      </c>
      <c r="C90" s="3">
        <f t="shared" si="8"/>
        <v>25</v>
      </c>
      <c r="D90" s="3">
        <f t="shared" si="9"/>
        <v>660</v>
      </c>
      <c r="E90" s="3">
        <f t="shared" si="10"/>
        <v>0</v>
      </c>
      <c r="F90" s="19" t="str">
        <f t="shared" si="11"/>
        <v/>
      </c>
    </row>
    <row r="91" spans="1:6" x14ac:dyDescent="0.25">
      <c r="A91" s="2">
        <v>1069</v>
      </c>
      <c r="B91" s="2">
        <v>41</v>
      </c>
      <c r="C91" s="3">
        <f t="shared" si="8"/>
        <v>19</v>
      </c>
      <c r="D91" s="3">
        <f t="shared" si="9"/>
        <v>1074</v>
      </c>
      <c r="E91" s="3">
        <f t="shared" si="10"/>
        <v>24</v>
      </c>
      <c r="F91" s="19" t="str">
        <f t="shared" si="11"/>
        <v/>
      </c>
    </row>
    <row r="92" spans="1:6" x14ac:dyDescent="0.25">
      <c r="A92" s="2">
        <v>1093</v>
      </c>
      <c r="B92" s="2">
        <v>41</v>
      </c>
      <c r="C92" s="3">
        <f t="shared" si="8"/>
        <v>13</v>
      </c>
      <c r="D92" s="3">
        <f t="shared" si="9"/>
        <v>1098</v>
      </c>
      <c r="E92" s="3">
        <f t="shared" si="10"/>
        <v>18</v>
      </c>
      <c r="F92" s="19" t="str">
        <f t="shared" si="11"/>
        <v/>
      </c>
    </row>
    <row r="93" spans="1:6" x14ac:dyDescent="0.25">
      <c r="A93" s="2">
        <v>625</v>
      </c>
      <c r="B93" s="2">
        <v>41</v>
      </c>
      <c r="C93" s="3">
        <f t="shared" si="8"/>
        <v>25</v>
      </c>
      <c r="D93" s="3">
        <f t="shared" si="9"/>
        <v>630</v>
      </c>
      <c r="E93" s="3">
        <f t="shared" si="10"/>
        <v>0</v>
      </c>
      <c r="F93" s="19" t="str">
        <f t="shared" si="11"/>
        <v/>
      </c>
    </row>
    <row r="94" spans="1:6" x14ac:dyDescent="0.25">
      <c r="A94" s="2">
        <v>877</v>
      </c>
      <c r="B94" s="2">
        <v>40</v>
      </c>
      <c r="C94" s="3">
        <f t="shared" si="8"/>
        <v>7</v>
      </c>
      <c r="D94" s="3">
        <f t="shared" si="9"/>
        <v>882</v>
      </c>
      <c r="E94" s="3">
        <f t="shared" si="10"/>
        <v>12</v>
      </c>
      <c r="F94" s="19" t="str">
        <f t="shared" si="11"/>
        <v/>
      </c>
    </row>
    <row r="95" spans="1:6" x14ac:dyDescent="0.25">
      <c r="A95" s="2">
        <v>1081</v>
      </c>
      <c r="B95" s="2">
        <v>40</v>
      </c>
      <c r="C95" s="3">
        <f t="shared" si="8"/>
        <v>1</v>
      </c>
      <c r="D95" s="3">
        <f t="shared" si="9"/>
        <v>1086</v>
      </c>
      <c r="E95" s="3">
        <f t="shared" si="10"/>
        <v>6</v>
      </c>
      <c r="F95" s="19" t="str">
        <f t="shared" si="11"/>
        <v/>
      </c>
    </row>
    <row r="96" spans="1:6" x14ac:dyDescent="0.25">
      <c r="A96" s="2">
        <v>1417</v>
      </c>
      <c r="B96" s="2">
        <v>40</v>
      </c>
      <c r="C96" s="3">
        <f t="shared" si="8"/>
        <v>7</v>
      </c>
      <c r="D96" s="3">
        <f t="shared" si="9"/>
        <v>1422</v>
      </c>
      <c r="E96" s="3">
        <f t="shared" si="10"/>
        <v>12</v>
      </c>
      <c r="F96" s="19" t="str">
        <f t="shared" si="11"/>
        <v/>
      </c>
    </row>
    <row r="97" spans="1:6" x14ac:dyDescent="0.25">
      <c r="A97" s="2">
        <v>1633</v>
      </c>
      <c r="B97" s="2">
        <v>40</v>
      </c>
      <c r="C97" s="3">
        <f t="shared" si="8"/>
        <v>13</v>
      </c>
      <c r="D97" s="3">
        <f t="shared" si="9"/>
        <v>1638</v>
      </c>
      <c r="E97" s="3">
        <f t="shared" si="10"/>
        <v>18</v>
      </c>
      <c r="F97" s="19" t="str">
        <f t="shared" si="11"/>
        <v/>
      </c>
    </row>
    <row r="98" spans="1:6" x14ac:dyDescent="0.25">
      <c r="A98" s="2">
        <v>979</v>
      </c>
      <c r="B98" s="2">
        <v>40</v>
      </c>
      <c r="C98" s="3">
        <f t="shared" si="8"/>
        <v>19</v>
      </c>
      <c r="D98" s="3">
        <f t="shared" si="9"/>
        <v>984</v>
      </c>
      <c r="E98" s="3">
        <f t="shared" si="10"/>
        <v>24</v>
      </c>
      <c r="F98" s="19" t="str">
        <f t="shared" si="11"/>
        <v/>
      </c>
    </row>
    <row r="99" spans="1:6" x14ac:dyDescent="0.25">
      <c r="A99" s="2">
        <v>1033</v>
      </c>
      <c r="B99" s="2">
        <v>40</v>
      </c>
      <c r="C99" s="3">
        <f t="shared" si="8"/>
        <v>13</v>
      </c>
      <c r="D99" s="3">
        <f t="shared" si="9"/>
        <v>1038</v>
      </c>
      <c r="E99" s="3">
        <f t="shared" si="10"/>
        <v>18</v>
      </c>
      <c r="F99" s="19" t="str">
        <f t="shared" si="11"/>
        <v/>
      </c>
    </row>
    <row r="100" spans="1:6" x14ac:dyDescent="0.25">
      <c r="A100" s="2">
        <v>1645</v>
      </c>
      <c r="B100" s="2">
        <v>40</v>
      </c>
      <c r="C100" s="3">
        <f t="shared" si="8"/>
        <v>25</v>
      </c>
      <c r="D100" s="3">
        <f t="shared" si="9"/>
        <v>1650</v>
      </c>
      <c r="E100" s="3">
        <f t="shared" si="10"/>
        <v>0</v>
      </c>
      <c r="F100" s="19" t="str">
        <f t="shared" si="11"/>
        <v/>
      </c>
    </row>
    <row r="101" spans="1:6" x14ac:dyDescent="0.25">
      <c r="A101" s="2">
        <v>931</v>
      </c>
      <c r="B101" s="2">
        <v>39</v>
      </c>
      <c r="C101" s="3">
        <f t="shared" ref="C101:C132" si="12">MOD(A101,30)</f>
        <v>1</v>
      </c>
      <c r="D101" s="3">
        <f t="shared" ref="D101:D132" si="13">A101+5</f>
        <v>936</v>
      </c>
      <c r="E101" s="3">
        <f t="shared" ref="E101:E132" si="14">MOD(D101,30)</f>
        <v>6</v>
      </c>
      <c r="F101" s="19" t="str">
        <f t="shared" ref="F101:F132" si="15">IF(B101&gt;=50,"LARGE","")</f>
        <v/>
      </c>
    </row>
    <row r="102" spans="1:6" x14ac:dyDescent="0.25">
      <c r="A102" s="2">
        <v>883</v>
      </c>
      <c r="B102" s="2">
        <v>39</v>
      </c>
      <c r="C102" s="3">
        <f t="shared" si="12"/>
        <v>13</v>
      </c>
      <c r="D102" s="3">
        <f t="shared" si="13"/>
        <v>888</v>
      </c>
      <c r="E102" s="3">
        <f t="shared" si="14"/>
        <v>18</v>
      </c>
      <c r="F102" s="19" t="str">
        <f t="shared" si="15"/>
        <v/>
      </c>
    </row>
    <row r="103" spans="1:6" x14ac:dyDescent="0.25">
      <c r="A103" s="2">
        <v>709</v>
      </c>
      <c r="B103" s="2">
        <v>39</v>
      </c>
      <c r="C103" s="3">
        <f t="shared" si="12"/>
        <v>19</v>
      </c>
      <c r="D103" s="3">
        <f t="shared" si="13"/>
        <v>714</v>
      </c>
      <c r="E103" s="3">
        <f t="shared" si="14"/>
        <v>24</v>
      </c>
      <c r="F103" s="19" t="str">
        <f t="shared" si="15"/>
        <v/>
      </c>
    </row>
    <row r="104" spans="1:6" x14ac:dyDescent="0.25">
      <c r="A104" s="2">
        <v>853</v>
      </c>
      <c r="B104" s="2">
        <v>39</v>
      </c>
      <c r="C104" s="3">
        <f t="shared" si="12"/>
        <v>13</v>
      </c>
      <c r="D104" s="3">
        <f t="shared" si="13"/>
        <v>858</v>
      </c>
      <c r="E104" s="3">
        <f t="shared" si="14"/>
        <v>18</v>
      </c>
      <c r="F104" s="19" t="str">
        <f t="shared" si="15"/>
        <v/>
      </c>
    </row>
    <row r="105" spans="1:6" x14ac:dyDescent="0.25">
      <c r="A105" s="2">
        <v>685</v>
      </c>
      <c r="B105" s="2">
        <v>39</v>
      </c>
      <c r="C105" s="3">
        <f t="shared" si="12"/>
        <v>25</v>
      </c>
      <c r="D105" s="3">
        <f t="shared" si="13"/>
        <v>690</v>
      </c>
      <c r="E105" s="3">
        <f t="shared" si="14"/>
        <v>0</v>
      </c>
      <c r="F105" s="19" t="str">
        <f t="shared" si="15"/>
        <v/>
      </c>
    </row>
    <row r="106" spans="1:6" x14ac:dyDescent="0.25">
      <c r="A106" s="2">
        <v>745</v>
      </c>
      <c r="B106" s="2">
        <v>39</v>
      </c>
      <c r="C106" s="3">
        <f t="shared" si="12"/>
        <v>25</v>
      </c>
      <c r="D106" s="3">
        <f t="shared" si="13"/>
        <v>750</v>
      </c>
      <c r="E106" s="3">
        <f t="shared" si="14"/>
        <v>0</v>
      </c>
      <c r="F106" s="19" t="str">
        <f t="shared" si="15"/>
        <v/>
      </c>
    </row>
    <row r="107" spans="1:6" x14ac:dyDescent="0.25">
      <c r="A107" s="2">
        <v>1063</v>
      </c>
      <c r="B107" s="2">
        <v>39</v>
      </c>
      <c r="C107" s="3">
        <f t="shared" si="12"/>
        <v>13</v>
      </c>
      <c r="D107" s="3">
        <f t="shared" si="13"/>
        <v>1068</v>
      </c>
      <c r="E107" s="3">
        <f t="shared" si="14"/>
        <v>18</v>
      </c>
      <c r="F107" s="19" t="str">
        <f t="shared" si="15"/>
        <v/>
      </c>
    </row>
    <row r="108" spans="1:6" x14ac:dyDescent="0.25">
      <c r="A108" s="2">
        <v>1123</v>
      </c>
      <c r="B108" s="2">
        <v>39</v>
      </c>
      <c r="C108" s="3">
        <f t="shared" si="12"/>
        <v>13</v>
      </c>
      <c r="D108" s="3">
        <f t="shared" si="13"/>
        <v>1128</v>
      </c>
      <c r="E108" s="3">
        <f t="shared" si="14"/>
        <v>18</v>
      </c>
      <c r="F108" s="19" t="str">
        <f t="shared" si="15"/>
        <v/>
      </c>
    </row>
    <row r="109" spans="1:6" x14ac:dyDescent="0.25">
      <c r="A109" s="2">
        <v>793</v>
      </c>
      <c r="B109" s="2">
        <v>39</v>
      </c>
      <c r="C109" s="3">
        <f t="shared" si="12"/>
        <v>13</v>
      </c>
      <c r="D109" s="3">
        <f t="shared" si="13"/>
        <v>798</v>
      </c>
      <c r="E109" s="3">
        <f t="shared" si="14"/>
        <v>18</v>
      </c>
      <c r="F109" s="19" t="str">
        <f t="shared" si="15"/>
        <v/>
      </c>
    </row>
    <row r="110" spans="1:6" x14ac:dyDescent="0.25">
      <c r="A110" s="2">
        <v>1705</v>
      </c>
      <c r="B110" s="2">
        <v>39</v>
      </c>
      <c r="C110" s="3">
        <f t="shared" si="12"/>
        <v>25</v>
      </c>
      <c r="D110" s="3">
        <f t="shared" si="13"/>
        <v>1710</v>
      </c>
      <c r="E110" s="3">
        <f t="shared" si="14"/>
        <v>0</v>
      </c>
      <c r="F110" s="19" t="str">
        <f t="shared" si="15"/>
        <v/>
      </c>
    </row>
    <row r="111" spans="1:6" x14ac:dyDescent="0.25">
      <c r="A111" s="2">
        <v>973</v>
      </c>
      <c r="B111" s="2">
        <v>38</v>
      </c>
      <c r="C111" s="3">
        <f t="shared" si="12"/>
        <v>13</v>
      </c>
      <c r="D111" s="3">
        <f t="shared" si="13"/>
        <v>978</v>
      </c>
      <c r="E111" s="3">
        <f t="shared" si="14"/>
        <v>18</v>
      </c>
      <c r="F111" s="19" t="str">
        <f t="shared" si="15"/>
        <v/>
      </c>
    </row>
    <row r="112" spans="1:6" x14ac:dyDescent="0.25">
      <c r="A112" s="2">
        <v>1057</v>
      </c>
      <c r="B112" s="2">
        <v>38</v>
      </c>
      <c r="C112" s="3">
        <f t="shared" si="12"/>
        <v>7</v>
      </c>
      <c r="D112" s="3">
        <f t="shared" si="13"/>
        <v>1062</v>
      </c>
      <c r="E112" s="3">
        <f t="shared" si="14"/>
        <v>12</v>
      </c>
      <c r="F112" s="19" t="str">
        <f t="shared" si="15"/>
        <v/>
      </c>
    </row>
    <row r="113" spans="1:6" x14ac:dyDescent="0.25">
      <c r="A113" s="2">
        <v>991</v>
      </c>
      <c r="B113" s="2">
        <v>38</v>
      </c>
      <c r="C113" s="3">
        <f t="shared" si="12"/>
        <v>1</v>
      </c>
      <c r="D113" s="3">
        <f t="shared" si="13"/>
        <v>996</v>
      </c>
      <c r="E113" s="3">
        <f t="shared" si="14"/>
        <v>6</v>
      </c>
      <c r="F113" s="19" t="str">
        <f t="shared" si="15"/>
        <v/>
      </c>
    </row>
    <row r="114" spans="1:6" x14ac:dyDescent="0.25">
      <c r="A114" s="2">
        <v>1453</v>
      </c>
      <c r="B114" s="2">
        <v>38</v>
      </c>
      <c r="C114" s="3">
        <f t="shared" si="12"/>
        <v>13</v>
      </c>
      <c r="D114" s="3">
        <f t="shared" si="13"/>
        <v>1458</v>
      </c>
      <c r="E114" s="3">
        <f t="shared" si="14"/>
        <v>18</v>
      </c>
      <c r="F114" s="19" t="str">
        <f t="shared" si="15"/>
        <v/>
      </c>
    </row>
    <row r="115" spans="1:6" x14ac:dyDescent="0.25">
      <c r="A115" s="2">
        <v>1489</v>
      </c>
      <c r="B115" s="2">
        <v>38</v>
      </c>
      <c r="C115" s="3">
        <f t="shared" si="12"/>
        <v>19</v>
      </c>
      <c r="D115" s="3">
        <f t="shared" si="13"/>
        <v>1494</v>
      </c>
      <c r="E115" s="3">
        <f t="shared" si="14"/>
        <v>24</v>
      </c>
      <c r="F115" s="19" t="str">
        <f t="shared" si="15"/>
        <v/>
      </c>
    </row>
    <row r="116" spans="1:6" x14ac:dyDescent="0.25">
      <c r="A116" s="2">
        <v>751</v>
      </c>
      <c r="B116" s="2">
        <v>37</v>
      </c>
      <c r="C116" s="3">
        <f t="shared" si="12"/>
        <v>1</v>
      </c>
      <c r="D116" s="3">
        <f t="shared" si="13"/>
        <v>756</v>
      </c>
      <c r="E116" s="3">
        <f t="shared" si="14"/>
        <v>6</v>
      </c>
      <c r="F116" s="19" t="str">
        <f t="shared" si="15"/>
        <v/>
      </c>
    </row>
    <row r="117" spans="1:6" x14ac:dyDescent="0.25">
      <c r="A117" s="2">
        <v>811</v>
      </c>
      <c r="B117" s="2">
        <v>37</v>
      </c>
      <c r="C117" s="3">
        <f t="shared" si="12"/>
        <v>1</v>
      </c>
      <c r="D117" s="3">
        <f t="shared" si="13"/>
        <v>816</v>
      </c>
      <c r="E117" s="3">
        <f t="shared" si="14"/>
        <v>6</v>
      </c>
      <c r="F117" s="19" t="str">
        <f t="shared" si="15"/>
        <v/>
      </c>
    </row>
    <row r="118" spans="1:6" x14ac:dyDescent="0.25">
      <c r="A118" s="2">
        <v>1147</v>
      </c>
      <c r="B118" s="2">
        <v>37</v>
      </c>
      <c r="C118" s="3">
        <f t="shared" si="12"/>
        <v>7</v>
      </c>
      <c r="D118" s="3">
        <f t="shared" si="13"/>
        <v>1152</v>
      </c>
      <c r="E118" s="3">
        <f t="shared" si="14"/>
        <v>12</v>
      </c>
      <c r="F118" s="19" t="str">
        <f t="shared" si="15"/>
        <v/>
      </c>
    </row>
    <row r="119" spans="1:6" x14ac:dyDescent="0.25">
      <c r="A119" s="2">
        <v>1441</v>
      </c>
      <c r="B119" s="2">
        <v>37</v>
      </c>
      <c r="C119" s="3">
        <f t="shared" si="12"/>
        <v>1</v>
      </c>
      <c r="D119" s="3">
        <f t="shared" si="13"/>
        <v>1446</v>
      </c>
      <c r="E119" s="3">
        <f t="shared" si="14"/>
        <v>6</v>
      </c>
      <c r="F119" s="19" t="str">
        <f t="shared" si="15"/>
        <v/>
      </c>
    </row>
    <row r="120" spans="1:6" x14ac:dyDescent="0.25">
      <c r="A120" s="2">
        <v>1027</v>
      </c>
      <c r="B120" s="2">
        <v>37</v>
      </c>
      <c r="C120" s="3">
        <f t="shared" si="12"/>
        <v>7</v>
      </c>
      <c r="D120" s="3">
        <f t="shared" si="13"/>
        <v>1032</v>
      </c>
      <c r="E120" s="3">
        <f t="shared" si="14"/>
        <v>12</v>
      </c>
      <c r="F120" s="19" t="str">
        <f t="shared" si="15"/>
        <v/>
      </c>
    </row>
    <row r="121" spans="1:6" x14ac:dyDescent="0.25">
      <c r="A121" s="2">
        <v>1567</v>
      </c>
      <c r="B121" s="2">
        <v>37</v>
      </c>
      <c r="C121" s="3">
        <f t="shared" si="12"/>
        <v>7</v>
      </c>
      <c r="D121" s="3">
        <f t="shared" si="13"/>
        <v>1572</v>
      </c>
      <c r="E121" s="3">
        <f t="shared" si="14"/>
        <v>12</v>
      </c>
      <c r="F121" s="19" t="str">
        <f t="shared" si="15"/>
        <v/>
      </c>
    </row>
    <row r="122" spans="1:6" x14ac:dyDescent="0.25">
      <c r="A122" s="2">
        <v>997</v>
      </c>
      <c r="B122" s="2">
        <v>37</v>
      </c>
      <c r="C122" s="3">
        <f t="shared" si="12"/>
        <v>7</v>
      </c>
      <c r="D122" s="3">
        <f t="shared" si="13"/>
        <v>1002</v>
      </c>
      <c r="E122" s="3">
        <f t="shared" si="14"/>
        <v>12</v>
      </c>
      <c r="F122" s="19" t="str">
        <f t="shared" si="15"/>
        <v/>
      </c>
    </row>
    <row r="123" spans="1:6" x14ac:dyDescent="0.25">
      <c r="A123" s="2">
        <v>949</v>
      </c>
      <c r="B123" s="2">
        <v>37</v>
      </c>
      <c r="C123" s="3">
        <f t="shared" si="12"/>
        <v>19</v>
      </c>
      <c r="D123" s="3">
        <f t="shared" si="13"/>
        <v>954</v>
      </c>
      <c r="E123" s="3">
        <f t="shared" si="14"/>
        <v>24</v>
      </c>
      <c r="F123" s="19" t="str">
        <f t="shared" si="15"/>
        <v/>
      </c>
    </row>
    <row r="124" spans="1:6" x14ac:dyDescent="0.25">
      <c r="A124" s="2">
        <v>1459</v>
      </c>
      <c r="B124" s="2">
        <v>37</v>
      </c>
      <c r="C124" s="3">
        <f t="shared" si="12"/>
        <v>19</v>
      </c>
      <c r="D124" s="3">
        <f t="shared" si="13"/>
        <v>1464</v>
      </c>
      <c r="E124" s="3">
        <f t="shared" si="14"/>
        <v>24</v>
      </c>
      <c r="F124" s="19" t="str">
        <f t="shared" si="15"/>
        <v/>
      </c>
    </row>
    <row r="125" spans="1:6" x14ac:dyDescent="0.25">
      <c r="A125" s="2">
        <v>1483</v>
      </c>
      <c r="B125" s="2">
        <v>37</v>
      </c>
      <c r="C125" s="3">
        <f t="shared" si="12"/>
        <v>13</v>
      </c>
      <c r="D125" s="3">
        <f t="shared" si="13"/>
        <v>1488</v>
      </c>
      <c r="E125" s="3">
        <f t="shared" si="14"/>
        <v>18</v>
      </c>
      <c r="F125" s="19" t="str">
        <f t="shared" si="15"/>
        <v/>
      </c>
    </row>
    <row r="126" spans="1:6" x14ac:dyDescent="0.25">
      <c r="A126" s="2">
        <v>1501</v>
      </c>
      <c r="B126" s="2">
        <v>37</v>
      </c>
      <c r="C126" s="3">
        <f t="shared" si="12"/>
        <v>1</v>
      </c>
      <c r="D126" s="3">
        <f t="shared" si="13"/>
        <v>1506</v>
      </c>
      <c r="E126" s="3">
        <f t="shared" si="14"/>
        <v>6</v>
      </c>
      <c r="F126" s="19" t="str">
        <f t="shared" si="15"/>
        <v/>
      </c>
    </row>
    <row r="127" spans="1:6" x14ac:dyDescent="0.25">
      <c r="A127" s="2">
        <v>889</v>
      </c>
      <c r="B127" s="2">
        <v>36</v>
      </c>
      <c r="C127" s="3">
        <f t="shared" si="12"/>
        <v>19</v>
      </c>
      <c r="D127" s="3">
        <f t="shared" si="13"/>
        <v>894</v>
      </c>
      <c r="E127" s="3">
        <f t="shared" si="14"/>
        <v>24</v>
      </c>
      <c r="F127" s="19" t="str">
        <f t="shared" si="15"/>
        <v/>
      </c>
    </row>
    <row r="128" spans="1:6" x14ac:dyDescent="0.25">
      <c r="A128" s="2">
        <v>1115</v>
      </c>
      <c r="B128" s="2">
        <v>36</v>
      </c>
      <c r="C128" s="3">
        <f t="shared" si="12"/>
        <v>5</v>
      </c>
      <c r="D128" s="3">
        <f t="shared" si="13"/>
        <v>1120</v>
      </c>
      <c r="E128" s="3">
        <f t="shared" si="14"/>
        <v>10</v>
      </c>
      <c r="F128" s="19" t="str">
        <f t="shared" si="15"/>
        <v/>
      </c>
    </row>
    <row r="129" spans="1:6" x14ac:dyDescent="0.25">
      <c r="A129" s="2">
        <v>913</v>
      </c>
      <c r="B129" s="2">
        <v>36</v>
      </c>
      <c r="C129" s="3">
        <f t="shared" si="12"/>
        <v>13</v>
      </c>
      <c r="D129" s="3">
        <f t="shared" si="13"/>
        <v>918</v>
      </c>
      <c r="E129" s="3">
        <f t="shared" si="14"/>
        <v>18</v>
      </c>
      <c r="F129" s="19" t="str">
        <f t="shared" si="15"/>
        <v/>
      </c>
    </row>
    <row r="130" spans="1:6" x14ac:dyDescent="0.25">
      <c r="A130" s="2">
        <v>937</v>
      </c>
      <c r="B130" s="2">
        <v>36</v>
      </c>
      <c r="C130" s="3">
        <f t="shared" si="12"/>
        <v>7</v>
      </c>
      <c r="D130" s="3">
        <f t="shared" si="13"/>
        <v>942</v>
      </c>
      <c r="E130" s="3">
        <f t="shared" si="14"/>
        <v>12</v>
      </c>
      <c r="F130" s="19" t="str">
        <f t="shared" si="15"/>
        <v/>
      </c>
    </row>
    <row r="131" spans="1:6" x14ac:dyDescent="0.25">
      <c r="A131" s="2">
        <v>1561</v>
      </c>
      <c r="B131" s="2">
        <v>36</v>
      </c>
      <c r="C131" s="3">
        <f t="shared" si="12"/>
        <v>1</v>
      </c>
      <c r="D131" s="3">
        <f t="shared" si="13"/>
        <v>1566</v>
      </c>
      <c r="E131" s="3">
        <f t="shared" si="14"/>
        <v>6</v>
      </c>
      <c r="F131" s="19" t="str">
        <f t="shared" si="15"/>
        <v/>
      </c>
    </row>
    <row r="132" spans="1:6" x14ac:dyDescent="0.25">
      <c r="A132" s="2">
        <v>1395</v>
      </c>
      <c r="B132" s="2">
        <v>36</v>
      </c>
      <c r="C132" s="3">
        <f t="shared" si="12"/>
        <v>15</v>
      </c>
      <c r="D132" s="3">
        <f t="shared" si="13"/>
        <v>1400</v>
      </c>
      <c r="E132" s="3">
        <f t="shared" si="14"/>
        <v>20</v>
      </c>
      <c r="F132" s="19" t="str">
        <f t="shared" si="15"/>
        <v/>
      </c>
    </row>
    <row r="133" spans="1:6" x14ac:dyDescent="0.25">
      <c r="A133" s="2">
        <v>1615</v>
      </c>
      <c r="B133" s="2">
        <v>36</v>
      </c>
      <c r="C133" s="3">
        <f t="shared" ref="C133:C164" si="16">MOD(A133,30)</f>
        <v>25</v>
      </c>
      <c r="D133" s="3">
        <f t="shared" ref="D133:D164" si="17">A133+5</f>
        <v>1620</v>
      </c>
      <c r="E133" s="3">
        <f t="shared" ref="E133:E164" si="18">MOD(D133,30)</f>
        <v>0</v>
      </c>
      <c r="F133" s="19" t="str">
        <f t="shared" ref="F133:F164" si="19">IF(B133&gt;=50,"LARGE","")</f>
        <v/>
      </c>
    </row>
    <row r="134" spans="1:6" x14ac:dyDescent="0.25">
      <c r="A134" s="2">
        <v>1447</v>
      </c>
      <c r="B134" s="2">
        <v>36</v>
      </c>
      <c r="C134" s="3">
        <f t="shared" si="16"/>
        <v>7</v>
      </c>
      <c r="D134" s="3">
        <f t="shared" si="17"/>
        <v>1452</v>
      </c>
      <c r="E134" s="3">
        <f t="shared" si="18"/>
        <v>12</v>
      </c>
      <c r="F134" s="19" t="str">
        <f t="shared" si="19"/>
        <v/>
      </c>
    </row>
    <row r="135" spans="1:6" x14ac:dyDescent="0.25">
      <c r="A135" s="2">
        <v>871</v>
      </c>
      <c r="B135" s="2">
        <v>36</v>
      </c>
      <c r="C135" s="3">
        <f t="shared" si="16"/>
        <v>1</v>
      </c>
      <c r="D135" s="3">
        <f t="shared" si="17"/>
        <v>876</v>
      </c>
      <c r="E135" s="3">
        <f t="shared" si="18"/>
        <v>6</v>
      </c>
      <c r="F135" s="19" t="str">
        <f t="shared" si="19"/>
        <v/>
      </c>
    </row>
    <row r="136" spans="1:6" x14ac:dyDescent="0.25">
      <c r="A136" s="2">
        <v>1591</v>
      </c>
      <c r="B136" s="2">
        <v>36</v>
      </c>
      <c r="C136" s="3">
        <f t="shared" si="16"/>
        <v>1</v>
      </c>
      <c r="D136" s="3">
        <f t="shared" si="17"/>
        <v>1596</v>
      </c>
      <c r="E136" s="3">
        <f t="shared" si="18"/>
        <v>6</v>
      </c>
      <c r="F136" s="19" t="str">
        <f t="shared" si="19"/>
        <v/>
      </c>
    </row>
    <row r="137" spans="1:6" x14ac:dyDescent="0.25">
      <c r="A137" s="2">
        <v>1885</v>
      </c>
      <c r="B137" s="2">
        <v>36</v>
      </c>
      <c r="C137" s="3">
        <f t="shared" si="16"/>
        <v>25</v>
      </c>
      <c r="D137" s="3">
        <f t="shared" si="17"/>
        <v>1890</v>
      </c>
      <c r="E137" s="3">
        <f t="shared" si="18"/>
        <v>0</v>
      </c>
      <c r="F137" s="19" t="str">
        <f t="shared" si="19"/>
        <v/>
      </c>
    </row>
    <row r="138" spans="1:6" x14ac:dyDescent="0.25">
      <c r="A138" s="2">
        <v>721</v>
      </c>
      <c r="B138" s="2">
        <v>35</v>
      </c>
      <c r="C138" s="3">
        <f t="shared" si="16"/>
        <v>1</v>
      </c>
      <c r="D138" s="3">
        <f t="shared" si="17"/>
        <v>726</v>
      </c>
      <c r="E138" s="3">
        <f t="shared" si="18"/>
        <v>6</v>
      </c>
      <c r="F138" s="19" t="str">
        <f t="shared" si="19"/>
        <v/>
      </c>
    </row>
    <row r="139" spans="1:6" x14ac:dyDescent="0.25">
      <c r="A139" s="2">
        <v>667</v>
      </c>
      <c r="B139" s="2">
        <v>35</v>
      </c>
      <c r="C139" s="3">
        <f t="shared" si="16"/>
        <v>7</v>
      </c>
      <c r="D139" s="3">
        <f t="shared" si="17"/>
        <v>672</v>
      </c>
      <c r="E139" s="3">
        <f t="shared" si="18"/>
        <v>12</v>
      </c>
      <c r="F139" s="19" t="str">
        <f t="shared" si="19"/>
        <v/>
      </c>
    </row>
    <row r="140" spans="1:6" x14ac:dyDescent="0.25">
      <c r="A140" s="2">
        <v>823</v>
      </c>
      <c r="B140" s="2">
        <v>35</v>
      </c>
      <c r="C140" s="3">
        <f t="shared" si="16"/>
        <v>13</v>
      </c>
      <c r="D140" s="3">
        <f t="shared" si="17"/>
        <v>828</v>
      </c>
      <c r="E140" s="3">
        <f t="shared" si="18"/>
        <v>18</v>
      </c>
      <c r="F140" s="19" t="str">
        <f t="shared" si="19"/>
        <v/>
      </c>
    </row>
    <row r="141" spans="1:6" x14ac:dyDescent="0.25">
      <c r="A141" s="2">
        <v>901</v>
      </c>
      <c r="B141" s="2">
        <v>35</v>
      </c>
      <c r="C141" s="3">
        <f t="shared" si="16"/>
        <v>1</v>
      </c>
      <c r="D141" s="3">
        <f t="shared" si="17"/>
        <v>906</v>
      </c>
      <c r="E141" s="3">
        <f t="shared" si="18"/>
        <v>6</v>
      </c>
      <c r="F141" s="19" t="str">
        <f t="shared" si="19"/>
        <v/>
      </c>
    </row>
    <row r="142" spans="1:6" x14ac:dyDescent="0.25">
      <c r="A142" s="2">
        <v>1185</v>
      </c>
      <c r="B142" s="2">
        <v>35</v>
      </c>
      <c r="C142" s="3">
        <f t="shared" si="16"/>
        <v>15</v>
      </c>
      <c r="D142" s="3">
        <f t="shared" si="17"/>
        <v>1190</v>
      </c>
      <c r="E142" s="3">
        <f t="shared" si="18"/>
        <v>20</v>
      </c>
      <c r="F142" s="19" t="str">
        <f t="shared" si="19"/>
        <v/>
      </c>
    </row>
    <row r="143" spans="1:6" x14ac:dyDescent="0.25">
      <c r="A143" s="2">
        <v>1235</v>
      </c>
      <c r="B143" s="2">
        <v>35</v>
      </c>
      <c r="C143" s="3">
        <f t="shared" si="16"/>
        <v>5</v>
      </c>
      <c r="D143" s="3">
        <f t="shared" si="17"/>
        <v>1240</v>
      </c>
      <c r="E143" s="3">
        <f t="shared" si="18"/>
        <v>10</v>
      </c>
      <c r="F143" s="19" t="str">
        <f t="shared" si="19"/>
        <v/>
      </c>
    </row>
    <row r="144" spans="1:6" x14ac:dyDescent="0.25">
      <c r="A144" s="2">
        <v>1295</v>
      </c>
      <c r="B144" s="2">
        <v>35</v>
      </c>
      <c r="C144" s="3">
        <f t="shared" si="16"/>
        <v>5</v>
      </c>
      <c r="D144" s="3">
        <f t="shared" si="17"/>
        <v>1300</v>
      </c>
      <c r="E144" s="3">
        <f t="shared" si="18"/>
        <v>10</v>
      </c>
      <c r="F144" s="19" t="str">
        <f t="shared" si="19"/>
        <v/>
      </c>
    </row>
    <row r="145" spans="1:6" x14ac:dyDescent="0.25">
      <c r="A145" s="2">
        <v>799</v>
      </c>
      <c r="B145" s="2">
        <v>35</v>
      </c>
      <c r="C145" s="3">
        <f t="shared" si="16"/>
        <v>19</v>
      </c>
      <c r="D145" s="3">
        <f t="shared" si="17"/>
        <v>804</v>
      </c>
      <c r="E145" s="3">
        <f t="shared" si="18"/>
        <v>24</v>
      </c>
      <c r="F145" s="19" t="str">
        <f t="shared" si="19"/>
        <v/>
      </c>
    </row>
    <row r="146" spans="1:6" x14ac:dyDescent="0.25">
      <c r="A146" s="2">
        <v>1711</v>
      </c>
      <c r="B146" s="2">
        <v>35</v>
      </c>
      <c r="C146" s="3">
        <f t="shared" si="16"/>
        <v>1</v>
      </c>
      <c r="D146" s="3">
        <f t="shared" si="17"/>
        <v>1716</v>
      </c>
      <c r="E146" s="3">
        <f t="shared" si="18"/>
        <v>6</v>
      </c>
      <c r="F146" s="19" t="str">
        <f t="shared" si="19"/>
        <v/>
      </c>
    </row>
    <row r="147" spans="1:6" x14ac:dyDescent="0.25">
      <c r="A147" s="2">
        <v>1549</v>
      </c>
      <c r="B147" s="2">
        <v>35</v>
      </c>
      <c r="C147" s="3">
        <f t="shared" si="16"/>
        <v>19</v>
      </c>
      <c r="D147" s="3">
        <f t="shared" si="17"/>
        <v>1554</v>
      </c>
      <c r="E147" s="3">
        <f t="shared" si="18"/>
        <v>24</v>
      </c>
      <c r="F147" s="19" t="str">
        <f t="shared" si="19"/>
        <v/>
      </c>
    </row>
    <row r="148" spans="1:6" x14ac:dyDescent="0.25">
      <c r="A148" s="2">
        <v>1759</v>
      </c>
      <c r="B148" s="2">
        <v>35</v>
      </c>
      <c r="C148" s="3">
        <f t="shared" si="16"/>
        <v>19</v>
      </c>
      <c r="D148" s="3">
        <f t="shared" si="17"/>
        <v>1764</v>
      </c>
      <c r="E148" s="3">
        <f t="shared" si="18"/>
        <v>24</v>
      </c>
      <c r="F148" s="19" t="str">
        <f t="shared" si="19"/>
        <v/>
      </c>
    </row>
    <row r="149" spans="1:6" x14ac:dyDescent="0.25">
      <c r="A149" s="2">
        <v>661</v>
      </c>
      <c r="B149" s="2">
        <v>34</v>
      </c>
      <c r="C149" s="3">
        <f t="shared" si="16"/>
        <v>1</v>
      </c>
      <c r="D149" s="3">
        <f t="shared" si="17"/>
        <v>666</v>
      </c>
      <c r="E149" s="3">
        <f t="shared" si="18"/>
        <v>6</v>
      </c>
      <c r="F149" s="19" t="str">
        <f t="shared" si="19"/>
        <v/>
      </c>
    </row>
    <row r="150" spans="1:6" x14ac:dyDescent="0.25">
      <c r="A150" s="2">
        <v>841</v>
      </c>
      <c r="B150" s="2">
        <v>34</v>
      </c>
      <c r="C150" s="3">
        <f t="shared" si="16"/>
        <v>1</v>
      </c>
      <c r="D150" s="3">
        <f t="shared" si="17"/>
        <v>846</v>
      </c>
      <c r="E150" s="3">
        <f t="shared" si="18"/>
        <v>6</v>
      </c>
      <c r="F150" s="19" t="str">
        <f t="shared" si="19"/>
        <v/>
      </c>
    </row>
    <row r="151" spans="1:6" x14ac:dyDescent="0.25">
      <c r="A151" s="2">
        <v>1205</v>
      </c>
      <c r="B151" s="2">
        <v>34</v>
      </c>
      <c r="C151" s="3">
        <f t="shared" si="16"/>
        <v>5</v>
      </c>
      <c r="D151" s="3">
        <f t="shared" si="17"/>
        <v>1210</v>
      </c>
      <c r="E151" s="3">
        <f t="shared" si="18"/>
        <v>10</v>
      </c>
      <c r="F151" s="19" t="str">
        <f t="shared" si="19"/>
        <v/>
      </c>
    </row>
    <row r="152" spans="1:6" x14ac:dyDescent="0.25">
      <c r="A152" s="2">
        <v>787</v>
      </c>
      <c r="B152" s="2">
        <v>34</v>
      </c>
      <c r="C152" s="3">
        <f t="shared" si="16"/>
        <v>7</v>
      </c>
      <c r="D152" s="3">
        <f t="shared" si="17"/>
        <v>792</v>
      </c>
      <c r="E152" s="3">
        <f t="shared" si="18"/>
        <v>12</v>
      </c>
      <c r="F152" s="19" t="str">
        <f t="shared" si="19"/>
        <v/>
      </c>
    </row>
    <row r="153" spans="1:6" x14ac:dyDescent="0.25">
      <c r="A153" s="2">
        <v>829</v>
      </c>
      <c r="B153" s="2">
        <v>34</v>
      </c>
      <c r="C153" s="3">
        <f t="shared" si="16"/>
        <v>19</v>
      </c>
      <c r="D153" s="3">
        <f t="shared" si="17"/>
        <v>834</v>
      </c>
      <c r="E153" s="3">
        <f t="shared" si="18"/>
        <v>24</v>
      </c>
      <c r="F153" s="19" t="str">
        <f t="shared" si="19"/>
        <v/>
      </c>
    </row>
    <row r="154" spans="1:6" x14ac:dyDescent="0.25">
      <c r="A154" s="2">
        <v>1795</v>
      </c>
      <c r="B154" s="2">
        <v>34</v>
      </c>
      <c r="C154" s="3">
        <f t="shared" si="16"/>
        <v>25</v>
      </c>
      <c r="D154" s="3">
        <f t="shared" si="17"/>
        <v>1800</v>
      </c>
      <c r="E154" s="3">
        <f t="shared" si="18"/>
        <v>0</v>
      </c>
      <c r="F154" s="19" t="str">
        <f t="shared" si="19"/>
        <v/>
      </c>
    </row>
    <row r="155" spans="1:6" x14ac:dyDescent="0.25">
      <c r="A155" s="2">
        <v>943</v>
      </c>
      <c r="B155" s="2">
        <v>34</v>
      </c>
      <c r="C155" s="3">
        <f t="shared" si="16"/>
        <v>13</v>
      </c>
      <c r="D155" s="3">
        <f t="shared" si="17"/>
        <v>948</v>
      </c>
      <c r="E155" s="3">
        <f t="shared" si="18"/>
        <v>18</v>
      </c>
      <c r="F155" s="19" t="str">
        <f t="shared" si="19"/>
        <v/>
      </c>
    </row>
    <row r="156" spans="1:6" x14ac:dyDescent="0.25">
      <c r="A156" s="2">
        <v>1579</v>
      </c>
      <c r="B156" s="2">
        <v>34</v>
      </c>
      <c r="C156" s="3">
        <f t="shared" si="16"/>
        <v>19</v>
      </c>
      <c r="D156" s="3">
        <f t="shared" si="17"/>
        <v>1584</v>
      </c>
      <c r="E156" s="3">
        <f t="shared" si="18"/>
        <v>24</v>
      </c>
      <c r="F156" s="19" t="str">
        <f t="shared" si="19"/>
        <v/>
      </c>
    </row>
    <row r="157" spans="1:6" x14ac:dyDescent="0.25">
      <c r="A157" s="2">
        <v>1627</v>
      </c>
      <c r="B157" s="2">
        <v>34</v>
      </c>
      <c r="C157" s="3">
        <f t="shared" si="16"/>
        <v>7</v>
      </c>
      <c r="D157" s="3">
        <f t="shared" si="17"/>
        <v>1632</v>
      </c>
      <c r="E157" s="3">
        <f t="shared" si="18"/>
        <v>12</v>
      </c>
      <c r="F157" s="19" t="str">
        <f t="shared" si="19"/>
        <v/>
      </c>
    </row>
    <row r="158" spans="1:6" x14ac:dyDescent="0.25">
      <c r="A158" s="2">
        <v>1355</v>
      </c>
      <c r="B158" s="2">
        <v>34</v>
      </c>
      <c r="C158" s="3">
        <f t="shared" si="16"/>
        <v>5</v>
      </c>
      <c r="D158" s="3">
        <f t="shared" si="17"/>
        <v>1360</v>
      </c>
      <c r="E158" s="3">
        <f t="shared" si="18"/>
        <v>10</v>
      </c>
      <c r="F158" s="19" t="str">
        <f t="shared" si="19"/>
        <v/>
      </c>
    </row>
    <row r="159" spans="1:6" x14ac:dyDescent="0.25">
      <c r="A159" s="2">
        <v>967</v>
      </c>
      <c r="B159" s="2">
        <v>33</v>
      </c>
      <c r="C159" s="3">
        <f t="shared" si="16"/>
        <v>7</v>
      </c>
      <c r="D159" s="3">
        <f t="shared" si="17"/>
        <v>972</v>
      </c>
      <c r="E159" s="3">
        <f t="shared" si="18"/>
        <v>12</v>
      </c>
      <c r="F159" s="19" t="str">
        <f t="shared" si="19"/>
        <v/>
      </c>
    </row>
    <row r="160" spans="1:6" x14ac:dyDescent="0.25">
      <c r="A160" s="2">
        <v>1519</v>
      </c>
      <c r="B160" s="2">
        <v>33</v>
      </c>
      <c r="C160" s="3">
        <f t="shared" si="16"/>
        <v>19</v>
      </c>
      <c r="D160" s="3">
        <f t="shared" si="17"/>
        <v>1524</v>
      </c>
      <c r="E160" s="3">
        <f t="shared" si="18"/>
        <v>24</v>
      </c>
      <c r="F160" s="19" t="str">
        <f t="shared" si="19"/>
        <v/>
      </c>
    </row>
    <row r="161" spans="1:6" x14ac:dyDescent="0.25">
      <c r="A161" s="2">
        <v>505</v>
      </c>
      <c r="B161" s="2">
        <v>33</v>
      </c>
      <c r="C161" s="3">
        <f t="shared" si="16"/>
        <v>25</v>
      </c>
      <c r="D161" s="3">
        <f t="shared" si="17"/>
        <v>510</v>
      </c>
      <c r="E161" s="3">
        <f t="shared" si="18"/>
        <v>0</v>
      </c>
      <c r="F161" s="19" t="str">
        <f t="shared" si="19"/>
        <v/>
      </c>
    </row>
    <row r="162" spans="1:6" x14ac:dyDescent="0.25">
      <c r="A162" s="2">
        <v>769</v>
      </c>
      <c r="B162" s="2">
        <v>33</v>
      </c>
      <c r="C162" s="3">
        <f t="shared" si="16"/>
        <v>19</v>
      </c>
      <c r="D162" s="3">
        <f t="shared" si="17"/>
        <v>774</v>
      </c>
      <c r="E162" s="3">
        <f t="shared" si="18"/>
        <v>24</v>
      </c>
      <c r="F162" s="19" t="str">
        <f t="shared" si="19"/>
        <v/>
      </c>
    </row>
    <row r="163" spans="1:6" x14ac:dyDescent="0.25">
      <c r="A163" s="2">
        <v>1531</v>
      </c>
      <c r="B163" s="2">
        <v>33</v>
      </c>
      <c r="C163" s="3">
        <f t="shared" si="16"/>
        <v>1</v>
      </c>
      <c r="D163" s="3">
        <f t="shared" si="17"/>
        <v>1536</v>
      </c>
      <c r="E163" s="3">
        <f t="shared" si="18"/>
        <v>6</v>
      </c>
      <c r="F163" s="19" t="str">
        <f t="shared" si="19"/>
        <v/>
      </c>
    </row>
    <row r="164" spans="1:6" x14ac:dyDescent="0.25">
      <c r="A164" s="2">
        <v>1621</v>
      </c>
      <c r="B164" s="2">
        <v>33</v>
      </c>
      <c r="C164" s="3">
        <f t="shared" si="16"/>
        <v>1</v>
      </c>
      <c r="D164" s="3">
        <f t="shared" si="17"/>
        <v>1626</v>
      </c>
      <c r="E164" s="3">
        <f t="shared" si="18"/>
        <v>6</v>
      </c>
      <c r="F164" s="19" t="str">
        <f t="shared" si="19"/>
        <v/>
      </c>
    </row>
    <row r="165" spans="1:6" x14ac:dyDescent="0.25">
      <c r="A165" s="2">
        <v>859</v>
      </c>
      <c r="B165" s="2">
        <v>33</v>
      </c>
      <c r="C165" s="3">
        <f t="shared" ref="C165:C196" si="20">MOD(A165,30)</f>
        <v>19</v>
      </c>
      <c r="D165" s="3">
        <f t="shared" ref="D165:D196" si="21">A165+5</f>
        <v>864</v>
      </c>
      <c r="E165" s="3">
        <f t="shared" ref="E165:E196" si="22">MOD(D165,30)</f>
        <v>24</v>
      </c>
      <c r="F165" s="19" t="str">
        <f t="shared" ref="F165:F196" si="23">IF(B165&gt;=50,"LARGE","")</f>
        <v/>
      </c>
    </row>
    <row r="166" spans="1:6" x14ac:dyDescent="0.25">
      <c r="A166" s="2">
        <v>1801</v>
      </c>
      <c r="B166" s="2">
        <v>33</v>
      </c>
      <c r="C166" s="3">
        <f t="shared" si="20"/>
        <v>1</v>
      </c>
      <c r="D166" s="3">
        <f t="shared" si="21"/>
        <v>1806</v>
      </c>
      <c r="E166" s="3">
        <f t="shared" si="22"/>
        <v>6</v>
      </c>
      <c r="F166" s="19" t="str">
        <f t="shared" si="23"/>
        <v/>
      </c>
    </row>
    <row r="167" spans="1:6" x14ac:dyDescent="0.25">
      <c r="A167" s="2">
        <v>1597</v>
      </c>
      <c r="B167" s="2">
        <v>33</v>
      </c>
      <c r="C167" s="3">
        <f t="shared" si="20"/>
        <v>7</v>
      </c>
      <c r="D167" s="3">
        <f t="shared" si="21"/>
        <v>1602</v>
      </c>
      <c r="E167" s="3">
        <f t="shared" si="22"/>
        <v>12</v>
      </c>
      <c r="F167" s="19" t="str">
        <f t="shared" si="23"/>
        <v/>
      </c>
    </row>
    <row r="168" spans="1:6" x14ac:dyDescent="0.25">
      <c r="A168" s="2">
        <v>1735</v>
      </c>
      <c r="B168" s="2">
        <v>33</v>
      </c>
      <c r="C168" s="3">
        <f t="shared" si="20"/>
        <v>25</v>
      </c>
      <c r="D168" s="3">
        <f t="shared" si="21"/>
        <v>1740</v>
      </c>
      <c r="E168" s="3">
        <f t="shared" si="22"/>
        <v>0</v>
      </c>
      <c r="F168" s="19" t="str">
        <f t="shared" si="23"/>
        <v/>
      </c>
    </row>
    <row r="169" spans="1:6" x14ac:dyDescent="0.25">
      <c r="A169" s="2">
        <v>1765</v>
      </c>
      <c r="B169" s="2">
        <v>33</v>
      </c>
      <c r="C169" s="3">
        <f t="shared" si="20"/>
        <v>25</v>
      </c>
      <c r="D169" s="3">
        <f t="shared" si="21"/>
        <v>1770</v>
      </c>
      <c r="E169" s="3">
        <f t="shared" si="22"/>
        <v>0</v>
      </c>
      <c r="F169" s="19" t="str">
        <f t="shared" si="23"/>
        <v/>
      </c>
    </row>
    <row r="170" spans="1:6" x14ac:dyDescent="0.25">
      <c r="A170" s="2">
        <v>679</v>
      </c>
      <c r="B170" s="2">
        <v>32</v>
      </c>
      <c r="C170" s="3">
        <f t="shared" si="20"/>
        <v>19</v>
      </c>
      <c r="D170" s="3">
        <f t="shared" si="21"/>
        <v>684</v>
      </c>
      <c r="E170" s="3">
        <f t="shared" si="22"/>
        <v>24</v>
      </c>
      <c r="F170" s="19" t="str">
        <f t="shared" si="23"/>
        <v/>
      </c>
    </row>
    <row r="171" spans="1:6" x14ac:dyDescent="0.25">
      <c r="A171" s="2">
        <v>763</v>
      </c>
      <c r="B171" s="2">
        <v>32</v>
      </c>
      <c r="C171" s="3">
        <f t="shared" si="20"/>
        <v>13</v>
      </c>
      <c r="D171" s="3">
        <f t="shared" si="21"/>
        <v>768</v>
      </c>
      <c r="E171" s="3">
        <f t="shared" si="22"/>
        <v>18</v>
      </c>
      <c r="F171" s="19" t="str">
        <f t="shared" si="23"/>
        <v/>
      </c>
    </row>
    <row r="172" spans="1:6" x14ac:dyDescent="0.25">
      <c r="A172" s="2">
        <v>727</v>
      </c>
      <c r="B172" s="2">
        <v>32</v>
      </c>
      <c r="C172" s="3">
        <f t="shared" si="20"/>
        <v>7</v>
      </c>
      <c r="D172" s="3">
        <f t="shared" si="21"/>
        <v>732</v>
      </c>
      <c r="E172" s="3">
        <f t="shared" si="22"/>
        <v>12</v>
      </c>
      <c r="F172" s="19" t="str">
        <f t="shared" si="23"/>
        <v/>
      </c>
    </row>
    <row r="173" spans="1:6" x14ac:dyDescent="0.25">
      <c r="A173" s="2">
        <v>757</v>
      </c>
      <c r="B173" s="2">
        <v>32</v>
      </c>
      <c r="C173" s="3">
        <f t="shared" si="20"/>
        <v>7</v>
      </c>
      <c r="D173" s="3">
        <f t="shared" si="21"/>
        <v>762</v>
      </c>
      <c r="E173" s="3">
        <f t="shared" si="22"/>
        <v>12</v>
      </c>
      <c r="F173" s="19" t="str">
        <f t="shared" si="23"/>
        <v/>
      </c>
    </row>
    <row r="174" spans="1:6" x14ac:dyDescent="0.25">
      <c r="A174" s="2">
        <v>619</v>
      </c>
      <c r="B174" s="2">
        <v>32</v>
      </c>
      <c r="C174" s="3">
        <f t="shared" si="20"/>
        <v>19</v>
      </c>
      <c r="D174" s="3">
        <f t="shared" si="21"/>
        <v>624</v>
      </c>
      <c r="E174" s="3">
        <f t="shared" si="22"/>
        <v>24</v>
      </c>
      <c r="F174" s="19" t="str">
        <f t="shared" si="23"/>
        <v/>
      </c>
    </row>
    <row r="175" spans="1:6" x14ac:dyDescent="0.25">
      <c r="A175" s="2">
        <v>1365</v>
      </c>
      <c r="B175" s="2">
        <v>32</v>
      </c>
      <c r="C175" s="3">
        <f t="shared" si="20"/>
        <v>15</v>
      </c>
      <c r="D175" s="3">
        <f t="shared" si="21"/>
        <v>1370</v>
      </c>
      <c r="E175" s="3">
        <f t="shared" si="22"/>
        <v>20</v>
      </c>
      <c r="F175" s="19" t="str">
        <f t="shared" si="23"/>
        <v/>
      </c>
    </row>
    <row r="176" spans="1:6" x14ac:dyDescent="0.25">
      <c r="A176" s="2">
        <v>595</v>
      </c>
      <c r="B176" s="2">
        <v>32</v>
      </c>
      <c r="C176" s="3">
        <f t="shared" si="20"/>
        <v>25</v>
      </c>
      <c r="D176" s="3">
        <f t="shared" si="21"/>
        <v>600</v>
      </c>
      <c r="E176" s="3">
        <f t="shared" si="22"/>
        <v>0</v>
      </c>
      <c r="F176" s="19" t="str">
        <f t="shared" si="23"/>
        <v/>
      </c>
    </row>
    <row r="177" spans="1:6" x14ac:dyDescent="0.25">
      <c r="A177" s="2">
        <v>1651</v>
      </c>
      <c r="B177" s="2">
        <v>32</v>
      </c>
      <c r="C177" s="3">
        <f t="shared" si="20"/>
        <v>1</v>
      </c>
      <c r="D177" s="3">
        <f t="shared" si="21"/>
        <v>1656</v>
      </c>
      <c r="E177" s="3">
        <f t="shared" si="22"/>
        <v>6</v>
      </c>
      <c r="F177" s="19" t="str">
        <f t="shared" si="23"/>
        <v/>
      </c>
    </row>
    <row r="178" spans="1:6" x14ac:dyDescent="0.25">
      <c r="A178" s="2">
        <v>907</v>
      </c>
      <c r="B178" s="2">
        <v>32</v>
      </c>
      <c r="C178" s="3">
        <f t="shared" si="20"/>
        <v>7</v>
      </c>
      <c r="D178" s="3">
        <f t="shared" si="21"/>
        <v>912</v>
      </c>
      <c r="E178" s="3">
        <f t="shared" si="22"/>
        <v>12</v>
      </c>
      <c r="F178" s="19" t="str">
        <f t="shared" si="23"/>
        <v/>
      </c>
    </row>
    <row r="179" spans="1:6" x14ac:dyDescent="0.25">
      <c r="A179" s="2">
        <v>2095</v>
      </c>
      <c r="B179" s="2">
        <v>32</v>
      </c>
      <c r="C179" s="3">
        <f t="shared" si="20"/>
        <v>25</v>
      </c>
      <c r="D179" s="3">
        <f t="shared" si="21"/>
        <v>2100</v>
      </c>
      <c r="E179" s="3">
        <f t="shared" si="22"/>
        <v>0</v>
      </c>
      <c r="F179" s="19" t="str">
        <f t="shared" si="23"/>
        <v/>
      </c>
    </row>
    <row r="180" spans="1:6" x14ac:dyDescent="0.25">
      <c r="A180" s="2">
        <v>1789</v>
      </c>
      <c r="B180" s="2">
        <v>32</v>
      </c>
      <c r="C180" s="3">
        <f t="shared" si="20"/>
        <v>19</v>
      </c>
      <c r="D180" s="3">
        <f t="shared" si="21"/>
        <v>1794</v>
      </c>
      <c r="E180" s="3">
        <f t="shared" si="22"/>
        <v>24</v>
      </c>
      <c r="F180" s="19" t="str">
        <f t="shared" si="23"/>
        <v/>
      </c>
    </row>
    <row r="181" spans="1:6" x14ac:dyDescent="0.25">
      <c r="A181" s="2">
        <v>415</v>
      </c>
      <c r="B181" s="2">
        <v>31</v>
      </c>
      <c r="C181" s="3">
        <f t="shared" si="20"/>
        <v>25</v>
      </c>
      <c r="D181" s="3">
        <f t="shared" si="21"/>
        <v>420</v>
      </c>
      <c r="E181" s="3">
        <f t="shared" si="22"/>
        <v>0</v>
      </c>
      <c r="F181" s="19" t="str">
        <f t="shared" si="23"/>
        <v/>
      </c>
    </row>
    <row r="182" spans="1:6" x14ac:dyDescent="0.25">
      <c r="A182" s="2">
        <v>535</v>
      </c>
      <c r="B182" s="2">
        <v>31</v>
      </c>
      <c r="C182" s="3">
        <f t="shared" si="20"/>
        <v>25</v>
      </c>
      <c r="D182" s="3">
        <f t="shared" si="21"/>
        <v>540</v>
      </c>
      <c r="E182" s="3">
        <f t="shared" si="22"/>
        <v>0</v>
      </c>
      <c r="F182" s="19" t="str">
        <f t="shared" si="23"/>
        <v/>
      </c>
    </row>
    <row r="183" spans="1:6" x14ac:dyDescent="0.25">
      <c r="A183" s="2">
        <v>541</v>
      </c>
      <c r="B183" s="2">
        <v>31</v>
      </c>
      <c r="C183" s="3">
        <f t="shared" si="20"/>
        <v>1</v>
      </c>
      <c r="D183" s="3">
        <f t="shared" si="21"/>
        <v>546</v>
      </c>
      <c r="E183" s="3">
        <f t="shared" si="22"/>
        <v>6</v>
      </c>
      <c r="F183" s="19" t="str">
        <f t="shared" si="23"/>
        <v/>
      </c>
    </row>
    <row r="184" spans="1:6" x14ac:dyDescent="0.25">
      <c r="A184" s="2">
        <v>649</v>
      </c>
      <c r="B184" s="2">
        <v>31</v>
      </c>
      <c r="C184" s="3">
        <f t="shared" si="20"/>
        <v>19</v>
      </c>
      <c r="D184" s="3">
        <f t="shared" si="21"/>
        <v>654</v>
      </c>
      <c r="E184" s="3">
        <f t="shared" si="22"/>
        <v>24</v>
      </c>
      <c r="F184" s="19" t="str">
        <f t="shared" si="23"/>
        <v/>
      </c>
    </row>
    <row r="185" spans="1:6" x14ac:dyDescent="0.25">
      <c r="A185" s="2">
        <v>1409</v>
      </c>
      <c r="B185" s="2">
        <v>31</v>
      </c>
      <c r="C185" s="3">
        <f t="shared" si="20"/>
        <v>29</v>
      </c>
      <c r="D185" s="3">
        <f t="shared" si="21"/>
        <v>1414</v>
      </c>
      <c r="E185" s="3">
        <f t="shared" si="22"/>
        <v>4</v>
      </c>
      <c r="F185" s="19" t="str">
        <f t="shared" si="23"/>
        <v/>
      </c>
    </row>
    <row r="186" spans="1:6" x14ac:dyDescent="0.25">
      <c r="A186" s="2">
        <v>905</v>
      </c>
      <c r="B186" s="2">
        <v>31</v>
      </c>
      <c r="C186" s="3">
        <f t="shared" si="20"/>
        <v>5</v>
      </c>
      <c r="D186" s="3">
        <f t="shared" si="21"/>
        <v>910</v>
      </c>
      <c r="E186" s="3">
        <f t="shared" si="22"/>
        <v>10</v>
      </c>
      <c r="F186" s="19" t="str">
        <f t="shared" si="23"/>
        <v/>
      </c>
    </row>
    <row r="187" spans="1:6" x14ac:dyDescent="0.25">
      <c r="A187" s="2">
        <v>1771</v>
      </c>
      <c r="B187" s="2">
        <v>31</v>
      </c>
      <c r="C187" s="3">
        <f t="shared" si="20"/>
        <v>1</v>
      </c>
      <c r="D187" s="3">
        <f t="shared" si="21"/>
        <v>1776</v>
      </c>
      <c r="E187" s="3">
        <f t="shared" si="22"/>
        <v>6</v>
      </c>
      <c r="F187" s="19" t="str">
        <f t="shared" si="23"/>
        <v/>
      </c>
    </row>
    <row r="188" spans="1:6" x14ac:dyDescent="0.25">
      <c r="A188" s="2">
        <v>1373</v>
      </c>
      <c r="B188" s="2">
        <v>31</v>
      </c>
      <c r="C188" s="3">
        <f t="shared" si="20"/>
        <v>23</v>
      </c>
      <c r="D188" s="3">
        <f t="shared" si="21"/>
        <v>1378</v>
      </c>
      <c r="E188" s="3">
        <f t="shared" si="22"/>
        <v>28</v>
      </c>
      <c r="F188" s="19" t="str">
        <f t="shared" si="23"/>
        <v/>
      </c>
    </row>
    <row r="189" spans="1:6" x14ac:dyDescent="0.25">
      <c r="A189" s="2">
        <v>739</v>
      </c>
      <c r="B189" s="2">
        <v>31</v>
      </c>
      <c r="C189" s="3">
        <f t="shared" si="20"/>
        <v>19</v>
      </c>
      <c r="D189" s="3">
        <f t="shared" si="21"/>
        <v>744</v>
      </c>
      <c r="E189" s="3">
        <f t="shared" si="22"/>
        <v>24</v>
      </c>
      <c r="F189" s="19" t="str">
        <f t="shared" si="23"/>
        <v/>
      </c>
    </row>
    <row r="190" spans="1:6" x14ac:dyDescent="0.25">
      <c r="A190" s="2">
        <v>565</v>
      </c>
      <c r="B190" s="2">
        <v>31</v>
      </c>
      <c r="C190" s="3">
        <f t="shared" si="20"/>
        <v>25</v>
      </c>
      <c r="D190" s="3">
        <f t="shared" si="21"/>
        <v>570</v>
      </c>
      <c r="E190" s="3">
        <f t="shared" si="22"/>
        <v>0</v>
      </c>
      <c r="F190" s="19" t="str">
        <f t="shared" si="23"/>
        <v/>
      </c>
    </row>
    <row r="191" spans="1:6" x14ac:dyDescent="0.25">
      <c r="A191" s="2">
        <v>1425</v>
      </c>
      <c r="B191" s="2">
        <v>31</v>
      </c>
      <c r="C191" s="3">
        <f t="shared" si="20"/>
        <v>15</v>
      </c>
      <c r="D191" s="3">
        <f t="shared" si="21"/>
        <v>1430</v>
      </c>
      <c r="E191" s="3">
        <f t="shared" si="22"/>
        <v>20</v>
      </c>
      <c r="F191" s="19" t="str">
        <f t="shared" si="23"/>
        <v/>
      </c>
    </row>
    <row r="192" spans="1:6" x14ac:dyDescent="0.25">
      <c r="A192" s="2">
        <v>1445</v>
      </c>
      <c r="B192" s="2">
        <v>31</v>
      </c>
      <c r="C192" s="3">
        <f t="shared" si="20"/>
        <v>5</v>
      </c>
      <c r="D192" s="3">
        <f t="shared" si="21"/>
        <v>1450</v>
      </c>
      <c r="E192" s="3">
        <f t="shared" si="22"/>
        <v>10</v>
      </c>
      <c r="F192" s="19" t="str">
        <f t="shared" si="23"/>
        <v/>
      </c>
    </row>
    <row r="193" spans="1:6" x14ac:dyDescent="0.25">
      <c r="A193" s="2">
        <v>697</v>
      </c>
      <c r="B193" s="2">
        <v>31</v>
      </c>
      <c r="C193" s="3">
        <f t="shared" si="20"/>
        <v>7</v>
      </c>
      <c r="D193" s="3">
        <f t="shared" si="21"/>
        <v>702</v>
      </c>
      <c r="E193" s="3">
        <f t="shared" si="22"/>
        <v>12</v>
      </c>
      <c r="F193" s="19" t="str">
        <f t="shared" si="23"/>
        <v/>
      </c>
    </row>
    <row r="194" spans="1:6" x14ac:dyDescent="0.25">
      <c r="A194" s="2">
        <v>1543</v>
      </c>
      <c r="B194" s="2">
        <v>31</v>
      </c>
      <c r="C194" s="3">
        <f t="shared" si="20"/>
        <v>13</v>
      </c>
      <c r="D194" s="3">
        <f t="shared" si="21"/>
        <v>1548</v>
      </c>
      <c r="E194" s="3">
        <f t="shared" si="22"/>
        <v>18</v>
      </c>
      <c r="F194" s="19" t="str">
        <f t="shared" si="23"/>
        <v/>
      </c>
    </row>
    <row r="195" spans="1:6" x14ac:dyDescent="0.25">
      <c r="A195" s="2">
        <v>1609</v>
      </c>
      <c r="B195" s="2">
        <v>31</v>
      </c>
      <c r="C195" s="3">
        <f t="shared" si="20"/>
        <v>19</v>
      </c>
      <c r="D195" s="3">
        <f t="shared" si="21"/>
        <v>1614</v>
      </c>
      <c r="E195" s="3">
        <f t="shared" si="22"/>
        <v>24</v>
      </c>
      <c r="F195" s="19" t="str">
        <f t="shared" si="23"/>
        <v/>
      </c>
    </row>
    <row r="196" spans="1:6" x14ac:dyDescent="0.25">
      <c r="A196" s="2">
        <v>1669</v>
      </c>
      <c r="B196" s="2">
        <v>31</v>
      </c>
      <c r="C196" s="3">
        <f t="shared" si="20"/>
        <v>19</v>
      </c>
      <c r="D196" s="3">
        <f t="shared" si="21"/>
        <v>1674</v>
      </c>
      <c r="E196" s="3">
        <f t="shared" si="22"/>
        <v>24</v>
      </c>
      <c r="F196" s="19" t="str">
        <f t="shared" si="23"/>
        <v/>
      </c>
    </row>
    <row r="197" spans="1:6" x14ac:dyDescent="0.25">
      <c r="A197" s="2">
        <v>1415</v>
      </c>
      <c r="B197" s="2">
        <v>31</v>
      </c>
      <c r="C197" s="3">
        <f t="shared" ref="C197:C204" si="24">MOD(A197,30)</f>
        <v>5</v>
      </c>
      <c r="D197" s="3">
        <f t="shared" ref="D197:D204" si="25">A197+5</f>
        <v>1420</v>
      </c>
      <c r="E197" s="3">
        <f t="shared" ref="E197:E228" si="26">MOD(D197,30)</f>
        <v>10</v>
      </c>
      <c r="F197" s="19" t="str">
        <f t="shared" ref="F197:F204" si="27">IF(B197&gt;=50,"LARGE","")</f>
        <v/>
      </c>
    </row>
    <row r="198" spans="1:6" x14ac:dyDescent="0.25">
      <c r="A198" s="2">
        <v>847</v>
      </c>
      <c r="B198" s="2">
        <v>31</v>
      </c>
      <c r="C198" s="3">
        <f t="shared" si="24"/>
        <v>7</v>
      </c>
      <c r="D198" s="3">
        <f t="shared" si="25"/>
        <v>852</v>
      </c>
      <c r="E198" s="3">
        <f t="shared" si="26"/>
        <v>12</v>
      </c>
      <c r="F198" s="19" t="str">
        <f t="shared" si="27"/>
        <v/>
      </c>
    </row>
    <row r="199" spans="1:6" x14ac:dyDescent="0.25">
      <c r="A199" s="2">
        <v>1855</v>
      </c>
      <c r="B199" s="2">
        <v>31</v>
      </c>
      <c r="C199" s="3">
        <f t="shared" si="24"/>
        <v>25</v>
      </c>
      <c r="D199" s="3">
        <f t="shared" si="25"/>
        <v>1860</v>
      </c>
      <c r="E199" s="3">
        <f t="shared" si="26"/>
        <v>0</v>
      </c>
      <c r="F199" s="19" t="str">
        <f t="shared" si="27"/>
        <v/>
      </c>
    </row>
    <row r="200" spans="1:6" x14ac:dyDescent="0.25">
      <c r="A200" s="2">
        <v>631</v>
      </c>
      <c r="B200" s="2">
        <v>30</v>
      </c>
      <c r="C200" s="3">
        <f t="shared" si="24"/>
        <v>1</v>
      </c>
      <c r="D200" s="3">
        <f t="shared" si="25"/>
        <v>636</v>
      </c>
      <c r="E200" s="3">
        <f t="shared" si="26"/>
        <v>6</v>
      </c>
      <c r="F200" s="19" t="str">
        <f t="shared" si="27"/>
        <v/>
      </c>
    </row>
    <row r="201" spans="1:6" x14ac:dyDescent="0.25">
      <c r="A201" s="2">
        <v>1095</v>
      </c>
      <c r="B201" s="2">
        <v>30</v>
      </c>
      <c r="C201" s="3">
        <f t="shared" si="24"/>
        <v>15</v>
      </c>
      <c r="D201" s="3">
        <f t="shared" si="25"/>
        <v>1100</v>
      </c>
      <c r="E201" s="3">
        <f t="shared" si="26"/>
        <v>20</v>
      </c>
      <c r="F201" s="19" t="str">
        <f t="shared" si="27"/>
        <v/>
      </c>
    </row>
    <row r="202" spans="1:6" x14ac:dyDescent="0.25">
      <c r="A202" s="2">
        <v>1145</v>
      </c>
      <c r="B202" s="2">
        <v>30</v>
      </c>
      <c r="C202" s="3">
        <f t="shared" si="24"/>
        <v>5</v>
      </c>
      <c r="D202" s="3">
        <f t="shared" si="25"/>
        <v>1150</v>
      </c>
      <c r="E202" s="3">
        <f t="shared" si="26"/>
        <v>10</v>
      </c>
      <c r="F202" s="19" t="str">
        <f t="shared" si="27"/>
        <v/>
      </c>
    </row>
    <row r="203" spans="1:6" x14ac:dyDescent="0.25">
      <c r="A203" s="2">
        <v>1275</v>
      </c>
      <c r="B203" s="2">
        <v>30</v>
      </c>
      <c r="C203" s="3">
        <f t="shared" si="24"/>
        <v>15</v>
      </c>
      <c r="D203" s="3">
        <f t="shared" si="25"/>
        <v>1280</v>
      </c>
      <c r="E203" s="3">
        <f t="shared" si="26"/>
        <v>20</v>
      </c>
      <c r="F203" s="19" t="str">
        <f t="shared" si="27"/>
        <v/>
      </c>
    </row>
    <row r="204" spans="1:6" x14ac:dyDescent="0.25">
      <c r="A204" s="2">
        <v>1337</v>
      </c>
      <c r="B204" s="2">
        <v>30</v>
      </c>
      <c r="C204" s="3">
        <f t="shared" si="24"/>
        <v>17</v>
      </c>
      <c r="D204" s="3">
        <f t="shared" si="25"/>
        <v>1342</v>
      </c>
      <c r="E204" s="3">
        <f t="shared" si="26"/>
        <v>22</v>
      </c>
      <c r="F204" s="19" t="str">
        <f t="shared" si="27"/>
        <v/>
      </c>
    </row>
    <row r="210" spans="1:4" ht="16.5" x14ac:dyDescent="0.25">
      <c r="A210" s="6" t="s">
        <v>103</v>
      </c>
    </row>
    <row r="211" spans="1:4" x14ac:dyDescent="0.25">
      <c r="A211" s="15" t="s">
        <v>104</v>
      </c>
    </row>
    <row r="212" spans="1:4" x14ac:dyDescent="0.25">
      <c r="A212" s="15" t="s">
        <v>105</v>
      </c>
      <c r="B212" s="7">
        <f>COUNTIF(C5:C54,25)</f>
        <v>22</v>
      </c>
      <c r="C212" s="20">
        <f>COUNTIF(C5:C54,25)/50</f>
        <v>0.44</v>
      </c>
      <c r="D212" s="21" t="s">
        <v>106</v>
      </c>
    </row>
    <row r="213" spans="1:4" x14ac:dyDescent="0.25">
      <c r="A213" s="15" t="s">
        <v>107</v>
      </c>
      <c r="B213" s="7">
        <f>COUNTIF(E5:E54,0)</f>
        <v>22</v>
      </c>
      <c r="C213" s="20">
        <f>COUNTIF(E5:E54,0)/50</f>
        <v>0.44</v>
      </c>
    </row>
    <row r="215" spans="1:4" ht="16.5" x14ac:dyDescent="0.25">
      <c r="A215" s="6" t="s">
        <v>108</v>
      </c>
    </row>
    <row r="216" spans="1:4" x14ac:dyDescent="0.25">
      <c r="A216" s="15" t="s">
        <v>109</v>
      </c>
    </row>
    <row r="217" spans="1:4" x14ac:dyDescent="0.25">
      <c r="A217" s="7" t="s">
        <v>110</v>
      </c>
    </row>
    <row r="218" spans="1:4" x14ac:dyDescent="0.25">
      <c r="A218" s="15" t="s">
        <v>111</v>
      </c>
    </row>
  </sheetData>
  <mergeCells count="1">
    <mergeCell ref="A1:F1"/>
  </mergeCells>
  <conditionalFormatting sqref="C5:C204">
    <cfRule type="cellIs" dxfId="8" priority="1" operator="equal">
      <formula>25</formula>
    </cfRule>
  </conditionalFormatting>
  <conditionalFormatting sqref="F5:F204">
    <cfRule type="cellIs" dxfId="7" priority="2" operator="equal">
      <formula>"LARGE"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B6CB0"/>
  </sheetPr>
  <dimension ref="A1:E1009"/>
  <sheetViews>
    <sheetView workbookViewId="0"/>
  </sheetViews>
  <sheetFormatPr defaultRowHeight="15" x14ac:dyDescent="0.25"/>
  <cols>
    <col min="1" max="1" width="6" customWidth="1"/>
    <col min="2" max="3" width="7" customWidth="1"/>
    <col min="4" max="5" width="9" customWidth="1"/>
  </cols>
  <sheetData>
    <row r="1" spans="1:5" ht="20.25" x14ac:dyDescent="0.25">
      <c r="A1" s="52" t="s">
        <v>112</v>
      </c>
      <c r="B1" s="53"/>
      <c r="C1" s="53"/>
      <c r="D1" s="53"/>
      <c r="E1" s="53"/>
    </row>
    <row r="2" spans="1:5" ht="25.5" x14ac:dyDescent="0.25">
      <c r="A2" s="1" t="s">
        <v>1</v>
      </c>
      <c r="B2" s="1" t="s">
        <v>113</v>
      </c>
      <c r="C2" s="1" t="s">
        <v>114</v>
      </c>
      <c r="D2" s="1" t="s">
        <v>115</v>
      </c>
      <c r="E2" s="1" t="s">
        <v>116</v>
      </c>
    </row>
    <row r="3" spans="1:5" x14ac:dyDescent="0.25">
      <c r="A3" s="15">
        <v>1</v>
      </c>
    </row>
    <row r="4" spans="1:5" x14ac:dyDescent="0.25">
      <c r="A4" s="15">
        <v>2</v>
      </c>
      <c r="B4">
        <v>-1</v>
      </c>
    </row>
    <row r="5" spans="1:5" x14ac:dyDescent="0.25">
      <c r="A5" s="15">
        <v>3</v>
      </c>
      <c r="B5">
        <v>-1</v>
      </c>
    </row>
    <row r="6" spans="1:5" x14ac:dyDescent="0.25">
      <c r="A6" s="15">
        <v>4</v>
      </c>
      <c r="D6">
        <v>-1</v>
      </c>
    </row>
    <row r="7" spans="1:5" x14ac:dyDescent="0.25">
      <c r="A7" s="15">
        <v>5</v>
      </c>
      <c r="B7">
        <v>-1</v>
      </c>
    </row>
    <row r="8" spans="1:5" x14ac:dyDescent="0.25">
      <c r="A8" s="15">
        <v>6</v>
      </c>
      <c r="C8">
        <v>0</v>
      </c>
    </row>
    <row r="9" spans="1:5" x14ac:dyDescent="0.25">
      <c r="A9" s="15">
        <v>7</v>
      </c>
      <c r="B9">
        <v>-1</v>
      </c>
    </row>
    <row r="10" spans="1:5" x14ac:dyDescent="0.25">
      <c r="A10" s="15">
        <v>8</v>
      </c>
      <c r="E10">
        <v>0</v>
      </c>
    </row>
    <row r="11" spans="1:5" x14ac:dyDescent="0.25">
      <c r="A11" s="15">
        <v>9</v>
      </c>
      <c r="D11">
        <v>0</v>
      </c>
    </row>
    <row r="12" spans="1:5" x14ac:dyDescent="0.25">
      <c r="A12" s="15">
        <v>10</v>
      </c>
      <c r="C12">
        <v>2</v>
      </c>
    </row>
    <row r="13" spans="1:5" x14ac:dyDescent="0.25">
      <c r="A13" s="15">
        <v>11</v>
      </c>
      <c r="B13">
        <v>-1</v>
      </c>
    </row>
    <row r="14" spans="1:5" x14ac:dyDescent="0.25">
      <c r="A14" s="15">
        <v>12</v>
      </c>
      <c r="E14">
        <v>2</v>
      </c>
    </row>
    <row r="15" spans="1:5" x14ac:dyDescent="0.25">
      <c r="A15" s="15">
        <v>13</v>
      </c>
      <c r="B15">
        <v>-1</v>
      </c>
    </row>
    <row r="16" spans="1:5" x14ac:dyDescent="0.25">
      <c r="A16" s="15">
        <v>14</v>
      </c>
      <c r="C16">
        <v>4</v>
      </c>
    </row>
    <row r="17" spans="1:5" x14ac:dyDescent="0.25">
      <c r="A17" s="15">
        <v>15</v>
      </c>
      <c r="C17">
        <v>3</v>
      </c>
    </row>
    <row r="18" spans="1:5" x14ac:dyDescent="0.25">
      <c r="A18" s="15">
        <v>16</v>
      </c>
      <c r="E18">
        <v>3</v>
      </c>
    </row>
    <row r="19" spans="1:5" x14ac:dyDescent="0.25">
      <c r="A19" s="15">
        <v>17</v>
      </c>
      <c r="B19">
        <v>-1</v>
      </c>
    </row>
    <row r="20" spans="1:5" x14ac:dyDescent="0.25">
      <c r="A20" s="15">
        <v>18</v>
      </c>
      <c r="E20">
        <v>6</v>
      </c>
    </row>
    <row r="21" spans="1:5" x14ac:dyDescent="0.25">
      <c r="A21" s="15">
        <v>19</v>
      </c>
      <c r="B21">
        <v>-1</v>
      </c>
    </row>
    <row r="22" spans="1:5" x14ac:dyDescent="0.25">
      <c r="A22" s="15">
        <v>20</v>
      </c>
      <c r="E22">
        <v>6</v>
      </c>
    </row>
    <row r="23" spans="1:5" x14ac:dyDescent="0.25">
      <c r="A23" s="15">
        <v>21</v>
      </c>
      <c r="C23">
        <v>5</v>
      </c>
    </row>
    <row r="24" spans="1:5" x14ac:dyDescent="0.25">
      <c r="A24" s="15">
        <v>22</v>
      </c>
      <c r="C24">
        <v>8</v>
      </c>
    </row>
    <row r="25" spans="1:5" x14ac:dyDescent="0.25">
      <c r="A25" s="15">
        <v>23</v>
      </c>
      <c r="B25">
        <v>-1</v>
      </c>
    </row>
    <row r="26" spans="1:5" x14ac:dyDescent="0.25">
      <c r="A26" s="15">
        <v>24</v>
      </c>
      <c r="E26">
        <v>8</v>
      </c>
    </row>
    <row r="27" spans="1:5" x14ac:dyDescent="0.25">
      <c r="A27" s="15">
        <v>25</v>
      </c>
      <c r="D27">
        <v>2</v>
      </c>
    </row>
    <row r="28" spans="1:5" x14ac:dyDescent="0.25">
      <c r="A28" s="15">
        <v>26</v>
      </c>
      <c r="C28">
        <v>10</v>
      </c>
    </row>
    <row r="29" spans="1:5" x14ac:dyDescent="0.25">
      <c r="A29" s="15">
        <v>27</v>
      </c>
      <c r="E29">
        <v>5</v>
      </c>
    </row>
    <row r="30" spans="1:5" x14ac:dyDescent="0.25">
      <c r="A30" s="15">
        <v>28</v>
      </c>
      <c r="E30">
        <v>10</v>
      </c>
    </row>
    <row r="31" spans="1:5" x14ac:dyDescent="0.25">
      <c r="A31" s="15">
        <v>29</v>
      </c>
      <c r="B31">
        <v>-1</v>
      </c>
    </row>
    <row r="32" spans="1:5" x14ac:dyDescent="0.25">
      <c r="A32" s="15">
        <v>30</v>
      </c>
      <c r="E32">
        <v>14</v>
      </c>
    </row>
    <row r="33" spans="1:5" x14ac:dyDescent="0.25">
      <c r="A33" s="15">
        <v>31</v>
      </c>
      <c r="B33">
        <v>-1</v>
      </c>
    </row>
    <row r="34" spans="1:5" x14ac:dyDescent="0.25">
      <c r="A34" s="15">
        <v>32</v>
      </c>
      <c r="E34">
        <v>10</v>
      </c>
    </row>
    <row r="35" spans="1:5" x14ac:dyDescent="0.25">
      <c r="A35" s="15">
        <v>33</v>
      </c>
      <c r="C35">
        <v>9</v>
      </c>
    </row>
    <row r="36" spans="1:5" x14ac:dyDescent="0.25">
      <c r="A36" s="15">
        <v>34</v>
      </c>
      <c r="C36">
        <v>14</v>
      </c>
    </row>
    <row r="37" spans="1:5" x14ac:dyDescent="0.25">
      <c r="A37" s="15">
        <v>35</v>
      </c>
      <c r="C37">
        <v>7</v>
      </c>
    </row>
    <row r="38" spans="1:5" x14ac:dyDescent="0.25">
      <c r="A38" s="15">
        <v>36</v>
      </c>
      <c r="E38">
        <v>15</v>
      </c>
    </row>
    <row r="39" spans="1:5" x14ac:dyDescent="0.25">
      <c r="A39" s="15">
        <v>37</v>
      </c>
      <c r="B39">
        <v>-1</v>
      </c>
    </row>
    <row r="40" spans="1:5" x14ac:dyDescent="0.25">
      <c r="A40" s="15">
        <v>38</v>
      </c>
      <c r="C40">
        <v>16</v>
      </c>
    </row>
    <row r="41" spans="1:5" x14ac:dyDescent="0.25">
      <c r="A41" s="15">
        <v>39</v>
      </c>
      <c r="C41">
        <v>11</v>
      </c>
    </row>
    <row r="42" spans="1:5" x14ac:dyDescent="0.25">
      <c r="A42" s="15">
        <v>40</v>
      </c>
      <c r="E42">
        <v>16</v>
      </c>
    </row>
    <row r="43" spans="1:5" x14ac:dyDescent="0.25">
      <c r="A43" s="15">
        <v>41</v>
      </c>
      <c r="B43">
        <v>-1</v>
      </c>
    </row>
    <row r="44" spans="1:5" x14ac:dyDescent="0.25">
      <c r="A44" s="15">
        <v>42</v>
      </c>
      <c r="E44">
        <v>22</v>
      </c>
    </row>
    <row r="45" spans="1:5" x14ac:dyDescent="0.25">
      <c r="A45" s="15">
        <v>43</v>
      </c>
      <c r="B45">
        <v>-1</v>
      </c>
    </row>
    <row r="46" spans="1:5" x14ac:dyDescent="0.25">
      <c r="A46" s="15">
        <v>44</v>
      </c>
      <c r="E46">
        <v>18</v>
      </c>
    </row>
    <row r="47" spans="1:5" x14ac:dyDescent="0.25">
      <c r="A47" s="15">
        <v>45</v>
      </c>
      <c r="E47">
        <v>15</v>
      </c>
    </row>
    <row r="48" spans="1:5" x14ac:dyDescent="0.25">
      <c r="A48" s="15">
        <v>46</v>
      </c>
      <c r="C48">
        <v>20</v>
      </c>
    </row>
    <row r="49" spans="1:5" x14ac:dyDescent="0.25">
      <c r="A49" s="15">
        <v>47</v>
      </c>
      <c r="B49">
        <v>-1</v>
      </c>
    </row>
    <row r="50" spans="1:5" x14ac:dyDescent="0.25">
      <c r="A50" s="15">
        <v>48</v>
      </c>
      <c r="E50">
        <v>22</v>
      </c>
    </row>
    <row r="51" spans="1:5" x14ac:dyDescent="0.25">
      <c r="A51" s="15">
        <v>49</v>
      </c>
      <c r="D51">
        <v>4</v>
      </c>
    </row>
    <row r="52" spans="1:5" x14ac:dyDescent="0.25">
      <c r="A52" s="15">
        <v>50</v>
      </c>
      <c r="E52">
        <v>24</v>
      </c>
    </row>
    <row r="53" spans="1:5" x14ac:dyDescent="0.25">
      <c r="A53" s="15">
        <v>51</v>
      </c>
      <c r="C53">
        <v>15</v>
      </c>
    </row>
    <row r="54" spans="1:5" x14ac:dyDescent="0.25">
      <c r="A54" s="15">
        <v>52</v>
      </c>
      <c r="E54">
        <v>22</v>
      </c>
    </row>
    <row r="55" spans="1:5" x14ac:dyDescent="0.25">
      <c r="A55" s="15">
        <v>53</v>
      </c>
      <c r="B55">
        <v>-1</v>
      </c>
    </row>
    <row r="56" spans="1:5" x14ac:dyDescent="0.25">
      <c r="A56" s="15">
        <v>54</v>
      </c>
      <c r="E56">
        <v>28</v>
      </c>
    </row>
    <row r="57" spans="1:5" x14ac:dyDescent="0.25">
      <c r="A57" s="15">
        <v>55</v>
      </c>
      <c r="C57">
        <v>11</v>
      </c>
    </row>
    <row r="58" spans="1:5" x14ac:dyDescent="0.25">
      <c r="A58" s="15">
        <v>56</v>
      </c>
      <c r="E58">
        <v>24</v>
      </c>
    </row>
    <row r="59" spans="1:5" x14ac:dyDescent="0.25">
      <c r="A59" s="15">
        <v>57</v>
      </c>
      <c r="C59">
        <v>17</v>
      </c>
    </row>
    <row r="60" spans="1:5" x14ac:dyDescent="0.25">
      <c r="A60" s="15">
        <v>58</v>
      </c>
      <c r="C60">
        <v>26</v>
      </c>
    </row>
    <row r="61" spans="1:5" x14ac:dyDescent="0.25">
      <c r="A61" s="15">
        <v>59</v>
      </c>
      <c r="B61">
        <v>-1</v>
      </c>
    </row>
    <row r="62" spans="1:5" x14ac:dyDescent="0.25">
      <c r="A62" s="15">
        <v>60</v>
      </c>
      <c r="E62">
        <v>32</v>
      </c>
    </row>
    <row r="63" spans="1:5" x14ac:dyDescent="0.25">
      <c r="A63" s="15">
        <v>61</v>
      </c>
      <c r="B63">
        <v>-1</v>
      </c>
    </row>
    <row r="64" spans="1:5" x14ac:dyDescent="0.25">
      <c r="A64" s="15">
        <v>62</v>
      </c>
      <c r="C64">
        <v>28</v>
      </c>
    </row>
    <row r="65" spans="1:5" x14ac:dyDescent="0.25">
      <c r="A65" s="15">
        <v>63</v>
      </c>
      <c r="E65">
        <v>21</v>
      </c>
    </row>
    <row r="66" spans="1:5" x14ac:dyDescent="0.25">
      <c r="A66" s="15">
        <v>64</v>
      </c>
      <c r="E66">
        <v>25</v>
      </c>
    </row>
    <row r="67" spans="1:5" x14ac:dyDescent="0.25">
      <c r="A67" s="15">
        <v>65</v>
      </c>
      <c r="C67">
        <v>13</v>
      </c>
    </row>
    <row r="68" spans="1:5" x14ac:dyDescent="0.25">
      <c r="A68" s="15">
        <v>66</v>
      </c>
      <c r="E68">
        <v>38</v>
      </c>
    </row>
    <row r="69" spans="1:5" x14ac:dyDescent="0.25">
      <c r="A69" s="15">
        <v>67</v>
      </c>
      <c r="B69">
        <v>-1</v>
      </c>
    </row>
    <row r="70" spans="1:5" x14ac:dyDescent="0.25">
      <c r="A70" s="15">
        <v>68</v>
      </c>
      <c r="E70">
        <v>30</v>
      </c>
    </row>
    <row r="71" spans="1:5" x14ac:dyDescent="0.25">
      <c r="A71" s="15">
        <v>69</v>
      </c>
      <c r="C71">
        <v>21</v>
      </c>
    </row>
    <row r="72" spans="1:5" x14ac:dyDescent="0.25">
      <c r="A72" s="15">
        <v>70</v>
      </c>
      <c r="E72">
        <v>38</v>
      </c>
    </row>
    <row r="73" spans="1:5" x14ac:dyDescent="0.25">
      <c r="A73" s="15">
        <v>71</v>
      </c>
      <c r="B73">
        <v>-1</v>
      </c>
    </row>
    <row r="74" spans="1:5" x14ac:dyDescent="0.25">
      <c r="A74" s="15">
        <v>72</v>
      </c>
      <c r="E74">
        <v>36</v>
      </c>
    </row>
    <row r="75" spans="1:5" x14ac:dyDescent="0.25">
      <c r="A75" s="15">
        <v>73</v>
      </c>
      <c r="B75">
        <v>-1</v>
      </c>
    </row>
    <row r="76" spans="1:5" x14ac:dyDescent="0.25">
      <c r="A76" s="15">
        <v>74</v>
      </c>
      <c r="C76">
        <v>34</v>
      </c>
    </row>
    <row r="77" spans="1:5" x14ac:dyDescent="0.25">
      <c r="A77" s="15">
        <v>75</v>
      </c>
      <c r="E77">
        <v>29</v>
      </c>
    </row>
    <row r="78" spans="1:5" x14ac:dyDescent="0.25">
      <c r="A78" s="15">
        <v>76</v>
      </c>
      <c r="E78">
        <v>34</v>
      </c>
    </row>
    <row r="79" spans="1:5" x14ac:dyDescent="0.25">
      <c r="A79" s="15">
        <v>77</v>
      </c>
      <c r="C79">
        <v>13</v>
      </c>
    </row>
    <row r="80" spans="1:5" x14ac:dyDescent="0.25">
      <c r="A80" s="15">
        <v>78</v>
      </c>
      <c r="E80">
        <v>46</v>
      </c>
    </row>
    <row r="81" spans="1:5" x14ac:dyDescent="0.25">
      <c r="A81" s="15">
        <v>79</v>
      </c>
      <c r="B81">
        <v>-1</v>
      </c>
    </row>
    <row r="82" spans="1:5" x14ac:dyDescent="0.25">
      <c r="A82" s="15">
        <v>80</v>
      </c>
      <c r="E82">
        <v>38</v>
      </c>
    </row>
    <row r="83" spans="1:5" x14ac:dyDescent="0.25">
      <c r="A83" s="15">
        <v>81</v>
      </c>
      <c r="E83">
        <v>22</v>
      </c>
    </row>
    <row r="84" spans="1:5" x14ac:dyDescent="0.25">
      <c r="A84" s="15">
        <v>82</v>
      </c>
      <c r="C84">
        <v>38</v>
      </c>
    </row>
    <row r="85" spans="1:5" x14ac:dyDescent="0.25">
      <c r="A85" s="15">
        <v>83</v>
      </c>
      <c r="B85">
        <v>-1</v>
      </c>
    </row>
    <row r="86" spans="1:5" x14ac:dyDescent="0.25">
      <c r="A86" s="15">
        <v>84</v>
      </c>
      <c r="E86">
        <v>48</v>
      </c>
    </row>
    <row r="87" spans="1:5" x14ac:dyDescent="0.25">
      <c r="A87" s="15">
        <v>85</v>
      </c>
      <c r="C87">
        <v>17</v>
      </c>
    </row>
    <row r="88" spans="1:5" x14ac:dyDescent="0.25">
      <c r="A88" s="15">
        <v>86</v>
      </c>
      <c r="C88">
        <v>40</v>
      </c>
    </row>
    <row r="89" spans="1:5" x14ac:dyDescent="0.25">
      <c r="A89" s="15">
        <v>87</v>
      </c>
      <c r="C89">
        <v>27</v>
      </c>
    </row>
    <row r="90" spans="1:5" x14ac:dyDescent="0.25">
      <c r="A90" s="15">
        <v>88</v>
      </c>
      <c r="E90">
        <v>40</v>
      </c>
    </row>
    <row r="91" spans="1:5" x14ac:dyDescent="0.25">
      <c r="A91" s="15">
        <v>89</v>
      </c>
      <c r="B91">
        <v>-1</v>
      </c>
    </row>
    <row r="92" spans="1:5" x14ac:dyDescent="0.25">
      <c r="A92" s="15">
        <v>90</v>
      </c>
      <c r="E92">
        <v>54</v>
      </c>
    </row>
    <row r="93" spans="1:5" x14ac:dyDescent="0.25">
      <c r="A93" s="15">
        <v>91</v>
      </c>
      <c r="C93">
        <v>15</v>
      </c>
    </row>
    <row r="94" spans="1:5" x14ac:dyDescent="0.25">
      <c r="A94" s="15">
        <v>92</v>
      </c>
      <c r="E94">
        <v>42</v>
      </c>
    </row>
    <row r="95" spans="1:5" x14ac:dyDescent="0.25">
      <c r="A95" s="15">
        <v>93</v>
      </c>
      <c r="C95">
        <v>29</v>
      </c>
    </row>
    <row r="96" spans="1:5" x14ac:dyDescent="0.25">
      <c r="A96" s="15">
        <v>94</v>
      </c>
      <c r="C96">
        <v>44</v>
      </c>
    </row>
    <row r="97" spans="1:5" x14ac:dyDescent="0.25">
      <c r="A97" s="15">
        <v>95</v>
      </c>
      <c r="C97">
        <v>19</v>
      </c>
    </row>
    <row r="98" spans="1:5" x14ac:dyDescent="0.25">
      <c r="A98" s="15">
        <v>96</v>
      </c>
      <c r="E98">
        <v>52</v>
      </c>
    </row>
    <row r="99" spans="1:5" x14ac:dyDescent="0.25">
      <c r="A99" s="15">
        <v>97</v>
      </c>
      <c r="B99">
        <v>-1</v>
      </c>
    </row>
    <row r="100" spans="1:5" x14ac:dyDescent="0.25">
      <c r="A100" s="15">
        <v>98</v>
      </c>
      <c r="E100">
        <v>50</v>
      </c>
    </row>
    <row r="101" spans="1:5" x14ac:dyDescent="0.25">
      <c r="A101" s="15">
        <v>99</v>
      </c>
      <c r="E101">
        <v>33</v>
      </c>
    </row>
    <row r="102" spans="1:5" x14ac:dyDescent="0.25">
      <c r="A102" s="15">
        <v>100</v>
      </c>
      <c r="E102">
        <v>51</v>
      </c>
    </row>
    <row r="103" spans="1:5" x14ac:dyDescent="0.25">
      <c r="A103" s="15">
        <v>101</v>
      </c>
      <c r="B103">
        <v>-1</v>
      </c>
    </row>
    <row r="104" spans="1:5" x14ac:dyDescent="0.25">
      <c r="A104" s="15">
        <v>102</v>
      </c>
      <c r="E104">
        <v>62</v>
      </c>
    </row>
    <row r="105" spans="1:5" x14ac:dyDescent="0.25">
      <c r="A105" s="15">
        <v>103</v>
      </c>
      <c r="B105">
        <v>-1</v>
      </c>
    </row>
    <row r="106" spans="1:5" x14ac:dyDescent="0.25">
      <c r="A106" s="15">
        <v>104</v>
      </c>
      <c r="E106">
        <v>48</v>
      </c>
    </row>
    <row r="107" spans="1:5" x14ac:dyDescent="0.25">
      <c r="A107" s="15">
        <v>105</v>
      </c>
      <c r="E107">
        <v>49</v>
      </c>
    </row>
    <row r="108" spans="1:5" x14ac:dyDescent="0.25">
      <c r="A108" s="15">
        <v>106</v>
      </c>
      <c r="C108">
        <v>50</v>
      </c>
    </row>
    <row r="109" spans="1:5" x14ac:dyDescent="0.25">
      <c r="A109" s="15">
        <v>107</v>
      </c>
      <c r="B109">
        <v>-1</v>
      </c>
    </row>
    <row r="110" spans="1:5" x14ac:dyDescent="0.25">
      <c r="A110" s="15">
        <v>108</v>
      </c>
      <c r="E110">
        <v>60</v>
      </c>
    </row>
    <row r="111" spans="1:5" x14ac:dyDescent="0.25">
      <c r="A111" s="15">
        <v>109</v>
      </c>
      <c r="B111">
        <v>-1</v>
      </c>
    </row>
    <row r="112" spans="1:5" x14ac:dyDescent="0.25">
      <c r="A112" s="15">
        <v>110</v>
      </c>
      <c r="E112">
        <v>62</v>
      </c>
    </row>
    <row r="113" spans="1:5" x14ac:dyDescent="0.25">
      <c r="A113" s="15">
        <v>111</v>
      </c>
      <c r="C113">
        <v>35</v>
      </c>
    </row>
    <row r="114" spans="1:5" x14ac:dyDescent="0.25">
      <c r="A114" s="15">
        <v>112</v>
      </c>
      <c r="E114">
        <v>54</v>
      </c>
    </row>
    <row r="115" spans="1:5" x14ac:dyDescent="0.25">
      <c r="A115" s="15">
        <v>113</v>
      </c>
      <c r="B115">
        <v>-1</v>
      </c>
    </row>
    <row r="116" spans="1:5" x14ac:dyDescent="0.25">
      <c r="A116" s="15">
        <v>114</v>
      </c>
      <c r="E116">
        <v>70</v>
      </c>
    </row>
    <row r="117" spans="1:5" x14ac:dyDescent="0.25">
      <c r="A117" s="15">
        <v>115</v>
      </c>
      <c r="C117">
        <v>23</v>
      </c>
    </row>
    <row r="118" spans="1:5" x14ac:dyDescent="0.25">
      <c r="A118" s="15">
        <v>116</v>
      </c>
      <c r="E118">
        <v>54</v>
      </c>
    </row>
    <row r="119" spans="1:5" x14ac:dyDescent="0.25">
      <c r="A119" s="15">
        <v>117</v>
      </c>
      <c r="E119">
        <v>39</v>
      </c>
    </row>
    <row r="120" spans="1:5" x14ac:dyDescent="0.25">
      <c r="A120" s="15">
        <v>118</v>
      </c>
      <c r="C120">
        <v>56</v>
      </c>
    </row>
    <row r="121" spans="1:5" x14ac:dyDescent="0.25">
      <c r="A121" s="15">
        <v>119</v>
      </c>
      <c r="C121">
        <v>19</v>
      </c>
    </row>
    <row r="122" spans="1:5" x14ac:dyDescent="0.25">
      <c r="A122" s="15">
        <v>120</v>
      </c>
      <c r="E122">
        <v>72</v>
      </c>
    </row>
    <row r="123" spans="1:5" x14ac:dyDescent="0.25">
      <c r="A123" s="15">
        <v>121</v>
      </c>
      <c r="D123">
        <v>8</v>
      </c>
    </row>
    <row r="124" spans="1:5" x14ac:dyDescent="0.25">
      <c r="A124" s="15">
        <v>122</v>
      </c>
      <c r="C124">
        <v>58</v>
      </c>
    </row>
    <row r="125" spans="1:5" x14ac:dyDescent="0.25">
      <c r="A125" s="15">
        <v>123</v>
      </c>
      <c r="C125">
        <v>39</v>
      </c>
    </row>
    <row r="126" spans="1:5" x14ac:dyDescent="0.25">
      <c r="A126" s="15">
        <v>124</v>
      </c>
      <c r="E126">
        <v>58</v>
      </c>
    </row>
    <row r="127" spans="1:5" x14ac:dyDescent="0.25">
      <c r="A127" s="15">
        <v>125</v>
      </c>
      <c r="E127">
        <v>21</v>
      </c>
    </row>
    <row r="128" spans="1:5" x14ac:dyDescent="0.25">
      <c r="A128" s="15">
        <v>126</v>
      </c>
      <c r="E128">
        <v>78</v>
      </c>
    </row>
    <row r="129" spans="1:5" x14ac:dyDescent="0.25">
      <c r="A129" s="15">
        <v>127</v>
      </c>
      <c r="B129">
        <v>-1</v>
      </c>
    </row>
    <row r="130" spans="1:5" x14ac:dyDescent="0.25">
      <c r="A130" s="15">
        <v>128</v>
      </c>
      <c r="E130">
        <v>56</v>
      </c>
    </row>
    <row r="131" spans="1:5" x14ac:dyDescent="0.25">
      <c r="A131" s="15">
        <v>129</v>
      </c>
      <c r="C131">
        <v>41</v>
      </c>
    </row>
    <row r="132" spans="1:5" x14ac:dyDescent="0.25">
      <c r="A132" s="15">
        <v>130</v>
      </c>
      <c r="E132">
        <v>74</v>
      </c>
    </row>
    <row r="133" spans="1:5" x14ac:dyDescent="0.25">
      <c r="A133" s="15">
        <v>131</v>
      </c>
      <c r="B133">
        <v>-1</v>
      </c>
    </row>
    <row r="134" spans="1:5" x14ac:dyDescent="0.25">
      <c r="A134" s="15">
        <v>132</v>
      </c>
      <c r="E134">
        <v>80</v>
      </c>
    </row>
    <row r="135" spans="1:5" x14ac:dyDescent="0.25">
      <c r="A135" s="15">
        <v>133</v>
      </c>
      <c r="C135">
        <v>21</v>
      </c>
    </row>
    <row r="136" spans="1:5" x14ac:dyDescent="0.25">
      <c r="A136" s="15">
        <v>134</v>
      </c>
      <c r="C136">
        <v>64</v>
      </c>
    </row>
    <row r="137" spans="1:5" x14ac:dyDescent="0.25">
      <c r="A137" s="15">
        <v>135</v>
      </c>
      <c r="E137">
        <v>55</v>
      </c>
    </row>
    <row r="138" spans="1:5" x14ac:dyDescent="0.25">
      <c r="A138" s="15">
        <v>136</v>
      </c>
      <c r="E138">
        <v>64</v>
      </c>
    </row>
    <row r="139" spans="1:5" x14ac:dyDescent="0.25">
      <c r="A139" s="15">
        <v>137</v>
      </c>
      <c r="B139">
        <v>-1</v>
      </c>
    </row>
    <row r="140" spans="1:5" x14ac:dyDescent="0.25">
      <c r="A140" s="15">
        <v>138</v>
      </c>
      <c r="E140">
        <v>86</v>
      </c>
    </row>
    <row r="141" spans="1:5" x14ac:dyDescent="0.25">
      <c r="A141" s="15">
        <v>139</v>
      </c>
      <c r="B141">
        <v>-1</v>
      </c>
    </row>
    <row r="142" spans="1:5" x14ac:dyDescent="0.25">
      <c r="A142" s="15">
        <v>140</v>
      </c>
      <c r="E142">
        <v>80</v>
      </c>
    </row>
    <row r="143" spans="1:5" x14ac:dyDescent="0.25">
      <c r="A143" s="15">
        <v>141</v>
      </c>
      <c r="C143">
        <v>45</v>
      </c>
    </row>
    <row r="144" spans="1:5" x14ac:dyDescent="0.25">
      <c r="A144" s="15">
        <v>142</v>
      </c>
      <c r="C144">
        <v>68</v>
      </c>
    </row>
    <row r="145" spans="1:5" x14ac:dyDescent="0.25">
      <c r="A145" s="15">
        <v>143</v>
      </c>
      <c r="C145">
        <v>19</v>
      </c>
    </row>
    <row r="146" spans="1:5" x14ac:dyDescent="0.25">
      <c r="A146" s="15">
        <v>144</v>
      </c>
      <c r="E146">
        <v>81</v>
      </c>
    </row>
    <row r="147" spans="1:5" x14ac:dyDescent="0.25">
      <c r="A147" s="15">
        <v>145</v>
      </c>
      <c r="C147">
        <v>29</v>
      </c>
    </row>
    <row r="148" spans="1:5" x14ac:dyDescent="0.25">
      <c r="A148" s="15">
        <v>146</v>
      </c>
      <c r="C148">
        <v>70</v>
      </c>
    </row>
    <row r="149" spans="1:5" x14ac:dyDescent="0.25">
      <c r="A149" s="15">
        <v>147</v>
      </c>
      <c r="E149">
        <v>57</v>
      </c>
    </row>
    <row r="150" spans="1:5" x14ac:dyDescent="0.25">
      <c r="A150" s="15">
        <v>148</v>
      </c>
      <c r="E150">
        <v>70</v>
      </c>
    </row>
    <row r="151" spans="1:5" x14ac:dyDescent="0.25">
      <c r="A151" s="15">
        <v>149</v>
      </c>
      <c r="B151">
        <v>-1</v>
      </c>
    </row>
    <row r="152" spans="1:5" x14ac:dyDescent="0.25">
      <c r="A152" s="15">
        <v>150</v>
      </c>
      <c r="E152">
        <v>98</v>
      </c>
    </row>
    <row r="153" spans="1:5" x14ac:dyDescent="0.25">
      <c r="A153" s="15">
        <v>151</v>
      </c>
      <c r="B153">
        <v>-1</v>
      </c>
    </row>
    <row r="154" spans="1:5" x14ac:dyDescent="0.25">
      <c r="A154" s="15">
        <v>152</v>
      </c>
      <c r="E154">
        <v>72</v>
      </c>
    </row>
    <row r="155" spans="1:5" x14ac:dyDescent="0.25">
      <c r="A155" s="15">
        <v>153</v>
      </c>
      <c r="E155">
        <v>51</v>
      </c>
    </row>
    <row r="156" spans="1:5" x14ac:dyDescent="0.25">
      <c r="A156" s="15">
        <v>154</v>
      </c>
      <c r="E156">
        <v>86</v>
      </c>
    </row>
    <row r="157" spans="1:5" x14ac:dyDescent="0.25">
      <c r="A157" s="15">
        <v>155</v>
      </c>
      <c r="C157">
        <v>31</v>
      </c>
    </row>
    <row r="158" spans="1:5" x14ac:dyDescent="0.25">
      <c r="A158" s="15">
        <v>156</v>
      </c>
      <c r="E158">
        <v>96</v>
      </c>
    </row>
    <row r="159" spans="1:5" x14ac:dyDescent="0.25">
      <c r="A159" s="15">
        <v>157</v>
      </c>
      <c r="B159">
        <v>-1</v>
      </c>
    </row>
    <row r="160" spans="1:5" x14ac:dyDescent="0.25">
      <c r="A160" s="15">
        <v>158</v>
      </c>
      <c r="C160">
        <v>76</v>
      </c>
    </row>
    <row r="161" spans="1:5" x14ac:dyDescent="0.25">
      <c r="A161" s="15">
        <v>159</v>
      </c>
      <c r="C161">
        <v>51</v>
      </c>
    </row>
    <row r="162" spans="1:5" x14ac:dyDescent="0.25">
      <c r="A162" s="15">
        <v>160</v>
      </c>
      <c r="E162">
        <v>84</v>
      </c>
    </row>
    <row r="163" spans="1:5" x14ac:dyDescent="0.25">
      <c r="A163" s="15">
        <v>161</v>
      </c>
      <c r="C163">
        <v>25</v>
      </c>
    </row>
    <row r="164" spans="1:5" x14ac:dyDescent="0.25">
      <c r="A164" s="15">
        <v>162</v>
      </c>
      <c r="E164">
        <v>98</v>
      </c>
    </row>
    <row r="165" spans="1:5" x14ac:dyDescent="0.25">
      <c r="A165" s="15">
        <v>163</v>
      </c>
      <c r="B165">
        <v>-1</v>
      </c>
    </row>
    <row r="166" spans="1:5" x14ac:dyDescent="0.25">
      <c r="A166" s="15">
        <v>164</v>
      </c>
      <c r="E166">
        <v>78</v>
      </c>
    </row>
    <row r="167" spans="1:5" x14ac:dyDescent="0.25">
      <c r="A167" s="15">
        <v>165</v>
      </c>
      <c r="E167">
        <v>77</v>
      </c>
    </row>
    <row r="168" spans="1:5" x14ac:dyDescent="0.25">
      <c r="A168" s="15">
        <v>166</v>
      </c>
      <c r="C168">
        <v>80</v>
      </c>
    </row>
    <row r="169" spans="1:5" x14ac:dyDescent="0.25">
      <c r="A169" s="15">
        <v>167</v>
      </c>
      <c r="B169">
        <v>-1</v>
      </c>
    </row>
    <row r="170" spans="1:5" x14ac:dyDescent="0.25">
      <c r="A170" s="15">
        <v>168</v>
      </c>
      <c r="E170">
        <v>104</v>
      </c>
    </row>
    <row r="171" spans="1:5" x14ac:dyDescent="0.25">
      <c r="A171" s="15">
        <v>169</v>
      </c>
      <c r="D171">
        <v>10</v>
      </c>
    </row>
    <row r="172" spans="1:5" x14ac:dyDescent="0.25">
      <c r="A172" s="15">
        <v>170</v>
      </c>
      <c r="E172">
        <v>98</v>
      </c>
    </row>
    <row r="173" spans="1:5" x14ac:dyDescent="0.25">
      <c r="A173" s="15">
        <v>171</v>
      </c>
      <c r="E173">
        <v>57</v>
      </c>
    </row>
    <row r="174" spans="1:5" x14ac:dyDescent="0.25">
      <c r="A174" s="15">
        <v>172</v>
      </c>
      <c r="E174">
        <v>82</v>
      </c>
    </row>
    <row r="175" spans="1:5" x14ac:dyDescent="0.25">
      <c r="A175" s="15">
        <v>173</v>
      </c>
      <c r="B175">
        <v>-1</v>
      </c>
    </row>
    <row r="176" spans="1:5" x14ac:dyDescent="0.25">
      <c r="A176" s="15">
        <v>174</v>
      </c>
      <c r="E176">
        <v>110</v>
      </c>
    </row>
    <row r="177" spans="1:5" x14ac:dyDescent="0.25">
      <c r="A177" s="15">
        <v>175</v>
      </c>
      <c r="E177">
        <v>49</v>
      </c>
    </row>
    <row r="178" spans="1:5" x14ac:dyDescent="0.25">
      <c r="A178" s="15">
        <v>176</v>
      </c>
      <c r="E178">
        <v>86</v>
      </c>
    </row>
    <row r="179" spans="1:5" x14ac:dyDescent="0.25">
      <c r="A179" s="15">
        <v>177</v>
      </c>
      <c r="C179">
        <v>57</v>
      </c>
    </row>
    <row r="180" spans="1:5" x14ac:dyDescent="0.25">
      <c r="A180" s="15">
        <v>178</v>
      </c>
      <c r="C180">
        <v>86</v>
      </c>
    </row>
    <row r="181" spans="1:5" x14ac:dyDescent="0.25">
      <c r="A181" s="15">
        <v>179</v>
      </c>
      <c r="B181">
        <v>-1</v>
      </c>
    </row>
    <row r="182" spans="1:5" x14ac:dyDescent="0.25">
      <c r="A182" s="15">
        <v>180</v>
      </c>
      <c r="E182">
        <v>114</v>
      </c>
    </row>
    <row r="183" spans="1:5" x14ac:dyDescent="0.25">
      <c r="A183" s="15">
        <v>181</v>
      </c>
      <c r="B183">
        <v>-1</v>
      </c>
    </row>
    <row r="184" spans="1:5" x14ac:dyDescent="0.25">
      <c r="A184" s="15">
        <v>182</v>
      </c>
      <c r="E184">
        <v>102</v>
      </c>
    </row>
    <row r="185" spans="1:5" x14ac:dyDescent="0.25">
      <c r="A185" s="15">
        <v>183</v>
      </c>
      <c r="C185">
        <v>59</v>
      </c>
    </row>
    <row r="186" spans="1:5" x14ac:dyDescent="0.25">
      <c r="A186" s="15">
        <v>184</v>
      </c>
      <c r="E186">
        <v>88</v>
      </c>
    </row>
    <row r="187" spans="1:5" x14ac:dyDescent="0.25">
      <c r="A187" s="15">
        <v>185</v>
      </c>
      <c r="C187">
        <v>37</v>
      </c>
    </row>
    <row r="188" spans="1:5" x14ac:dyDescent="0.25">
      <c r="A188" s="15">
        <v>186</v>
      </c>
      <c r="E188">
        <v>118</v>
      </c>
    </row>
    <row r="189" spans="1:5" x14ac:dyDescent="0.25">
      <c r="A189" s="15">
        <v>187</v>
      </c>
      <c r="C189">
        <v>23</v>
      </c>
    </row>
    <row r="190" spans="1:5" x14ac:dyDescent="0.25">
      <c r="A190" s="15">
        <v>188</v>
      </c>
      <c r="E190">
        <v>90</v>
      </c>
    </row>
    <row r="191" spans="1:5" x14ac:dyDescent="0.25">
      <c r="A191" s="15">
        <v>189</v>
      </c>
      <c r="E191">
        <v>73</v>
      </c>
    </row>
    <row r="192" spans="1:5" x14ac:dyDescent="0.25">
      <c r="A192" s="15">
        <v>190</v>
      </c>
      <c r="E192">
        <v>110</v>
      </c>
    </row>
    <row r="193" spans="1:5" x14ac:dyDescent="0.25">
      <c r="A193" s="15">
        <v>191</v>
      </c>
      <c r="B193">
        <v>-1</v>
      </c>
    </row>
    <row r="194" spans="1:5" x14ac:dyDescent="0.25">
      <c r="A194" s="15">
        <v>192</v>
      </c>
      <c r="E194">
        <v>114</v>
      </c>
    </row>
    <row r="195" spans="1:5" x14ac:dyDescent="0.25">
      <c r="A195" s="15">
        <v>193</v>
      </c>
      <c r="B195">
        <v>-1</v>
      </c>
    </row>
    <row r="196" spans="1:5" x14ac:dyDescent="0.25">
      <c r="A196" s="15">
        <v>194</v>
      </c>
      <c r="C196">
        <v>94</v>
      </c>
    </row>
    <row r="197" spans="1:5" x14ac:dyDescent="0.25">
      <c r="A197" s="15">
        <v>195</v>
      </c>
      <c r="E197">
        <v>91</v>
      </c>
    </row>
    <row r="198" spans="1:5" x14ac:dyDescent="0.25">
      <c r="A198" s="15">
        <v>196</v>
      </c>
      <c r="E198">
        <v>103</v>
      </c>
    </row>
    <row r="199" spans="1:5" x14ac:dyDescent="0.25">
      <c r="A199" s="15">
        <v>197</v>
      </c>
      <c r="B199">
        <v>-1</v>
      </c>
    </row>
    <row r="200" spans="1:5" x14ac:dyDescent="0.25">
      <c r="A200" s="15">
        <v>198</v>
      </c>
      <c r="E200">
        <v>126</v>
      </c>
    </row>
    <row r="201" spans="1:5" x14ac:dyDescent="0.25">
      <c r="A201" s="15">
        <v>199</v>
      </c>
      <c r="B201">
        <v>-1</v>
      </c>
    </row>
    <row r="202" spans="1:5" x14ac:dyDescent="0.25">
      <c r="A202" s="15">
        <v>200</v>
      </c>
      <c r="E202">
        <v>108</v>
      </c>
    </row>
    <row r="203" spans="1:5" x14ac:dyDescent="0.25">
      <c r="A203" s="15">
        <v>201</v>
      </c>
      <c r="C203">
        <v>65</v>
      </c>
    </row>
    <row r="204" spans="1:5" x14ac:dyDescent="0.25">
      <c r="A204" s="15">
        <v>202</v>
      </c>
      <c r="C204">
        <v>98</v>
      </c>
    </row>
    <row r="205" spans="1:5" x14ac:dyDescent="0.25">
      <c r="A205" s="15">
        <v>203</v>
      </c>
      <c r="C205">
        <v>31</v>
      </c>
    </row>
    <row r="206" spans="1:5" x14ac:dyDescent="0.25">
      <c r="A206" s="15">
        <v>204</v>
      </c>
      <c r="E206">
        <v>128</v>
      </c>
    </row>
    <row r="207" spans="1:5" x14ac:dyDescent="0.25">
      <c r="A207" s="15">
        <v>205</v>
      </c>
      <c r="C207">
        <v>41</v>
      </c>
    </row>
    <row r="208" spans="1:5" x14ac:dyDescent="0.25">
      <c r="A208" s="15">
        <v>206</v>
      </c>
      <c r="C208">
        <v>100</v>
      </c>
    </row>
    <row r="209" spans="1:5" x14ac:dyDescent="0.25">
      <c r="A209" s="15">
        <v>207</v>
      </c>
      <c r="E209">
        <v>69</v>
      </c>
    </row>
    <row r="210" spans="1:5" x14ac:dyDescent="0.25">
      <c r="A210" s="15">
        <v>208</v>
      </c>
      <c r="E210">
        <v>102</v>
      </c>
    </row>
    <row r="211" spans="1:5" x14ac:dyDescent="0.25">
      <c r="A211" s="15">
        <v>209</v>
      </c>
      <c r="C211">
        <v>25</v>
      </c>
    </row>
    <row r="212" spans="1:5" x14ac:dyDescent="0.25">
      <c r="A212" s="15">
        <v>210</v>
      </c>
      <c r="E212">
        <v>146</v>
      </c>
    </row>
    <row r="213" spans="1:5" x14ac:dyDescent="0.25">
      <c r="A213" s="15">
        <v>211</v>
      </c>
      <c r="B213">
        <v>-1</v>
      </c>
    </row>
    <row r="214" spans="1:5" x14ac:dyDescent="0.25">
      <c r="A214" s="15">
        <v>212</v>
      </c>
      <c r="E214">
        <v>102</v>
      </c>
    </row>
    <row r="215" spans="1:5" x14ac:dyDescent="0.25">
      <c r="A215" s="15">
        <v>213</v>
      </c>
      <c r="C215">
        <v>69</v>
      </c>
    </row>
    <row r="216" spans="1:5" x14ac:dyDescent="0.25">
      <c r="A216" s="15">
        <v>214</v>
      </c>
      <c r="C216">
        <v>104</v>
      </c>
    </row>
    <row r="217" spans="1:5" x14ac:dyDescent="0.25">
      <c r="A217" s="15">
        <v>215</v>
      </c>
      <c r="C217">
        <v>43</v>
      </c>
    </row>
    <row r="218" spans="1:5" x14ac:dyDescent="0.25">
      <c r="A218" s="15">
        <v>216</v>
      </c>
      <c r="E218">
        <v>128</v>
      </c>
    </row>
    <row r="219" spans="1:5" x14ac:dyDescent="0.25">
      <c r="A219" s="15">
        <v>217</v>
      </c>
      <c r="C219">
        <v>33</v>
      </c>
    </row>
    <row r="220" spans="1:5" x14ac:dyDescent="0.25">
      <c r="A220" s="15">
        <v>218</v>
      </c>
      <c r="C220">
        <v>106</v>
      </c>
    </row>
    <row r="221" spans="1:5" x14ac:dyDescent="0.25">
      <c r="A221" s="15">
        <v>219</v>
      </c>
      <c r="C221">
        <v>71</v>
      </c>
    </row>
    <row r="222" spans="1:5" x14ac:dyDescent="0.25">
      <c r="A222" s="15">
        <v>220</v>
      </c>
      <c r="E222">
        <v>128</v>
      </c>
    </row>
    <row r="223" spans="1:5" x14ac:dyDescent="0.25">
      <c r="A223" s="15">
        <v>221</v>
      </c>
      <c r="C223">
        <v>25</v>
      </c>
    </row>
    <row r="224" spans="1:5" x14ac:dyDescent="0.25">
      <c r="A224" s="15">
        <v>222</v>
      </c>
      <c r="E224">
        <v>142</v>
      </c>
    </row>
    <row r="225" spans="1:5" x14ac:dyDescent="0.25">
      <c r="A225" s="15">
        <v>223</v>
      </c>
      <c r="B225">
        <v>-1</v>
      </c>
    </row>
    <row r="226" spans="1:5" x14ac:dyDescent="0.25">
      <c r="A226" s="15">
        <v>224</v>
      </c>
      <c r="E226">
        <v>116</v>
      </c>
    </row>
    <row r="227" spans="1:5" x14ac:dyDescent="0.25">
      <c r="A227" s="15">
        <v>225</v>
      </c>
      <c r="E227">
        <v>96</v>
      </c>
    </row>
    <row r="228" spans="1:5" x14ac:dyDescent="0.25">
      <c r="A228" s="15">
        <v>226</v>
      </c>
      <c r="C228">
        <v>110</v>
      </c>
    </row>
    <row r="229" spans="1:5" x14ac:dyDescent="0.25">
      <c r="A229" s="15">
        <v>227</v>
      </c>
      <c r="B229">
        <v>-1</v>
      </c>
    </row>
    <row r="230" spans="1:5" x14ac:dyDescent="0.25">
      <c r="A230" s="15">
        <v>228</v>
      </c>
      <c r="E230">
        <v>144</v>
      </c>
    </row>
    <row r="231" spans="1:5" x14ac:dyDescent="0.25">
      <c r="A231" s="15">
        <v>229</v>
      </c>
      <c r="B231">
        <v>-1</v>
      </c>
    </row>
    <row r="232" spans="1:5" x14ac:dyDescent="0.25">
      <c r="A232" s="15">
        <v>230</v>
      </c>
      <c r="E232">
        <v>134</v>
      </c>
    </row>
    <row r="233" spans="1:5" x14ac:dyDescent="0.25">
      <c r="A233" s="15">
        <v>231</v>
      </c>
      <c r="E233">
        <v>103</v>
      </c>
    </row>
    <row r="234" spans="1:5" x14ac:dyDescent="0.25">
      <c r="A234" s="15">
        <v>232</v>
      </c>
      <c r="E234">
        <v>112</v>
      </c>
    </row>
    <row r="235" spans="1:5" x14ac:dyDescent="0.25">
      <c r="A235" s="15">
        <v>233</v>
      </c>
      <c r="B235">
        <v>-1</v>
      </c>
    </row>
    <row r="236" spans="1:5" x14ac:dyDescent="0.25">
      <c r="A236" s="15">
        <v>234</v>
      </c>
      <c r="E236">
        <v>150</v>
      </c>
    </row>
    <row r="237" spans="1:5" x14ac:dyDescent="0.25">
      <c r="A237" s="15">
        <v>235</v>
      </c>
      <c r="C237">
        <v>47</v>
      </c>
    </row>
    <row r="238" spans="1:5" x14ac:dyDescent="0.25">
      <c r="A238" s="15">
        <v>236</v>
      </c>
      <c r="E238">
        <v>114</v>
      </c>
    </row>
    <row r="239" spans="1:5" x14ac:dyDescent="0.25">
      <c r="A239" s="15">
        <v>237</v>
      </c>
      <c r="C239">
        <v>77</v>
      </c>
    </row>
    <row r="240" spans="1:5" x14ac:dyDescent="0.25">
      <c r="A240" s="15">
        <v>238</v>
      </c>
      <c r="E240">
        <v>134</v>
      </c>
    </row>
    <row r="241" spans="1:5" x14ac:dyDescent="0.25">
      <c r="A241" s="15">
        <v>239</v>
      </c>
      <c r="B241">
        <v>-1</v>
      </c>
    </row>
    <row r="242" spans="1:5" x14ac:dyDescent="0.25">
      <c r="A242" s="15">
        <v>240</v>
      </c>
      <c r="E242">
        <v>156</v>
      </c>
    </row>
    <row r="243" spans="1:5" x14ac:dyDescent="0.25">
      <c r="A243" s="15">
        <v>241</v>
      </c>
      <c r="B243">
        <v>-1</v>
      </c>
    </row>
    <row r="244" spans="1:5" x14ac:dyDescent="0.25">
      <c r="A244" s="15">
        <v>242</v>
      </c>
      <c r="E244">
        <v>126</v>
      </c>
    </row>
    <row r="245" spans="1:5" x14ac:dyDescent="0.25">
      <c r="A245" s="15">
        <v>243</v>
      </c>
      <c r="E245">
        <v>75</v>
      </c>
    </row>
    <row r="246" spans="1:5" x14ac:dyDescent="0.25">
      <c r="A246" s="15">
        <v>244</v>
      </c>
      <c r="E246">
        <v>118</v>
      </c>
    </row>
    <row r="247" spans="1:5" x14ac:dyDescent="0.25">
      <c r="A247" s="15">
        <v>245</v>
      </c>
      <c r="E247">
        <v>71</v>
      </c>
    </row>
    <row r="248" spans="1:5" x14ac:dyDescent="0.25">
      <c r="A248" s="15">
        <v>246</v>
      </c>
      <c r="E248">
        <v>158</v>
      </c>
    </row>
    <row r="249" spans="1:5" x14ac:dyDescent="0.25">
      <c r="A249" s="15">
        <v>247</v>
      </c>
      <c r="C249">
        <v>27</v>
      </c>
    </row>
    <row r="250" spans="1:5" x14ac:dyDescent="0.25">
      <c r="A250" s="15">
        <v>248</v>
      </c>
      <c r="E250">
        <v>120</v>
      </c>
    </row>
    <row r="251" spans="1:5" x14ac:dyDescent="0.25">
      <c r="A251" s="15">
        <v>249</v>
      </c>
      <c r="C251">
        <v>81</v>
      </c>
    </row>
    <row r="252" spans="1:5" x14ac:dyDescent="0.25">
      <c r="A252" s="15">
        <v>250</v>
      </c>
      <c r="E252">
        <v>142</v>
      </c>
    </row>
    <row r="253" spans="1:5" x14ac:dyDescent="0.25">
      <c r="A253" s="15">
        <v>251</v>
      </c>
      <c r="B253">
        <v>-1</v>
      </c>
    </row>
    <row r="254" spans="1:5" x14ac:dyDescent="0.25">
      <c r="A254" s="15">
        <v>252</v>
      </c>
      <c r="E254">
        <v>162</v>
      </c>
    </row>
    <row r="255" spans="1:5" x14ac:dyDescent="0.25">
      <c r="A255" s="15">
        <v>253</v>
      </c>
      <c r="C255">
        <v>29</v>
      </c>
    </row>
    <row r="256" spans="1:5" x14ac:dyDescent="0.25">
      <c r="A256" s="15">
        <v>254</v>
      </c>
      <c r="C256">
        <v>124</v>
      </c>
    </row>
    <row r="257" spans="1:5" x14ac:dyDescent="0.25">
      <c r="A257" s="15">
        <v>255</v>
      </c>
      <c r="E257">
        <v>119</v>
      </c>
    </row>
    <row r="258" spans="1:5" x14ac:dyDescent="0.25">
      <c r="A258" s="15">
        <v>256</v>
      </c>
      <c r="E258">
        <v>119</v>
      </c>
    </row>
    <row r="259" spans="1:5" x14ac:dyDescent="0.25">
      <c r="A259" s="15">
        <v>257</v>
      </c>
      <c r="B259">
        <v>-1</v>
      </c>
    </row>
    <row r="260" spans="1:5" x14ac:dyDescent="0.25">
      <c r="A260" s="15">
        <v>258</v>
      </c>
      <c r="E260">
        <v>166</v>
      </c>
    </row>
    <row r="261" spans="1:5" x14ac:dyDescent="0.25">
      <c r="A261" s="15">
        <v>259</v>
      </c>
      <c r="C261">
        <v>39</v>
      </c>
    </row>
    <row r="262" spans="1:5" x14ac:dyDescent="0.25">
      <c r="A262" s="15">
        <v>260</v>
      </c>
      <c r="E262">
        <v>152</v>
      </c>
    </row>
    <row r="263" spans="1:5" x14ac:dyDescent="0.25">
      <c r="A263" s="15">
        <v>261</v>
      </c>
      <c r="E263">
        <v>87</v>
      </c>
    </row>
    <row r="264" spans="1:5" x14ac:dyDescent="0.25">
      <c r="A264" s="15">
        <v>262</v>
      </c>
      <c r="C264">
        <v>128</v>
      </c>
    </row>
    <row r="265" spans="1:5" x14ac:dyDescent="0.25">
      <c r="A265" s="15">
        <v>263</v>
      </c>
      <c r="B265">
        <v>-1</v>
      </c>
    </row>
    <row r="266" spans="1:5" x14ac:dyDescent="0.25">
      <c r="A266" s="15">
        <v>264</v>
      </c>
      <c r="E266">
        <v>168</v>
      </c>
    </row>
    <row r="267" spans="1:5" x14ac:dyDescent="0.25">
      <c r="A267" s="15">
        <v>265</v>
      </c>
      <c r="C267">
        <v>53</v>
      </c>
    </row>
    <row r="268" spans="1:5" x14ac:dyDescent="0.25">
      <c r="A268" s="15">
        <v>266</v>
      </c>
      <c r="E268">
        <v>150</v>
      </c>
    </row>
    <row r="269" spans="1:5" x14ac:dyDescent="0.25">
      <c r="A269" s="15">
        <v>267</v>
      </c>
      <c r="C269">
        <v>87</v>
      </c>
    </row>
    <row r="270" spans="1:5" x14ac:dyDescent="0.25">
      <c r="A270" s="15">
        <v>268</v>
      </c>
      <c r="E270">
        <v>130</v>
      </c>
    </row>
    <row r="271" spans="1:5" x14ac:dyDescent="0.25">
      <c r="A271" s="15">
        <v>269</v>
      </c>
      <c r="B271">
        <v>-1</v>
      </c>
    </row>
    <row r="272" spans="1:5" x14ac:dyDescent="0.25">
      <c r="A272" s="15">
        <v>270</v>
      </c>
      <c r="E272">
        <v>182</v>
      </c>
    </row>
    <row r="273" spans="1:5" x14ac:dyDescent="0.25">
      <c r="A273" s="15">
        <v>271</v>
      </c>
      <c r="B273">
        <v>-1</v>
      </c>
    </row>
    <row r="274" spans="1:5" x14ac:dyDescent="0.25">
      <c r="A274" s="15">
        <v>272</v>
      </c>
      <c r="E274">
        <v>134</v>
      </c>
    </row>
    <row r="275" spans="1:5" x14ac:dyDescent="0.25">
      <c r="A275" s="15">
        <v>273</v>
      </c>
      <c r="E275">
        <v>121</v>
      </c>
    </row>
    <row r="276" spans="1:5" x14ac:dyDescent="0.25">
      <c r="A276" s="15">
        <v>274</v>
      </c>
      <c r="C276">
        <v>134</v>
      </c>
    </row>
    <row r="277" spans="1:5" x14ac:dyDescent="0.25">
      <c r="A277" s="15">
        <v>275</v>
      </c>
      <c r="E277">
        <v>69</v>
      </c>
    </row>
    <row r="278" spans="1:5" x14ac:dyDescent="0.25">
      <c r="A278" s="15">
        <v>276</v>
      </c>
      <c r="E278">
        <v>176</v>
      </c>
    </row>
    <row r="279" spans="1:5" x14ac:dyDescent="0.25">
      <c r="A279" s="15">
        <v>277</v>
      </c>
      <c r="B279">
        <v>-1</v>
      </c>
    </row>
    <row r="280" spans="1:5" x14ac:dyDescent="0.25">
      <c r="A280" s="15">
        <v>278</v>
      </c>
      <c r="C280">
        <v>136</v>
      </c>
    </row>
    <row r="281" spans="1:5" x14ac:dyDescent="0.25">
      <c r="A281" s="15">
        <v>279</v>
      </c>
      <c r="E281">
        <v>93</v>
      </c>
    </row>
    <row r="282" spans="1:5" x14ac:dyDescent="0.25">
      <c r="A282" s="15">
        <v>280</v>
      </c>
      <c r="E282">
        <v>168</v>
      </c>
    </row>
    <row r="283" spans="1:5" x14ac:dyDescent="0.25">
      <c r="A283" s="15">
        <v>281</v>
      </c>
      <c r="B283">
        <v>-1</v>
      </c>
    </row>
    <row r="284" spans="1:5" x14ac:dyDescent="0.25">
      <c r="A284" s="15">
        <v>282</v>
      </c>
      <c r="E284">
        <v>182</v>
      </c>
    </row>
    <row r="285" spans="1:5" x14ac:dyDescent="0.25">
      <c r="A285" s="15">
        <v>283</v>
      </c>
      <c r="B285">
        <v>-1</v>
      </c>
    </row>
    <row r="286" spans="1:5" x14ac:dyDescent="0.25">
      <c r="A286" s="15">
        <v>284</v>
      </c>
      <c r="E286">
        <v>138</v>
      </c>
    </row>
    <row r="287" spans="1:5" x14ac:dyDescent="0.25">
      <c r="A287" s="15">
        <v>285</v>
      </c>
      <c r="E287">
        <v>133</v>
      </c>
    </row>
    <row r="288" spans="1:5" x14ac:dyDescent="0.25">
      <c r="A288" s="15">
        <v>286</v>
      </c>
      <c r="E288">
        <v>158</v>
      </c>
    </row>
    <row r="289" spans="1:5" x14ac:dyDescent="0.25">
      <c r="A289" s="15">
        <v>287</v>
      </c>
      <c r="C289">
        <v>43</v>
      </c>
    </row>
    <row r="290" spans="1:5" x14ac:dyDescent="0.25">
      <c r="A290" s="15">
        <v>288</v>
      </c>
      <c r="E290">
        <v>174</v>
      </c>
    </row>
    <row r="291" spans="1:5" x14ac:dyDescent="0.25">
      <c r="A291" s="15">
        <v>289</v>
      </c>
      <c r="D291">
        <v>14</v>
      </c>
    </row>
    <row r="292" spans="1:5" x14ac:dyDescent="0.25">
      <c r="A292" s="15">
        <v>290</v>
      </c>
      <c r="E292">
        <v>170</v>
      </c>
    </row>
    <row r="293" spans="1:5" x14ac:dyDescent="0.25">
      <c r="A293" s="15">
        <v>291</v>
      </c>
      <c r="C293">
        <v>95</v>
      </c>
    </row>
    <row r="294" spans="1:5" x14ac:dyDescent="0.25">
      <c r="A294" s="15">
        <v>292</v>
      </c>
      <c r="E294">
        <v>142</v>
      </c>
    </row>
    <row r="295" spans="1:5" x14ac:dyDescent="0.25">
      <c r="A295" s="15">
        <v>293</v>
      </c>
      <c r="B295">
        <v>-1</v>
      </c>
    </row>
    <row r="296" spans="1:5" x14ac:dyDescent="0.25">
      <c r="A296" s="15">
        <v>294</v>
      </c>
      <c r="E296">
        <v>198</v>
      </c>
    </row>
    <row r="297" spans="1:5" x14ac:dyDescent="0.25">
      <c r="A297" s="15">
        <v>295</v>
      </c>
      <c r="C297">
        <v>59</v>
      </c>
    </row>
    <row r="298" spans="1:5" x14ac:dyDescent="0.25">
      <c r="A298" s="15">
        <v>296</v>
      </c>
      <c r="E298">
        <v>144</v>
      </c>
    </row>
    <row r="299" spans="1:5" x14ac:dyDescent="0.25">
      <c r="A299" s="15">
        <v>297</v>
      </c>
      <c r="E299">
        <v>109</v>
      </c>
    </row>
    <row r="300" spans="1:5" x14ac:dyDescent="0.25">
      <c r="A300" s="15">
        <v>298</v>
      </c>
      <c r="C300">
        <v>146</v>
      </c>
    </row>
    <row r="301" spans="1:5" x14ac:dyDescent="0.25">
      <c r="A301" s="15">
        <v>299</v>
      </c>
      <c r="C301">
        <v>31</v>
      </c>
    </row>
    <row r="302" spans="1:5" x14ac:dyDescent="0.25">
      <c r="A302" s="15">
        <v>300</v>
      </c>
      <c r="E302">
        <v>202</v>
      </c>
    </row>
    <row r="303" spans="1:5" x14ac:dyDescent="0.25">
      <c r="A303" s="15">
        <v>301</v>
      </c>
      <c r="C303">
        <v>45</v>
      </c>
    </row>
    <row r="304" spans="1:5" x14ac:dyDescent="0.25">
      <c r="A304" s="15">
        <v>302</v>
      </c>
      <c r="C304">
        <v>148</v>
      </c>
    </row>
    <row r="305" spans="1:5" x14ac:dyDescent="0.25">
      <c r="A305" s="15">
        <v>303</v>
      </c>
      <c r="C305">
        <v>99</v>
      </c>
    </row>
    <row r="306" spans="1:5" x14ac:dyDescent="0.25">
      <c r="A306" s="15">
        <v>304</v>
      </c>
      <c r="E306">
        <v>150</v>
      </c>
    </row>
    <row r="307" spans="1:5" x14ac:dyDescent="0.25">
      <c r="A307" s="15">
        <v>305</v>
      </c>
      <c r="C307">
        <v>61</v>
      </c>
    </row>
    <row r="308" spans="1:5" x14ac:dyDescent="0.25">
      <c r="A308" s="15">
        <v>306</v>
      </c>
      <c r="E308">
        <v>198</v>
      </c>
    </row>
    <row r="309" spans="1:5" x14ac:dyDescent="0.25">
      <c r="A309" s="15">
        <v>307</v>
      </c>
      <c r="B309">
        <v>-1</v>
      </c>
    </row>
    <row r="310" spans="1:5" x14ac:dyDescent="0.25">
      <c r="A310" s="15">
        <v>308</v>
      </c>
      <c r="E310">
        <v>176</v>
      </c>
    </row>
    <row r="311" spans="1:5" x14ac:dyDescent="0.25">
      <c r="A311" s="15">
        <v>309</v>
      </c>
      <c r="C311">
        <v>101</v>
      </c>
    </row>
    <row r="312" spans="1:5" x14ac:dyDescent="0.25">
      <c r="A312" s="15">
        <v>310</v>
      </c>
      <c r="E312">
        <v>182</v>
      </c>
    </row>
    <row r="313" spans="1:5" x14ac:dyDescent="0.25">
      <c r="A313" s="15">
        <v>311</v>
      </c>
      <c r="B313">
        <v>-1</v>
      </c>
    </row>
    <row r="314" spans="1:5" x14ac:dyDescent="0.25">
      <c r="A314" s="15">
        <v>312</v>
      </c>
      <c r="E314">
        <v>200</v>
      </c>
    </row>
    <row r="315" spans="1:5" x14ac:dyDescent="0.25">
      <c r="A315" s="15">
        <v>313</v>
      </c>
      <c r="B315">
        <v>-1</v>
      </c>
    </row>
    <row r="316" spans="1:5" x14ac:dyDescent="0.25">
      <c r="A316" s="15">
        <v>314</v>
      </c>
      <c r="C316">
        <v>154</v>
      </c>
    </row>
    <row r="317" spans="1:5" x14ac:dyDescent="0.25">
      <c r="A317" s="15">
        <v>315</v>
      </c>
      <c r="E317">
        <v>159</v>
      </c>
    </row>
    <row r="318" spans="1:5" x14ac:dyDescent="0.25">
      <c r="A318" s="15">
        <v>316</v>
      </c>
      <c r="E318">
        <v>154</v>
      </c>
    </row>
    <row r="319" spans="1:5" x14ac:dyDescent="0.25">
      <c r="A319" s="15">
        <v>317</v>
      </c>
      <c r="B319">
        <v>-1</v>
      </c>
    </row>
    <row r="320" spans="1:5" x14ac:dyDescent="0.25">
      <c r="A320" s="15">
        <v>318</v>
      </c>
      <c r="E320">
        <v>206</v>
      </c>
    </row>
    <row r="321" spans="1:5" x14ac:dyDescent="0.25">
      <c r="A321" s="15">
        <v>319</v>
      </c>
      <c r="C321">
        <v>35</v>
      </c>
    </row>
    <row r="322" spans="1:5" x14ac:dyDescent="0.25">
      <c r="A322" s="15">
        <v>320</v>
      </c>
      <c r="E322">
        <v>178</v>
      </c>
    </row>
    <row r="323" spans="1:5" x14ac:dyDescent="0.25">
      <c r="A323" s="15">
        <v>321</v>
      </c>
      <c r="C323">
        <v>105</v>
      </c>
    </row>
    <row r="324" spans="1:5" x14ac:dyDescent="0.25">
      <c r="A324" s="15">
        <v>322</v>
      </c>
      <c r="E324">
        <v>182</v>
      </c>
    </row>
    <row r="325" spans="1:5" x14ac:dyDescent="0.25">
      <c r="A325" s="15">
        <v>323</v>
      </c>
      <c r="C325">
        <v>31</v>
      </c>
    </row>
    <row r="326" spans="1:5" x14ac:dyDescent="0.25">
      <c r="A326" s="15">
        <v>324</v>
      </c>
      <c r="E326">
        <v>201</v>
      </c>
    </row>
    <row r="327" spans="1:5" x14ac:dyDescent="0.25">
      <c r="A327" s="15">
        <v>325</v>
      </c>
      <c r="E327">
        <v>79</v>
      </c>
    </row>
    <row r="328" spans="1:5" x14ac:dyDescent="0.25">
      <c r="A328" s="15">
        <v>326</v>
      </c>
      <c r="C328">
        <v>160</v>
      </c>
    </row>
    <row r="329" spans="1:5" x14ac:dyDescent="0.25">
      <c r="A329" s="15">
        <v>327</v>
      </c>
      <c r="C329">
        <v>107</v>
      </c>
    </row>
    <row r="330" spans="1:5" x14ac:dyDescent="0.25">
      <c r="A330" s="15">
        <v>328</v>
      </c>
      <c r="E330">
        <v>160</v>
      </c>
    </row>
    <row r="331" spans="1:5" x14ac:dyDescent="0.25">
      <c r="A331" s="15">
        <v>329</v>
      </c>
      <c r="C331">
        <v>49</v>
      </c>
    </row>
    <row r="332" spans="1:5" x14ac:dyDescent="0.25">
      <c r="A332" s="15">
        <v>330</v>
      </c>
      <c r="E332">
        <v>234</v>
      </c>
    </row>
    <row r="333" spans="1:5" x14ac:dyDescent="0.25">
      <c r="A333" s="15">
        <v>331</v>
      </c>
      <c r="B333">
        <v>-1</v>
      </c>
    </row>
    <row r="334" spans="1:5" x14ac:dyDescent="0.25">
      <c r="A334" s="15">
        <v>332</v>
      </c>
      <c r="E334">
        <v>162</v>
      </c>
    </row>
    <row r="335" spans="1:5" x14ac:dyDescent="0.25">
      <c r="A335" s="15">
        <v>333</v>
      </c>
      <c r="E335">
        <v>111</v>
      </c>
    </row>
    <row r="336" spans="1:5" x14ac:dyDescent="0.25">
      <c r="A336" s="15">
        <v>334</v>
      </c>
      <c r="C336">
        <v>164</v>
      </c>
    </row>
    <row r="337" spans="1:5" x14ac:dyDescent="0.25">
      <c r="A337" s="15">
        <v>335</v>
      </c>
      <c r="C337">
        <v>67</v>
      </c>
    </row>
    <row r="338" spans="1:5" x14ac:dyDescent="0.25">
      <c r="A338" s="15">
        <v>336</v>
      </c>
      <c r="E338">
        <v>220</v>
      </c>
    </row>
    <row r="339" spans="1:5" x14ac:dyDescent="0.25">
      <c r="A339" s="15">
        <v>337</v>
      </c>
      <c r="B339">
        <v>-1</v>
      </c>
    </row>
    <row r="340" spans="1:5" x14ac:dyDescent="0.25">
      <c r="A340" s="15">
        <v>338</v>
      </c>
      <c r="E340">
        <v>176</v>
      </c>
    </row>
    <row r="341" spans="1:5" x14ac:dyDescent="0.25">
      <c r="A341" s="15">
        <v>339</v>
      </c>
      <c r="C341">
        <v>111</v>
      </c>
    </row>
    <row r="342" spans="1:5" x14ac:dyDescent="0.25">
      <c r="A342" s="15">
        <v>340</v>
      </c>
      <c r="E342">
        <v>200</v>
      </c>
    </row>
    <row r="343" spans="1:5" x14ac:dyDescent="0.25">
      <c r="A343" s="15">
        <v>341</v>
      </c>
      <c r="C343">
        <v>37</v>
      </c>
    </row>
    <row r="344" spans="1:5" x14ac:dyDescent="0.25">
      <c r="A344" s="15">
        <v>342</v>
      </c>
      <c r="E344">
        <v>222</v>
      </c>
    </row>
    <row r="345" spans="1:5" x14ac:dyDescent="0.25">
      <c r="A345" s="15">
        <v>343</v>
      </c>
      <c r="E345">
        <v>45</v>
      </c>
    </row>
    <row r="346" spans="1:5" x14ac:dyDescent="0.25">
      <c r="A346" s="15">
        <v>344</v>
      </c>
      <c r="E346">
        <v>168</v>
      </c>
    </row>
    <row r="347" spans="1:5" x14ac:dyDescent="0.25">
      <c r="A347" s="15">
        <v>345</v>
      </c>
      <c r="E347">
        <v>161</v>
      </c>
    </row>
    <row r="348" spans="1:5" x14ac:dyDescent="0.25">
      <c r="A348" s="15">
        <v>346</v>
      </c>
      <c r="C348">
        <v>170</v>
      </c>
    </row>
    <row r="349" spans="1:5" x14ac:dyDescent="0.25">
      <c r="A349" s="15">
        <v>347</v>
      </c>
      <c r="B349">
        <v>-1</v>
      </c>
    </row>
    <row r="350" spans="1:5" x14ac:dyDescent="0.25">
      <c r="A350" s="15">
        <v>348</v>
      </c>
      <c r="E350">
        <v>224</v>
      </c>
    </row>
    <row r="351" spans="1:5" x14ac:dyDescent="0.25">
      <c r="A351" s="15">
        <v>349</v>
      </c>
      <c r="B351">
        <v>-1</v>
      </c>
    </row>
    <row r="352" spans="1:5" x14ac:dyDescent="0.25">
      <c r="A352" s="15">
        <v>350</v>
      </c>
      <c r="E352">
        <v>218</v>
      </c>
    </row>
    <row r="353" spans="1:5" x14ac:dyDescent="0.25">
      <c r="A353" s="15">
        <v>351</v>
      </c>
      <c r="E353">
        <v>127</v>
      </c>
    </row>
    <row r="354" spans="1:5" x14ac:dyDescent="0.25">
      <c r="A354" s="15">
        <v>352</v>
      </c>
      <c r="E354">
        <v>180</v>
      </c>
    </row>
    <row r="355" spans="1:5" x14ac:dyDescent="0.25">
      <c r="A355" s="15">
        <v>353</v>
      </c>
      <c r="B355">
        <v>-1</v>
      </c>
    </row>
    <row r="356" spans="1:5" x14ac:dyDescent="0.25">
      <c r="A356" s="15">
        <v>354</v>
      </c>
      <c r="E356">
        <v>230</v>
      </c>
    </row>
    <row r="357" spans="1:5" x14ac:dyDescent="0.25">
      <c r="A357" s="15">
        <v>355</v>
      </c>
      <c r="C357">
        <v>71</v>
      </c>
    </row>
    <row r="358" spans="1:5" x14ac:dyDescent="0.25">
      <c r="A358" s="15">
        <v>356</v>
      </c>
      <c r="E358">
        <v>174</v>
      </c>
    </row>
    <row r="359" spans="1:5" x14ac:dyDescent="0.25">
      <c r="A359" s="15">
        <v>357</v>
      </c>
      <c r="E359">
        <v>157</v>
      </c>
    </row>
    <row r="360" spans="1:5" x14ac:dyDescent="0.25">
      <c r="A360" s="15">
        <v>358</v>
      </c>
      <c r="C360">
        <v>176</v>
      </c>
    </row>
    <row r="361" spans="1:5" x14ac:dyDescent="0.25">
      <c r="A361" s="15">
        <v>359</v>
      </c>
      <c r="B361">
        <v>-1</v>
      </c>
    </row>
    <row r="362" spans="1:5" x14ac:dyDescent="0.25">
      <c r="A362" s="15">
        <v>360</v>
      </c>
      <c r="E362">
        <v>240</v>
      </c>
    </row>
    <row r="363" spans="1:5" x14ac:dyDescent="0.25">
      <c r="A363" s="15">
        <v>361</v>
      </c>
      <c r="D363">
        <v>16</v>
      </c>
    </row>
    <row r="364" spans="1:5" x14ac:dyDescent="0.25">
      <c r="A364" s="15">
        <v>362</v>
      </c>
      <c r="C364">
        <v>178</v>
      </c>
    </row>
    <row r="365" spans="1:5" x14ac:dyDescent="0.25">
      <c r="A365" s="15">
        <v>363</v>
      </c>
      <c r="E365">
        <v>137</v>
      </c>
    </row>
    <row r="366" spans="1:5" x14ac:dyDescent="0.25">
      <c r="A366" s="15">
        <v>364</v>
      </c>
      <c r="E366">
        <v>208</v>
      </c>
    </row>
    <row r="367" spans="1:5" x14ac:dyDescent="0.25">
      <c r="A367" s="15">
        <v>365</v>
      </c>
      <c r="C367">
        <v>73</v>
      </c>
    </row>
    <row r="368" spans="1:5" x14ac:dyDescent="0.25">
      <c r="A368" s="15">
        <v>366</v>
      </c>
      <c r="E368">
        <v>238</v>
      </c>
    </row>
    <row r="369" spans="1:5" x14ac:dyDescent="0.25">
      <c r="A369" s="15">
        <v>367</v>
      </c>
      <c r="B369">
        <v>-1</v>
      </c>
    </row>
    <row r="370" spans="1:5" x14ac:dyDescent="0.25">
      <c r="A370" s="15">
        <v>368</v>
      </c>
      <c r="E370">
        <v>182</v>
      </c>
    </row>
    <row r="371" spans="1:5" x14ac:dyDescent="0.25">
      <c r="A371" s="15">
        <v>369</v>
      </c>
      <c r="E371">
        <v>123</v>
      </c>
    </row>
    <row r="372" spans="1:5" x14ac:dyDescent="0.25">
      <c r="A372" s="15">
        <v>370</v>
      </c>
      <c r="E372">
        <v>218</v>
      </c>
    </row>
    <row r="373" spans="1:5" x14ac:dyDescent="0.25">
      <c r="A373" s="15">
        <v>371</v>
      </c>
      <c r="C373">
        <v>55</v>
      </c>
    </row>
    <row r="374" spans="1:5" x14ac:dyDescent="0.25">
      <c r="A374" s="15">
        <v>372</v>
      </c>
      <c r="E374">
        <v>240</v>
      </c>
    </row>
    <row r="375" spans="1:5" x14ac:dyDescent="0.25">
      <c r="A375" s="15">
        <v>373</v>
      </c>
      <c r="B375">
        <v>-1</v>
      </c>
    </row>
    <row r="376" spans="1:5" x14ac:dyDescent="0.25">
      <c r="A376" s="15">
        <v>374</v>
      </c>
      <c r="E376">
        <v>206</v>
      </c>
    </row>
    <row r="377" spans="1:5" x14ac:dyDescent="0.25">
      <c r="A377" s="15">
        <v>375</v>
      </c>
      <c r="E377">
        <v>167</v>
      </c>
    </row>
    <row r="378" spans="1:5" x14ac:dyDescent="0.25">
      <c r="A378" s="15">
        <v>376</v>
      </c>
      <c r="E378">
        <v>184</v>
      </c>
    </row>
    <row r="379" spans="1:5" x14ac:dyDescent="0.25">
      <c r="A379" s="15">
        <v>377</v>
      </c>
      <c r="C379">
        <v>37</v>
      </c>
    </row>
    <row r="380" spans="1:5" x14ac:dyDescent="0.25">
      <c r="A380" s="15">
        <v>378</v>
      </c>
      <c r="E380">
        <v>254</v>
      </c>
    </row>
    <row r="381" spans="1:5" x14ac:dyDescent="0.25">
      <c r="A381" s="15">
        <v>379</v>
      </c>
      <c r="B381">
        <v>-1</v>
      </c>
    </row>
    <row r="382" spans="1:5" x14ac:dyDescent="0.25">
      <c r="A382" s="15">
        <v>380</v>
      </c>
      <c r="E382">
        <v>224</v>
      </c>
    </row>
    <row r="383" spans="1:5" x14ac:dyDescent="0.25">
      <c r="A383" s="15">
        <v>381</v>
      </c>
      <c r="C383">
        <v>125</v>
      </c>
    </row>
    <row r="384" spans="1:5" x14ac:dyDescent="0.25">
      <c r="A384" s="15">
        <v>382</v>
      </c>
      <c r="C384">
        <v>188</v>
      </c>
    </row>
    <row r="385" spans="1:5" x14ac:dyDescent="0.25">
      <c r="A385" s="15">
        <v>383</v>
      </c>
      <c r="B385">
        <v>-1</v>
      </c>
    </row>
    <row r="386" spans="1:5" x14ac:dyDescent="0.25">
      <c r="A386" s="15">
        <v>384</v>
      </c>
      <c r="E386">
        <v>240</v>
      </c>
    </row>
    <row r="387" spans="1:5" x14ac:dyDescent="0.25">
      <c r="A387" s="15">
        <v>385</v>
      </c>
      <c r="E387">
        <v>137</v>
      </c>
    </row>
    <row r="388" spans="1:5" x14ac:dyDescent="0.25">
      <c r="A388" s="15">
        <v>386</v>
      </c>
      <c r="C388">
        <v>190</v>
      </c>
    </row>
    <row r="389" spans="1:5" x14ac:dyDescent="0.25">
      <c r="A389" s="15">
        <v>387</v>
      </c>
      <c r="E389">
        <v>129</v>
      </c>
    </row>
    <row r="390" spans="1:5" x14ac:dyDescent="0.25">
      <c r="A390" s="15">
        <v>388</v>
      </c>
      <c r="E390">
        <v>190</v>
      </c>
    </row>
    <row r="391" spans="1:5" x14ac:dyDescent="0.25">
      <c r="A391" s="15">
        <v>389</v>
      </c>
      <c r="B391">
        <v>-1</v>
      </c>
    </row>
    <row r="392" spans="1:5" x14ac:dyDescent="0.25">
      <c r="A392" s="15">
        <v>390</v>
      </c>
      <c r="E392">
        <v>278</v>
      </c>
    </row>
    <row r="393" spans="1:5" x14ac:dyDescent="0.25">
      <c r="A393" s="15">
        <v>391</v>
      </c>
      <c r="C393">
        <v>35</v>
      </c>
    </row>
    <row r="394" spans="1:5" x14ac:dyDescent="0.25">
      <c r="A394" s="15">
        <v>392</v>
      </c>
      <c r="E394">
        <v>212</v>
      </c>
    </row>
    <row r="395" spans="1:5" x14ac:dyDescent="0.25">
      <c r="A395" s="15">
        <v>393</v>
      </c>
      <c r="C395">
        <v>129</v>
      </c>
    </row>
    <row r="396" spans="1:5" x14ac:dyDescent="0.25">
      <c r="A396" s="15">
        <v>394</v>
      </c>
      <c r="C396">
        <v>194</v>
      </c>
    </row>
    <row r="397" spans="1:5" x14ac:dyDescent="0.25">
      <c r="A397" s="15">
        <v>395</v>
      </c>
      <c r="C397">
        <v>79</v>
      </c>
    </row>
    <row r="398" spans="1:5" x14ac:dyDescent="0.25">
      <c r="A398" s="15">
        <v>396</v>
      </c>
      <c r="E398">
        <v>258</v>
      </c>
    </row>
    <row r="399" spans="1:5" x14ac:dyDescent="0.25">
      <c r="A399" s="15">
        <v>397</v>
      </c>
      <c r="B399">
        <v>-1</v>
      </c>
    </row>
    <row r="400" spans="1:5" x14ac:dyDescent="0.25">
      <c r="A400" s="15">
        <v>398</v>
      </c>
      <c r="C400">
        <v>196</v>
      </c>
    </row>
    <row r="401" spans="1:5" x14ac:dyDescent="0.25">
      <c r="A401" s="15">
        <v>399</v>
      </c>
      <c r="E401">
        <v>175</v>
      </c>
    </row>
    <row r="402" spans="1:5" x14ac:dyDescent="0.25">
      <c r="A402" s="15">
        <v>400</v>
      </c>
      <c r="E402">
        <v>225</v>
      </c>
    </row>
    <row r="403" spans="1:5" x14ac:dyDescent="0.25">
      <c r="A403" s="15">
        <v>401</v>
      </c>
      <c r="B403">
        <v>-1</v>
      </c>
    </row>
    <row r="404" spans="1:5" x14ac:dyDescent="0.25">
      <c r="A404" s="15">
        <v>402</v>
      </c>
      <c r="E404">
        <v>262</v>
      </c>
    </row>
    <row r="405" spans="1:5" x14ac:dyDescent="0.25">
      <c r="A405" s="15">
        <v>403</v>
      </c>
      <c r="C405">
        <v>39</v>
      </c>
    </row>
    <row r="406" spans="1:5" x14ac:dyDescent="0.25">
      <c r="A406" s="15">
        <v>404</v>
      </c>
      <c r="E406">
        <v>198</v>
      </c>
    </row>
    <row r="407" spans="1:5" x14ac:dyDescent="0.25">
      <c r="A407" s="15">
        <v>405</v>
      </c>
      <c r="E407">
        <v>179</v>
      </c>
    </row>
    <row r="408" spans="1:5" x14ac:dyDescent="0.25">
      <c r="A408" s="15">
        <v>406</v>
      </c>
      <c r="E408">
        <v>230</v>
      </c>
    </row>
    <row r="409" spans="1:5" x14ac:dyDescent="0.25">
      <c r="A409" s="15">
        <v>407</v>
      </c>
      <c r="C409">
        <v>43</v>
      </c>
    </row>
    <row r="410" spans="1:5" x14ac:dyDescent="0.25">
      <c r="A410" s="15">
        <v>408</v>
      </c>
      <c r="E410">
        <v>264</v>
      </c>
    </row>
    <row r="411" spans="1:5" x14ac:dyDescent="0.25">
      <c r="A411" s="15">
        <v>409</v>
      </c>
      <c r="B411">
        <v>-1</v>
      </c>
    </row>
    <row r="412" spans="1:5" x14ac:dyDescent="0.25">
      <c r="A412" s="15">
        <v>410</v>
      </c>
      <c r="E412">
        <v>242</v>
      </c>
    </row>
    <row r="413" spans="1:5" x14ac:dyDescent="0.25">
      <c r="A413" s="15">
        <v>411</v>
      </c>
      <c r="C413">
        <v>135</v>
      </c>
    </row>
    <row r="414" spans="1:5" x14ac:dyDescent="0.25">
      <c r="A414" s="15">
        <v>412</v>
      </c>
      <c r="E414">
        <v>202</v>
      </c>
    </row>
    <row r="415" spans="1:5" x14ac:dyDescent="0.25">
      <c r="A415" s="15">
        <v>413</v>
      </c>
      <c r="C415">
        <v>61</v>
      </c>
    </row>
    <row r="416" spans="1:5" x14ac:dyDescent="0.25">
      <c r="A416" s="15">
        <v>414</v>
      </c>
      <c r="E416">
        <v>270</v>
      </c>
    </row>
    <row r="417" spans="1:5" x14ac:dyDescent="0.25">
      <c r="A417" s="15">
        <v>415</v>
      </c>
      <c r="C417">
        <v>83</v>
      </c>
    </row>
    <row r="418" spans="1:5" x14ac:dyDescent="0.25">
      <c r="A418" s="15">
        <v>416</v>
      </c>
      <c r="E418">
        <v>212</v>
      </c>
    </row>
    <row r="419" spans="1:5" x14ac:dyDescent="0.25">
      <c r="A419" s="15">
        <v>417</v>
      </c>
      <c r="C419">
        <v>137</v>
      </c>
    </row>
    <row r="420" spans="1:5" x14ac:dyDescent="0.25">
      <c r="A420" s="15">
        <v>418</v>
      </c>
      <c r="E420">
        <v>230</v>
      </c>
    </row>
    <row r="421" spans="1:5" x14ac:dyDescent="0.25">
      <c r="A421" s="15">
        <v>419</v>
      </c>
      <c r="B421">
        <v>-1</v>
      </c>
    </row>
    <row r="422" spans="1:5" x14ac:dyDescent="0.25">
      <c r="A422" s="15">
        <v>420</v>
      </c>
      <c r="E422">
        <v>300</v>
      </c>
    </row>
    <row r="423" spans="1:5" x14ac:dyDescent="0.25">
      <c r="A423" s="15">
        <v>421</v>
      </c>
      <c r="B423">
        <v>-1</v>
      </c>
    </row>
    <row r="424" spans="1:5" x14ac:dyDescent="0.25">
      <c r="A424" s="15">
        <v>422</v>
      </c>
      <c r="C424">
        <v>208</v>
      </c>
    </row>
    <row r="425" spans="1:5" x14ac:dyDescent="0.25">
      <c r="A425" s="15">
        <v>423</v>
      </c>
      <c r="E425">
        <v>141</v>
      </c>
    </row>
    <row r="426" spans="1:5" x14ac:dyDescent="0.25">
      <c r="A426" s="15">
        <v>424</v>
      </c>
      <c r="E426">
        <v>208</v>
      </c>
    </row>
    <row r="427" spans="1:5" x14ac:dyDescent="0.25">
      <c r="A427" s="15">
        <v>425</v>
      </c>
      <c r="E427">
        <v>99</v>
      </c>
    </row>
    <row r="428" spans="1:5" x14ac:dyDescent="0.25">
      <c r="A428" s="15">
        <v>426</v>
      </c>
      <c r="E428">
        <v>278</v>
      </c>
    </row>
    <row r="429" spans="1:5" x14ac:dyDescent="0.25">
      <c r="A429" s="15">
        <v>427</v>
      </c>
      <c r="C429">
        <v>63</v>
      </c>
    </row>
    <row r="430" spans="1:5" x14ac:dyDescent="0.25">
      <c r="A430" s="15">
        <v>428</v>
      </c>
      <c r="E430">
        <v>210</v>
      </c>
    </row>
    <row r="431" spans="1:5" x14ac:dyDescent="0.25">
      <c r="A431" s="15">
        <v>429</v>
      </c>
      <c r="E431">
        <v>181</v>
      </c>
    </row>
    <row r="432" spans="1:5" x14ac:dyDescent="0.25">
      <c r="A432" s="15">
        <v>430</v>
      </c>
      <c r="E432">
        <v>254</v>
      </c>
    </row>
    <row r="433" spans="1:5" x14ac:dyDescent="0.25">
      <c r="A433" s="15">
        <v>431</v>
      </c>
      <c r="B433">
        <v>-1</v>
      </c>
    </row>
    <row r="434" spans="1:5" x14ac:dyDescent="0.25">
      <c r="A434" s="15">
        <v>432</v>
      </c>
      <c r="E434">
        <v>268</v>
      </c>
    </row>
    <row r="435" spans="1:5" x14ac:dyDescent="0.25">
      <c r="A435" s="15">
        <v>433</v>
      </c>
      <c r="B435">
        <v>-1</v>
      </c>
    </row>
    <row r="436" spans="1:5" x14ac:dyDescent="0.25">
      <c r="A436" s="15">
        <v>434</v>
      </c>
      <c r="E436">
        <v>246</v>
      </c>
    </row>
    <row r="437" spans="1:5" x14ac:dyDescent="0.25">
      <c r="A437" s="15">
        <v>435</v>
      </c>
      <c r="E437">
        <v>203</v>
      </c>
    </row>
    <row r="438" spans="1:5" x14ac:dyDescent="0.25">
      <c r="A438" s="15">
        <v>436</v>
      </c>
      <c r="E438">
        <v>214</v>
      </c>
    </row>
    <row r="439" spans="1:5" x14ac:dyDescent="0.25">
      <c r="A439" s="15">
        <v>437</v>
      </c>
      <c r="C439">
        <v>37</v>
      </c>
    </row>
    <row r="440" spans="1:5" x14ac:dyDescent="0.25">
      <c r="A440" s="15">
        <v>438</v>
      </c>
      <c r="E440">
        <v>286</v>
      </c>
    </row>
    <row r="441" spans="1:5" x14ac:dyDescent="0.25">
      <c r="A441" s="15">
        <v>439</v>
      </c>
      <c r="B441">
        <v>-1</v>
      </c>
    </row>
    <row r="442" spans="1:5" x14ac:dyDescent="0.25">
      <c r="A442" s="15">
        <v>440</v>
      </c>
      <c r="E442">
        <v>264</v>
      </c>
    </row>
    <row r="443" spans="1:5" x14ac:dyDescent="0.25">
      <c r="A443" s="15">
        <v>441</v>
      </c>
      <c r="E443">
        <v>180</v>
      </c>
    </row>
    <row r="444" spans="1:5" x14ac:dyDescent="0.25">
      <c r="A444" s="15">
        <v>442</v>
      </c>
      <c r="E444">
        <v>242</v>
      </c>
    </row>
    <row r="445" spans="1:5" x14ac:dyDescent="0.25">
      <c r="A445" s="15">
        <v>443</v>
      </c>
      <c r="B445">
        <v>-1</v>
      </c>
    </row>
    <row r="446" spans="1:5" x14ac:dyDescent="0.25">
      <c r="A446" s="15">
        <v>444</v>
      </c>
      <c r="E446">
        <v>288</v>
      </c>
    </row>
    <row r="447" spans="1:5" x14ac:dyDescent="0.25">
      <c r="A447" s="15">
        <v>445</v>
      </c>
      <c r="C447">
        <v>89</v>
      </c>
    </row>
    <row r="448" spans="1:5" x14ac:dyDescent="0.25">
      <c r="A448" s="15">
        <v>446</v>
      </c>
      <c r="C448">
        <v>220</v>
      </c>
    </row>
    <row r="449" spans="1:5" x14ac:dyDescent="0.25">
      <c r="A449" s="15">
        <v>447</v>
      </c>
      <c r="C449">
        <v>147</v>
      </c>
    </row>
    <row r="450" spans="1:5" x14ac:dyDescent="0.25">
      <c r="A450" s="15">
        <v>448</v>
      </c>
      <c r="E450">
        <v>242</v>
      </c>
    </row>
    <row r="451" spans="1:5" x14ac:dyDescent="0.25">
      <c r="A451" s="15">
        <v>449</v>
      </c>
      <c r="B451">
        <v>-1</v>
      </c>
    </row>
    <row r="452" spans="1:5" x14ac:dyDescent="0.25">
      <c r="A452" s="15">
        <v>450</v>
      </c>
      <c r="E452">
        <v>312</v>
      </c>
    </row>
    <row r="453" spans="1:5" x14ac:dyDescent="0.25">
      <c r="A453" s="15">
        <v>451</v>
      </c>
      <c r="C453">
        <v>47</v>
      </c>
    </row>
    <row r="454" spans="1:5" x14ac:dyDescent="0.25">
      <c r="A454" s="15">
        <v>452</v>
      </c>
      <c r="E454">
        <v>222</v>
      </c>
    </row>
    <row r="455" spans="1:5" x14ac:dyDescent="0.25">
      <c r="A455" s="15">
        <v>453</v>
      </c>
      <c r="C455">
        <v>149</v>
      </c>
    </row>
    <row r="456" spans="1:5" x14ac:dyDescent="0.25">
      <c r="A456" s="15">
        <v>454</v>
      </c>
      <c r="C456">
        <v>224</v>
      </c>
    </row>
    <row r="457" spans="1:5" x14ac:dyDescent="0.25">
      <c r="A457" s="15">
        <v>455</v>
      </c>
      <c r="E457">
        <v>159</v>
      </c>
    </row>
    <row r="458" spans="1:5" x14ac:dyDescent="0.25">
      <c r="A458" s="15">
        <v>456</v>
      </c>
      <c r="E458">
        <v>296</v>
      </c>
    </row>
    <row r="459" spans="1:5" x14ac:dyDescent="0.25">
      <c r="A459" s="15">
        <v>457</v>
      </c>
      <c r="B459">
        <v>-1</v>
      </c>
    </row>
    <row r="460" spans="1:5" x14ac:dyDescent="0.25">
      <c r="A460" s="15">
        <v>458</v>
      </c>
      <c r="C460">
        <v>226</v>
      </c>
    </row>
    <row r="461" spans="1:5" x14ac:dyDescent="0.25">
      <c r="A461" s="15">
        <v>459</v>
      </c>
      <c r="E461">
        <v>163</v>
      </c>
    </row>
    <row r="462" spans="1:5" x14ac:dyDescent="0.25">
      <c r="A462" s="15">
        <v>460</v>
      </c>
      <c r="E462">
        <v>272</v>
      </c>
    </row>
    <row r="463" spans="1:5" x14ac:dyDescent="0.25">
      <c r="A463" s="15">
        <v>461</v>
      </c>
      <c r="B463">
        <v>-1</v>
      </c>
    </row>
    <row r="464" spans="1:5" x14ac:dyDescent="0.25">
      <c r="A464" s="15">
        <v>462</v>
      </c>
      <c r="E464">
        <v>326</v>
      </c>
    </row>
    <row r="465" spans="1:5" x14ac:dyDescent="0.25">
      <c r="A465" s="15">
        <v>463</v>
      </c>
      <c r="B465">
        <v>-1</v>
      </c>
    </row>
    <row r="466" spans="1:5" x14ac:dyDescent="0.25">
      <c r="A466" s="15">
        <v>464</v>
      </c>
      <c r="E466">
        <v>230</v>
      </c>
    </row>
    <row r="467" spans="1:5" x14ac:dyDescent="0.25">
      <c r="A467" s="15">
        <v>465</v>
      </c>
      <c r="E467">
        <v>217</v>
      </c>
    </row>
    <row r="468" spans="1:5" x14ac:dyDescent="0.25">
      <c r="A468" s="15">
        <v>466</v>
      </c>
      <c r="C468">
        <v>230</v>
      </c>
    </row>
    <row r="469" spans="1:5" x14ac:dyDescent="0.25">
      <c r="A469" s="15">
        <v>467</v>
      </c>
      <c r="B469">
        <v>-1</v>
      </c>
    </row>
    <row r="470" spans="1:5" x14ac:dyDescent="0.25">
      <c r="A470" s="15">
        <v>468</v>
      </c>
      <c r="E470">
        <v>306</v>
      </c>
    </row>
    <row r="471" spans="1:5" x14ac:dyDescent="0.25">
      <c r="A471" s="15">
        <v>469</v>
      </c>
      <c r="C471">
        <v>69</v>
      </c>
    </row>
    <row r="472" spans="1:5" x14ac:dyDescent="0.25">
      <c r="A472" s="15">
        <v>470</v>
      </c>
      <c r="E472">
        <v>278</v>
      </c>
    </row>
    <row r="473" spans="1:5" x14ac:dyDescent="0.25">
      <c r="A473" s="15">
        <v>471</v>
      </c>
      <c r="C473">
        <v>155</v>
      </c>
    </row>
    <row r="474" spans="1:5" x14ac:dyDescent="0.25">
      <c r="A474" s="15">
        <v>472</v>
      </c>
      <c r="E474">
        <v>232</v>
      </c>
    </row>
    <row r="475" spans="1:5" x14ac:dyDescent="0.25">
      <c r="A475" s="15">
        <v>473</v>
      </c>
      <c r="C475">
        <v>49</v>
      </c>
    </row>
    <row r="476" spans="1:5" x14ac:dyDescent="0.25">
      <c r="A476" s="15">
        <v>474</v>
      </c>
      <c r="E476">
        <v>310</v>
      </c>
    </row>
    <row r="477" spans="1:5" x14ac:dyDescent="0.25">
      <c r="A477" s="15">
        <v>475</v>
      </c>
      <c r="E477">
        <v>109</v>
      </c>
    </row>
    <row r="478" spans="1:5" x14ac:dyDescent="0.25">
      <c r="A478" s="15">
        <v>476</v>
      </c>
      <c r="E478">
        <v>272</v>
      </c>
    </row>
    <row r="479" spans="1:5" x14ac:dyDescent="0.25">
      <c r="A479" s="15">
        <v>477</v>
      </c>
      <c r="E479">
        <v>159</v>
      </c>
    </row>
    <row r="480" spans="1:5" x14ac:dyDescent="0.25">
      <c r="A480" s="15">
        <v>478</v>
      </c>
      <c r="C480">
        <v>236</v>
      </c>
    </row>
    <row r="481" spans="1:5" x14ac:dyDescent="0.25">
      <c r="A481" s="15">
        <v>479</v>
      </c>
      <c r="B481">
        <v>-1</v>
      </c>
    </row>
    <row r="482" spans="1:5" x14ac:dyDescent="0.25">
      <c r="A482" s="15">
        <v>480</v>
      </c>
      <c r="E482">
        <v>328</v>
      </c>
    </row>
    <row r="483" spans="1:5" x14ac:dyDescent="0.25">
      <c r="A483" s="15">
        <v>481</v>
      </c>
      <c r="C483">
        <v>45</v>
      </c>
    </row>
    <row r="484" spans="1:5" x14ac:dyDescent="0.25">
      <c r="A484" s="15">
        <v>482</v>
      </c>
      <c r="C484">
        <v>238</v>
      </c>
    </row>
    <row r="485" spans="1:5" x14ac:dyDescent="0.25">
      <c r="A485" s="15">
        <v>483</v>
      </c>
      <c r="E485">
        <v>211</v>
      </c>
    </row>
    <row r="486" spans="1:5" x14ac:dyDescent="0.25">
      <c r="A486" s="15">
        <v>484</v>
      </c>
      <c r="E486">
        <v>255</v>
      </c>
    </row>
    <row r="487" spans="1:5" x14ac:dyDescent="0.25">
      <c r="A487" s="15">
        <v>485</v>
      </c>
      <c r="C487">
        <v>97</v>
      </c>
    </row>
    <row r="488" spans="1:5" x14ac:dyDescent="0.25">
      <c r="A488" s="15">
        <v>486</v>
      </c>
      <c r="E488">
        <v>312</v>
      </c>
    </row>
    <row r="489" spans="1:5" x14ac:dyDescent="0.25">
      <c r="A489" s="15">
        <v>487</v>
      </c>
      <c r="B489">
        <v>-1</v>
      </c>
    </row>
    <row r="490" spans="1:5" x14ac:dyDescent="0.25">
      <c r="A490" s="15">
        <v>488</v>
      </c>
      <c r="E490">
        <v>240</v>
      </c>
    </row>
    <row r="491" spans="1:5" x14ac:dyDescent="0.25">
      <c r="A491" s="15">
        <v>489</v>
      </c>
      <c r="C491">
        <v>161</v>
      </c>
    </row>
    <row r="492" spans="1:5" x14ac:dyDescent="0.25">
      <c r="A492" s="15">
        <v>490</v>
      </c>
      <c r="E492">
        <v>310</v>
      </c>
    </row>
    <row r="493" spans="1:5" x14ac:dyDescent="0.25">
      <c r="A493" s="15">
        <v>491</v>
      </c>
      <c r="B493">
        <v>-1</v>
      </c>
    </row>
    <row r="494" spans="1:5" x14ac:dyDescent="0.25">
      <c r="A494" s="15">
        <v>492</v>
      </c>
      <c r="E494">
        <v>320</v>
      </c>
    </row>
    <row r="495" spans="1:5" x14ac:dyDescent="0.25">
      <c r="A495" s="15">
        <v>493</v>
      </c>
      <c r="C495">
        <v>41</v>
      </c>
    </row>
    <row r="496" spans="1:5" x14ac:dyDescent="0.25">
      <c r="A496" s="15">
        <v>494</v>
      </c>
      <c r="E496">
        <v>270</v>
      </c>
    </row>
    <row r="497" spans="1:5" x14ac:dyDescent="0.25">
      <c r="A497" s="15">
        <v>495</v>
      </c>
      <c r="E497">
        <v>243</v>
      </c>
    </row>
    <row r="498" spans="1:5" x14ac:dyDescent="0.25">
      <c r="A498" s="15">
        <v>496</v>
      </c>
      <c r="E498">
        <v>246</v>
      </c>
    </row>
    <row r="499" spans="1:5" x14ac:dyDescent="0.25">
      <c r="A499" s="15">
        <v>497</v>
      </c>
      <c r="C499">
        <v>73</v>
      </c>
    </row>
    <row r="500" spans="1:5" x14ac:dyDescent="0.25">
      <c r="A500" s="15">
        <v>498</v>
      </c>
      <c r="E500">
        <v>326</v>
      </c>
    </row>
    <row r="501" spans="1:5" x14ac:dyDescent="0.25">
      <c r="A501" s="15">
        <v>499</v>
      </c>
      <c r="B501">
        <v>-1</v>
      </c>
    </row>
    <row r="502" spans="1:5" x14ac:dyDescent="0.25">
      <c r="A502" s="15">
        <v>500</v>
      </c>
      <c r="E502">
        <v>288</v>
      </c>
    </row>
    <row r="503" spans="1:5" x14ac:dyDescent="0.25">
      <c r="A503" s="15">
        <v>501</v>
      </c>
      <c r="C503">
        <v>165</v>
      </c>
    </row>
    <row r="504" spans="1:5" x14ac:dyDescent="0.25">
      <c r="A504" s="15">
        <v>502</v>
      </c>
      <c r="C504">
        <v>248</v>
      </c>
    </row>
    <row r="505" spans="1:5" x14ac:dyDescent="0.25">
      <c r="A505" s="15">
        <v>503</v>
      </c>
      <c r="B505">
        <v>-1</v>
      </c>
    </row>
    <row r="506" spans="1:5" x14ac:dyDescent="0.25">
      <c r="A506" s="15">
        <v>504</v>
      </c>
      <c r="E506">
        <v>336</v>
      </c>
    </row>
    <row r="507" spans="1:5" x14ac:dyDescent="0.25">
      <c r="A507" s="15">
        <v>505</v>
      </c>
      <c r="C507">
        <v>101</v>
      </c>
    </row>
    <row r="508" spans="1:5" x14ac:dyDescent="0.25">
      <c r="A508" s="15">
        <v>506</v>
      </c>
      <c r="E508">
        <v>278</v>
      </c>
    </row>
    <row r="509" spans="1:5" x14ac:dyDescent="0.25">
      <c r="A509" s="15">
        <v>507</v>
      </c>
      <c r="E509">
        <v>189</v>
      </c>
    </row>
    <row r="510" spans="1:5" x14ac:dyDescent="0.25">
      <c r="A510" s="15">
        <v>508</v>
      </c>
      <c r="E510">
        <v>250</v>
      </c>
    </row>
    <row r="511" spans="1:5" x14ac:dyDescent="0.25">
      <c r="A511" s="15">
        <v>509</v>
      </c>
      <c r="B511">
        <v>-1</v>
      </c>
    </row>
    <row r="512" spans="1:5" x14ac:dyDescent="0.25">
      <c r="A512" s="15">
        <v>510</v>
      </c>
      <c r="E512">
        <v>366</v>
      </c>
    </row>
    <row r="513" spans="1:5" x14ac:dyDescent="0.25">
      <c r="A513" s="15">
        <v>511</v>
      </c>
      <c r="C513">
        <v>75</v>
      </c>
    </row>
    <row r="514" spans="1:5" x14ac:dyDescent="0.25">
      <c r="A514" s="15">
        <v>512</v>
      </c>
      <c r="E514">
        <v>246</v>
      </c>
    </row>
    <row r="515" spans="1:5" x14ac:dyDescent="0.25">
      <c r="A515" s="15">
        <v>513</v>
      </c>
      <c r="E515">
        <v>181</v>
      </c>
    </row>
    <row r="516" spans="1:5" x14ac:dyDescent="0.25">
      <c r="A516" s="15">
        <v>514</v>
      </c>
      <c r="C516">
        <v>254</v>
      </c>
    </row>
    <row r="517" spans="1:5" x14ac:dyDescent="0.25">
      <c r="A517" s="15">
        <v>515</v>
      </c>
      <c r="C517">
        <v>103</v>
      </c>
    </row>
    <row r="518" spans="1:5" x14ac:dyDescent="0.25">
      <c r="A518" s="15">
        <v>516</v>
      </c>
      <c r="E518">
        <v>336</v>
      </c>
    </row>
    <row r="519" spans="1:5" x14ac:dyDescent="0.25">
      <c r="A519" s="15">
        <v>517</v>
      </c>
      <c r="C519">
        <v>53</v>
      </c>
    </row>
    <row r="520" spans="1:5" x14ac:dyDescent="0.25">
      <c r="A520" s="15">
        <v>518</v>
      </c>
      <c r="E520">
        <v>294</v>
      </c>
    </row>
    <row r="521" spans="1:5" x14ac:dyDescent="0.25">
      <c r="A521" s="15">
        <v>519</v>
      </c>
      <c r="C521">
        <v>171</v>
      </c>
    </row>
    <row r="522" spans="1:5" x14ac:dyDescent="0.25">
      <c r="A522" s="15">
        <v>520</v>
      </c>
      <c r="E522">
        <v>312</v>
      </c>
    </row>
    <row r="523" spans="1:5" x14ac:dyDescent="0.25">
      <c r="A523" s="15">
        <v>521</v>
      </c>
      <c r="B523">
        <v>-1</v>
      </c>
    </row>
    <row r="524" spans="1:5" x14ac:dyDescent="0.25">
      <c r="A524" s="15">
        <v>522</v>
      </c>
      <c r="E524">
        <v>342</v>
      </c>
    </row>
    <row r="525" spans="1:5" x14ac:dyDescent="0.25">
      <c r="A525" s="15">
        <v>523</v>
      </c>
      <c r="B525">
        <v>-1</v>
      </c>
    </row>
    <row r="526" spans="1:5" x14ac:dyDescent="0.25">
      <c r="A526" s="15">
        <v>524</v>
      </c>
      <c r="E526">
        <v>258</v>
      </c>
    </row>
    <row r="527" spans="1:5" x14ac:dyDescent="0.25">
      <c r="A527" s="15">
        <v>525</v>
      </c>
      <c r="E527">
        <v>273</v>
      </c>
    </row>
    <row r="528" spans="1:5" x14ac:dyDescent="0.25">
      <c r="A528" s="15">
        <v>526</v>
      </c>
      <c r="C528">
        <v>260</v>
      </c>
    </row>
    <row r="529" spans="1:5" x14ac:dyDescent="0.25">
      <c r="A529" s="15">
        <v>527</v>
      </c>
      <c r="C529">
        <v>43</v>
      </c>
    </row>
    <row r="530" spans="1:5" x14ac:dyDescent="0.25">
      <c r="A530" s="15">
        <v>528</v>
      </c>
      <c r="E530">
        <v>348</v>
      </c>
    </row>
    <row r="531" spans="1:5" x14ac:dyDescent="0.25">
      <c r="A531" s="15">
        <v>529</v>
      </c>
      <c r="D531">
        <v>20</v>
      </c>
    </row>
    <row r="532" spans="1:5" x14ac:dyDescent="0.25">
      <c r="A532" s="15">
        <v>530</v>
      </c>
      <c r="E532">
        <v>314</v>
      </c>
    </row>
    <row r="533" spans="1:5" x14ac:dyDescent="0.25">
      <c r="A533" s="15">
        <v>531</v>
      </c>
      <c r="E533">
        <v>177</v>
      </c>
    </row>
    <row r="534" spans="1:5" x14ac:dyDescent="0.25">
      <c r="A534" s="15">
        <v>532</v>
      </c>
      <c r="E534">
        <v>304</v>
      </c>
    </row>
    <row r="535" spans="1:5" x14ac:dyDescent="0.25">
      <c r="A535" s="15">
        <v>533</v>
      </c>
      <c r="C535">
        <v>49</v>
      </c>
    </row>
    <row r="536" spans="1:5" x14ac:dyDescent="0.25">
      <c r="A536" s="15">
        <v>534</v>
      </c>
      <c r="E536">
        <v>350</v>
      </c>
    </row>
    <row r="537" spans="1:5" x14ac:dyDescent="0.25">
      <c r="A537" s="15">
        <v>535</v>
      </c>
      <c r="C537">
        <v>107</v>
      </c>
    </row>
    <row r="538" spans="1:5" x14ac:dyDescent="0.25">
      <c r="A538" s="15">
        <v>536</v>
      </c>
      <c r="E538">
        <v>264</v>
      </c>
    </row>
    <row r="539" spans="1:5" x14ac:dyDescent="0.25">
      <c r="A539" s="15">
        <v>537</v>
      </c>
      <c r="C539">
        <v>177</v>
      </c>
    </row>
    <row r="540" spans="1:5" x14ac:dyDescent="0.25">
      <c r="A540" s="15">
        <v>538</v>
      </c>
      <c r="C540">
        <v>266</v>
      </c>
    </row>
    <row r="541" spans="1:5" x14ac:dyDescent="0.25">
      <c r="A541" s="15">
        <v>539</v>
      </c>
      <c r="E541">
        <v>113</v>
      </c>
    </row>
    <row r="542" spans="1:5" x14ac:dyDescent="0.25">
      <c r="A542" s="15">
        <v>540</v>
      </c>
      <c r="E542">
        <v>372</v>
      </c>
    </row>
    <row r="543" spans="1:5" x14ac:dyDescent="0.25">
      <c r="A543" s="15">
        <v>541</v>
      </c>
      <c r="B543">
        <v>-1</v>
      </c>
    </row>
    <row r="544" spans="1:5" x14ac:dyDescent="0.25">
      <c r="A544" s="15">
        <v>542</v>
      </c>
      <c r="C544">
        <v>268</v>
      </c>
    </row>
    <row r="545" spans="1:5" x14ac:dyDescent="0.25">
      <c r="A545" s="15">
        <v>543</v>
      </c>
      <c r="C545">
        <v>179</v>
      </c>
    </row>
    <row r="546" spans="1:5" x14ac:dyDescent="0.25">
      <c r="A546" s="15">
        <v>544</v>
      </c>
      <c r="E546">
        <v>276</v>
      </c>
    </row>
    <row r="547" spans="1:5" x14ac:dyDescent="0.25">
      <c r="A547" s="15">
        <v>545</v>
      </c>
      <c r="C547">
        <v>109</v>
      </c>
    </row>
    <row r="548" spans="1:5" x14ac:dyDescent="0.25">
      <c r="A548" s="15">
        <v>546</v>
      </c>
      <c r="E548">
        <v>386</v>
      </c>
    </row>
    <row r="549" spans="1:5" x14ac:dyDescent="0.25">
      <c r="A549" s="15">
        <v>547</v>
      </c>
      <c r="B549">
        <v>-1</v>
      </c>
    </row>
    <row r="550" spans="1:5" x14ac:dyDescent="0.25">
      <c r="A550" s="15">
        <v>548</v>
      </c>
      <c r="E550">
        <v>270</v>
      </c>
    </row>
    <row r="551" spans="1:5" x14ac:dyDescent="0.25">
      <c r="A551" s="15">
        <v>549</v>
      </c>
      <c r="E551">
        <v>183</v>
      </c>
    </row>
    <row r="552" spans="1:5" x14ac:dyDescent="0.25">
      <c r="A552" s="15">
        <v>550</v>
      </c>
      <c r="E552">
        <v>338</v>
      </c>
    </row>
    <row r="553" spans="1:5" x14ac:dyDescent="0.25">
      <c r="A553" s="15">
        <v>551</v>
      </c>
      <c r="C553">
        <v>43</v>
      </c>
    </row>
    <row r="554" spans="1:5" x14ac:dyDescent="0.25">
      <c r="A554" s="15">
        <v>552</v>
      </c>
      <c r="E554">
        <v>360</v>
      </c>
    </row>
    <row r="555" spans="1:5" x14ac:dyDescent="0.25">
      <c r="A555" s="15">
        <v>553</v>
      </c>
      <c r="C555">
        <v>81</v>
      </c>
    </row>
    <row r="556" spans="1:5" x14ac:dyDescent="0.25">
      <c r="A556" s="15">
        <v>554</v>
      </c>
      <c r="C556">
        <v>274</v>
      </c>
    </row>
    <row r="557" spans="1:5" x14ac:dyDescent="0.25">
      <c r="A557" s="15">
        <v>555</v>
      </c>
      <c r="E557">
        <v>259</v>
      </c>
    </row>
    <row r="558" spans="1:5" x14ac:dyDescent="0.25">
      <c r="A558" s="15">
        <v>556</v>
      </c>
      <c r="E558">
        <v>274</v>
      </c>
    </row>
    <row r="559" spans="1:5" x14ac:dyDescent="0.25">
      <c r="A559" s="15">
        <v>557</v>
      </c>
      <c r="B559">
        <v>-1</v>
      </c>
    </row>
    <row r="560" spans="1:5" x14ac:dyDescent="0.25">
      <c r="A560" s="15">
        <v>558</v>
      </c>
      <c r="E560">
        <v>366</v>
      </c>
    </row>
    <row r="561" spans="1:5" x14ac:dyDescent="0.25">
      <c r="A561" s="15">
        <v>559</v>
      </c>
      <c r="C561">
        <v>51</v>
      </c>
    </row>
    <row r="562" spans="1:5" x14ac:dyDescent="0.25">
      <c r="A562" s="15">
        <v>560</v>
      </c>
      <c r="E562">
        <v>348</v>
      </c>
    </row>
    <row r="563" spans="1:5" x14ac:dyDescent="0.25">
      <c r="A563" s="15">
        <v>561</v>
      </c>
      <c r="E563">
        <v>233</v>
      </c>
    </row>
    <row r="564" spans="1:5" x14ac:dyDescent="0.25">
      <c r="A564" s="15">
        <v>562</v>
      </c>
      <c r="C564">
        <v>278</v>
      </c>
    </row>
    <row r="565" spans="1:5" x14ac:dyDescent="0.25">
      <c r="A565" s="15">
        <v>563</v>
      </c>
      <c r="B565">
        <v>-1</v>
      </c>
    </row>
    <row r="566" spans="1:5" x14ac:dyDescent="0.25">
      <c r="A566" s="15">
        <v>564</v>
      </c>
      <c r="E566">
        <v>368</v>
      </c>
    </row>
    <row r="567" spans="1:5" x14ac:dyDescent="0.25">
      <c r="A567" s="15">
        <v>565</v>
      </c>
      <c r="C567">
        <v>113</v>
      </c>
    </row>
    <row r="568" spans="1:5" x14ac:dyDescent="0.25">
      <c r="A568" s="15">
        <v>566</v>
      </c>
      <c r="C568">
        <v>280</v>
      </c>
    </row>
    <row r="569" spans="1:5" x14ac:dyDescent="0.25">
      <c r="A569" s="15">
        <v>567</v>
      </c>
      <c r="E569">
        <v>233</v>
      </c>
    </row>
    <row r="570" spans="1:5" x14ac:dyDescent="0.25">
      <c r="A570" s="15">
        <v>568</v>
      </c>
      <c r="E570">
        <v>280</v>
      </c>
    </row>
    <row r="571" spans="1:5" x14ac:dyDescent="0.25">
      <c r="A571" s="15">
        <v>569</v>
      </c>
      <c r="B571">
        <v>-1</v>
      </c>
    </row>
    <row r="572" spans="1:5" x14ac:dyDescent="0.25">
      <c r="A572" s="15">
        <v>570</v>
      </c>
      <c r="E572">
        <v>410</v>
      </c>
    </row>
    <row r="573" spans="1:5" x14ac:dyDescent="0.25">
      <c r="A573" s="15">
        <v>571</v>
      </c>
      <c r="B573">
        <v>-1</v>
      </c>
    </row>
    <row r="574" spans="1:5" x14ac:dyDescent="0.25">
      <c r="A574" s="15">
        <v>572</v>
      </c>
      <c r="E574">
        <v>320</v>
      </c>
    </row>
    <row r="575" spans="1:5" x14ac:dyDescent="0.25">
      <c r="A575" s="15">
        <v>573</v>
      </c>
      <c r="C575">
        <v>189</v>
      </c>
    </row>
    <row r="576" spans="1:5" x14ac:dyDescent="0.25">
      <c r="A576" s="15">
        <v>574</v>
      </c>
      <c r="E576">
        <v>326</v>
      </c>
    </row>
    <row r="577" spans="1:5" x14ac:dyDescent="0.25">
      <c r="A577" s="15">
        <v>575</v>
      </c>
      <c r="E577">
        <v>129</v>
      </c>
    </row>
    <row r="578" spans="1:5" x14ac:dyDescent="0.25">
      <c r="A578" s="15">
        <v>576</v>
      </c>
      <c r="E578">
        <v>363</v>
      </c>
    </row>
    <row r="579" spans="1:5" x14ac:dyDescent="0.25">
      <c r="A579" s="15">
        <v>577</v>
      </c>
      <c r="B579">
        <v>-1</v>
      </c>
    </row>
    <row r="580" spans="1:5" x14ac:dyDescent="0.25">
      <c r="A580" s="15">
        <v>578</v>
      </c>
      <c r="E580">
        <v>300</v>
      </c>
    </row>
    <row r="581" spans="1:5" x14ac:dyDescent="0.25">
      <c r="A581" s="15">
        <v>579</v>
      </c>
      <c r="C581">
        <v>191</v>
      </c>
    </row>
    <row r="582" spans="1:5" x14ac:dyDescent="0.25">
      <c r="A582" s="15">
        <v>580</v>
      </c>
      <c r="E582">
        <v>344</v>
      </c>
    </row>
    <row r="583" spans="1:5" x14ac:dyDescent="0.25">
      <c r="A583" s="15">
        <v>581</v>
      </c>
      <c r="C583">
        <v>85</v>
      </c>
    </row>
    <row r="584" spans="1:5" x14ac:dyDescent="0.25">
      <c r="A584" s="15">
        <v>582</v>
      </c>
      <c r="E584">
        <v>382</v>
      </c>
    </row>
    <row r="585" spans="1:5" x14ac:dyDescent="0.25">
      <c r="A585" s="15">
        <v>583</v>
      </c>
      <c r="C585">
        <v>59</v>
      </c>
    </row>
    <row r="586" spans="1:5" x14ac:dyDescent="0.25">
      <c r="A586" s="15">
        <v>584</v>
      </c>
      <c r="E586">
        <v>288</v>
      </c>
    </row>
    <row r="587" spans="1:5" x14ac:dyDescent="0.25">
      <c r="A587" s="15">
        <v>585</v>
      </c>
      <c r="E587">
        <v>285</v>
      </c>
    </row>
    <row r="588" spans="1:5" x14ac:dyDescent="0.25">
      <c r="A588" s="15">
        <v>586</v>
      </c>
      <c r="C588">
        <v>290</v>
      </c>
    </row>
    <row r="589" spans="1:5" x14ac:dyDescent="0.25">
      <c r="A589" s="15">
        <v>587</v>
      </c>
      <c r="B589">
        <v>-1</v>
      </c>
    </row>
    <row r="590" spans="1:5" x14ac:dyDescent="0.25">
      <c r="A590" s="15">
        <v>588</v>
      </c>
      <c r="E590">
        <v>402</v>
      </c>
    </row>
    <row r="591" spans="1:5" x14ac:dyDescent="0.25">
      <c r="A591" s="15">
        <v>589</v>
      </c>
      <c r="C591">
        <v>45</v>
      </c>
    </row>
    <row r="592" spans="1:5" x14ac:dyDescent="0.25">
      <c r="A592" s="15">
        <v>590</v>
      </c>
      <c r="E592">
        <v>350</v>
      </c>
    </row>
    <row r="593" spans="1:5" x14ac:dyDescent="0.25">
      <c r="A593" s="15">
        <v>591</v>
      </c>
      <c r="C593">
        <v>195</v>
      </c>
    </row>
    <row r="594" spans="1:5" x14ac:dyDescent="0.25">
      <c r="A594" s="15">
        <v>592</v>
      </c>
      <c r="E594">
        <v>294</v>
      </c>
    </row>
    <row r="595" spans="1:5" x14ac:dyDescent="0.25">
      <c r="A595" s="15">
        <v>593</v>
      </c>
      <c r="B595">
        <v>-1</v>
      </c>
    </row>
    <row r="596" spans="1:5" x14ac:dyDescent="0.25">
      <c r="A596" s="15">
        <v>594</v>
      </c>
      <c r="E596">
        <v>398</v>
      </c>
    </row>
    <row r="597" spans="1:5" x14ac:dyDescent="0.25">
      <c r="A597" s="15">
        <v>595</v>
      </c>
      <c r="E597">
        <v>203</v>
      </c>
    </row>
    <row r="598" spans="1:5" x14ac:dyDescent="0.25">
      <c r="A598" s="15">
        <v>596</v>
      </c>
      <c r="E598">
        <v>294</v>
      </c>
    </row>
    <row r="599" spans="1:5" x14ac:dyDescent="0.25">
      <c r="A599" s="15">
        <v>597</v>
      </c>
      <c r="C599">
        <v>197</v>
      </c>
    </row>
    <row r="600" spans="1:5" x14ac:dyDescent="0.25">
      <c r="A600" s="15">
        <v>598</v>
      </c>
      <c r="E600">
        <v>326</v>
      </c>
    </row>
    <row r="601" spans="1:5" x14ac:dyDescent="0.25">
      <c r="A601" s="15">
        <v>599</v>
      </c>
      <c r="B601">
        <v>-1</v>
      </c>
    </row>
    <row r="602" spans="1:5" x14ac:dyDescent="0.25">
      <c r="A602" s="15">
        <v>600</v>
      </c>
      <c r="E602">
        <v>416</v>
      </c>
    </row>
    <row r="603" spans="1:5" x14ac:dyDescent="0.25">
      <c r="A603" s="15">
        <v>601</v>
      </c>
      <c r="B603">
        <v>-1</v>
      </c>
    </row>
    <row r="604" spans="1:5" x14ac:dyDescent="0.25">
      <c r="A604" s="15">
        <v>602</v>
      </c>
      <c r="E604">
        <v>342</v>
      </c>
    </row>
    <row r="605" spans="1:5" x14ac:dyDescent="0.25">
      <c r="A605" s="15">
        <v>603</v>
      </c>
      <c r="E605">
        <v>201</v>
      </c>
    </row>
    <row r="606" spans="1:5" x14ac:dyDescent="0.25">
      <c r="A606" s="15">
        <v>604</v>
      </c>
      <c r="E606">
        <v>298</v>
      </c>
    </row>
    <row r="607" spans="1:5" x14ac:dyDescent="0.25">
      <c r="A607" s="15">
        <v>605</v>
      </c>
      <c r="E607">
        <v>159</v>
      </c>
    </row>
    <row r="608" spans="1:5" x14ac:dyDescent="0.25">
      <c r="A608" s="15">
        <v>606</v>
      </c>
      <c r="E608">
        <v>398</v>
      </c>
    </row>
    <row r="609" spans="1:5" x14ac:dyDescent="0.25">
      <c r="A609" s="15">
        <v>607</v>
      </c>
      <c r="B609">
        <v>-1</v>
      </c>
    </row>
    <row r="610" spans="1:5" x14ac:dyDescent="0.25">
      <c r="A610" s="15">
        <v>608</v>
      </c>
      <c r="E610">
        <v>308</v>
      </c>
    </row>
    <row r="611" spans="1:5" x14ac:dyDescent="0.25">
      <c r="A611" s="15">
        <v>609</v>
      </c>
      <c r="E611">
        <v>265</v>
      </c>
    </row>
    <row r="612" spans="1:5" x14ac:dyDescent="0.25">
      <c r="A612" s="15">
        <v>610</v>
      </c>
      <c r="E612">
        <v>362</v>
      </c>
    </row>
    <row r="613" spans="1:5" x14ac:dyDescent="0.25">
      <c r="A613" s="15">
        <v>611</v>
      </c>
      <c r="C613">
        <v>55</v>
      </c>
    </row>
    <row r="614" spans="1:5" x14ac:dyDescent="0.25">
      <c r="A614" s="15">
        <v>612</v>
      </c>
      <c r="E614">
        <v>402</v>
      </c>
    </row>
    <row r="615" spans="1:5" x14ac:dyDescent="0.25">
      <c r="A615" s="15">
        <v>613</v>
      </c>
      <c r="B615">
        <v>-1</v>
      </c>
    </row>
    <row r="616" spans="1:5" x14ac:dyDescent="0.25">
      <c r="A616" s="15">
        <v>614</v>
      </c>
      <c r="C616">
        <v>304</v>
      </c>
    </row>
    <row r="617" spans="1:5" x14ac:dyDescent="0.25">
      <c r="A617" s="15">
        <v>615</v>
      </c>
      <c r="E617">
        <v>287</v>
      </c>
    </row>
    <row r="618" spans="1:5" x14ac:dyDescent="0.25">
      <c r="A618" s="15">
        <v>616</v>
      </c>
      <c r="E618">
        <v>360</v>
      </c>
    </row>
    <row r="619" spans="1:5" x14ac:dyDescent="0.25">
      <c r="A619" s="15">
        <v>617</v>
      </c>
      <c r="B619">
        <v>-1</v>
      </c>
    </row>
    <row r="620" spans="1:5" x14ac:dyDescent="0.25">
      <c r="A620" s="15">
        <v>618</v>
      </c>
      <c r="E620">
        <v>406</v>
      </c>
    </row>
    <row r="621" spans="1:5" x14ac:dyDescent="0.25">
      <c r="A621" s="15">
        <v>619</v>
      </c>
      <c r="B621">
        <v>-1</v>
      </c>
    </row>
    <row r="622" spans="1:5" x14ac:dyDescent="0.25">
      <c r="A622" s="15">
        <v>620</v>
      </c>
      <c r="E622">
        <v>368</v>
      </c>
    </row>
    <row r="623" spans="1:5" x14ac:dyDescent="0.25">
      <c r="A623" s="15">
        <v>621</v>
      </c>
      <c r="E623">
        <v>217</v>
      </c>
    </row>
    <row r="624" spans="1:5" x14ac:dyDescent="0.25">
      <c r="A624" s="15">
        <v>622</v>
      </c>
      <c r="C624">
        <v>308</v>
      </c>
    </row>
    <row r="625" spans="1:5" x14ac:dyDescent="0.25">
      <c r="A625" s="15">
        <v>623</v>
      </c>
      <c r="C625">
        <v>91</v>
      </c>
    </row>
    <row r="626" spans="1:5" x14ac:dyDescent="0.25">
      <c r="A626" s="15">
        <v>624</v>
      </c>
      <c r="E626">
        <v>412</v>
      </c>
    </row>
    <row r="627" spans="1:5" x14ac:dyDescent="0.25">
      <c r="A627" s="15">
        <v>625</v>
      </c>
      <c r="E627">
        <v>120</v>
      </c>
    </row>
    <row r="628" spans="1:5" x14ac:dyDescent="0.25">
      <c r="A628" s="15">
        <v>626</v>
      </c>
      <c r="C628">
        <v>310</v>
      </c>
    </row>
    <row r="629" spans="1:5" x14ac:dyDescent="0.25">
      <c r="A629" s="15">
        <v>627</v>
      </c>
      <c r="E629">
        <v>259</v>
      </c>
    </row>
    <row r="630" spans="1:5" x14ac:dyDescent="0.25">
      <c r="A630" s="15">
        <v>628</v>
      </c>
      <c r="E630">
        <v>310</v>
      </c>
    </row>
    <row r="631" spans="1:5" x14ac:dyDescent="0.25">
      <c r="A631" s="15">
        <v>629</v>
      </c>
      <c r="C631">
        <v>49</v>
      </c>
    </row>
    <row r="632" spans="1:5" x14ac:dyDescent="0.25">
      <c r="A632" s="15">
        <v>630</v>
      </c>
      <c r="E632">
        <v>462</v>
      </c>
    </row>
    <row r="633" spans="1:5" x14ac:dyDescent="0.25">
      <c r="A633" s="15">
        <v>631</v>
      </c>
      <c r="B633">
        <v>-1</v>
      </c>
    </row>
    <row r="634" spans="1:5" x14ac:dyDescent="0.25">
      <c r="A634" s="15">
        <v>632</v>
      </c>
      <c r="E634">
        <v>312</v>
      </c>
    </row>
    <row r="635" spans="1:5" x14ac:dyDescent="0.25">
      <c r="A635" s="15">
        <v>633</v>
      </c>
      <c r="C635">
        <v>209</v>
      </c>
    </row>
    <row r="636" spans="1:5" x14ac:dyDescent="0.25">
      <c r="A636" s="15">
        <v>634</v>
      </c>
      <c r="C636">
        <v>314</v>
      </c>
    </row>
    <row r="637" spans="1:5" x14ac:dyDescent="0.25">
      <c r="A637" s="15">
        <v>635</v>
      </c>
      <c r="C637">
        <v>127</v>
      </c>
    </row>
    <row r="638" spans="1:5" x14ac:dyDescent="0.25">
      <c r="A638" s="15">
        <v>636</v>
      </c>
      <c r="E638">
        <v>416</v>
      </c>
    </row>
    <row r="639" spans="1:5" x14ac:dyDescent="0.25">
      <c r="A639" s="15">
        <v>637</v>
      </c>
      <c r="E639">
        <v>127</v>
      </c>
    </row>
    <row r="640" spans="1:5" x14ac:dyDescent="0.25">
      <c r="A640" s="15">
        <v>638</v>
      </c>
      <c r="E640">
        <v>350</v>
      </c>
    </row>
    <row r="641" spans="1:5" x14ac:dyDescent="0.25">
      <c r="A641" s="15">
        <v>639</v>
      </c>
      <c r="E641">
        <v>213</v>
      </c>
    </row>
    <row r="642" spans="1:5" x14ac:dyDescent="0.25">
      <c r="A642" s="15">
        <v>640</v>
      </c>
      <c r="E642">
        <v>368</v>
      </c>
    </row>
    <row r="643" spans="1:5" x14ac:dyDescent="0.25">
      <c r="A643" s="15">
        <v>641</v>
      </c>
      <c r="B643">
        <v>-1</v>
      </c>
    </row>
    <row r="644" spans="1:5" x14ac:dyDescent="0.25">
      <c r="A644" s="15">
        <v>642</v>
      </c>
      <c r="E644">
        <v>422</v>
      </c>
    </row>
    <row r="645" spans="1:5" x14ac:dyDescent="0.25">
      <c r="A645" s="15">
        <v>643</v>
      </c>
      <c r="B645">
        <v>-1</v>
      </c>
    </row>
    <row r="646" spans="1:5" x14ac:dyDescent="0.25">
      <c r="A646" s="15">
        <v>644</v>
      </c>
      <c r="E646">
        <v>368</v>
      </c>
    </row>
    <row r="647" spans="1:5" x14ac:dyDescent="0.25">
      <c r="A647" s="15">
        <v>645</v>
      </c>
      <c r="E647">
        <v>301</v>
      </c>
    </row>
    <row r="648" spans="1:5" x14ac:dyDescent="0.25">
      <c r="A648" s="15">
        <v>646</v>
      </c>
      <c r="E648">
        <v>350</v>
      </c>
    </row>
    <row r="649" spans="1:5" x14ac:dyDescent="0.25">
      <c r="A649" s="15">
        <v>647</v>
      </c>
      <c r="B649">
        <v>-1</v>
      </c>
    </row>
    <row r="650" spans="1:5" x14ac:dyDescent="0.25">
      <c r="A650" s="15">
        <v>648</v>
      </c>
      <c r="E650">
        <v>412</v>
      </c>
    </row>
    <row r="651" spans="1:5" x14ac:dyDescent="0.25">
      <c r="A651" s="15">
        <v>649</v>
      </c>
      <c r="C651">
        <v>65</v>
      </c>
    </row>
    <row r="652" spans="1:5" x14ac:dyDescent="0.25">
      <c r="A652" s="15">
        <v>650</v>
      </c>
      <c r="E652">
        <v>398</v>
      </c>
    </row>
    <row r="653" spans="1:5" x14ac:dyDescent="0.25">
      <c r="A653" s="15">
        <v>651</v>
      </c>
      <c r="E653">
        <v>283</v>
      </c>
    </row>
    <row r="654" spans="1:5" x14ac:dyDescent="0.25">
      <c r="A654" s="15">
        <v>652</v>
      </c>
      <c r="E654">
        <v>322</v>
      </c>
    </row>
    <row r="655" spans="1:5" x14ac:dyDescent="0.25">
      <c r="A655" s="15">
        <v>653</v>
      </c>
      <c r="B655">
        <v>-1</v>
      </c>
    </row>
    <row r="656" spans="1:5" x14ac:dyDescent="0.25">
      <c r="A656" s="15">
        <v>654</v>
      </c>
      <c r="E656">
        <v>430</v>
      </c>
    </row>
    <row r="657" spans="1:5" x14ac:dyDescent="0.25">
      <c r="A657" s="15">
        <v>655</v>
      </c>
      <c r="C657">
        <v>131</v>
      </c>
    </row>
    <row r="658" spans="1:5" x14ac:dyDescent="0.25">
      <c r="A658" s="15">
        <v>656</v>
      </c>
      <c r="E658">
        <v>326</v>
      </c>
    </row>
    <row r="659" spans="1:5" x14ac:dyDescent="0.25">
      <c r="A659" s="15">
        <v>657</v>
      </c>
      <c r="E659">
        <v>219</v>
      </c>
    </row>
    <row r="660" spans="1:5" x14ac:dyDescent="0.25">
      <c r="A660" s="15">
        <v>658</v>
      </c>
      <c r="E660">
        <v>374</v>
      </c>
    </row>
    <row r="661" spans="1:5" x14ac:dyDescent="0.25">
      <c r="A661" s="15">
        <v>659</v>
      </c>
      <c r="B661">
        <v>-1</v>
      </c>
    </row>
    <row r="662" spans="1:5" x14ac:dyDescent="0.25">
      <c r="A662" s="15">
        <v>660</v>
      </c>
      <c r="E662">
        <v>476</v>
      </c>
    </row>
    <row r="663" spans="1:5" x14ac:dyDescent="0.25">
      <c r="A663" s="15">
        <v>661</v>
      </c>
      <c r="B663">
        <v>-1</v>
      </c>
    </row>
    <row r="664" spans="1:5" x14ac:dyDescent="0.25">
      <c r="A664" s="15">
        <v>662</v>
      </c>
      <c r="C664">
        <v>328</v>
      </c>
    </row>
    <row r="665" spans="1:5" x14ac:dyDescent="0.25">
      <c r="A665" s="15">
        <v>663</v>
      </c>
      <c r="E665">
        <v>271</v>
      </c>
    </row>
    <row r="666" spans="1:5" x14ac:dyDescent="0.25">
      <c r="A666" s="15">
        <v>664</v>
      </c>
      <c r="E666">
        <v>328</v>
      </c>
    </row>
    <row r="667" spans="1:5" x14ac:dyDescent="0.25">
      <c r="A667" s="15">
        <v>665</v>
      </c>
      <c r="E667">
        <v>225</v>
      </c>
    </row>
    <row r="668" spans="1:5" x14ac:dyDescent="0.25">
      <c r="A668" s="15">
        <v>666</v>
      </c>
      <c r="E668">
        <v>438</v>
      </c>
    </row>
    <row r="669" spans="1:5" x14ac:dyDescent="0.25">
      <c r="A669" s="15">
        <v>667</v>
      </c>
      <c r="C669">
        <v>47</v>
      </c>
    </row>
    <row r="670" spans="1:5" x14ac:dyDescent="0.25">
      <c r="A670" s="15">
        <v>668</v>
      </c>
      <c r="E670">
        <v>330</v>
      </c>
    </row>
    <row r="671" spans="1:5" x14ac:dyDescent="0.25">
      <c r="A671" s="15">
        <v>669</v>
      </c>
      <c r="C671">
        <v>221</v>
      </c>
    </row>
    <row r="672" spans="1:5" x14ac:dyDescent="0.25">
      <c r="A672" s="15">
        <v>670</v>
      </c>
      <c r="E672">
        <v>398</v>
      </c>
    </row>
    <row r="673" spans="1:5" x14ac:dyDescent="0.25">
      <c r="A673" s="15">
        <v>671</v>
      </c>
      <c r="C673">
        <v>67</v>
      </c>
    </row>
    <row r="674" spans="1:5" x14ac:dyDescent="0.25">
      <c r="A674" s="15">
        <v>672</v>
      </c>
      <c r="E674">
        <v>456</v>
      </c>
    </row>
    <row r="675" spans="1:5" x14ac:dyDescent="0.25">
      <c r="A675" s="15">
        <v>673</v>
      </c>
      <c r="B675">
        <v>-1</v>
      </c>
    </row>
    <row r="676" spans="1:5" x14ac:dyDescent="0.25">
      <c r="A676" s="15">
        <v>674</v>
      </c>
      <c r="C676">
        <v>334</v>
      </c>
    </row>
    <row r="677" spans="1:5" x14ac:dyDescent="0.25">
      <c r="A677" s="15">
        <v>675</v>
      </c>
      <c r="E677">
        <v>303</v>
      </c>
    </row>
    <row r="678" spans="1:5" x14ac:dyDescent="0.25">
      <c r="A678" s="15">
        <v>676</v>
      </c>
      <c r="E678">
        <v>355</v>
      </c>
    </row>
    <row r="679" spans="1:5" x14ac:dyDescent="0.25">
      <c r="A679" s="15">
        <v>677</v>
      </c>
      <c r="B679">
        <v>-1</v>
      </c>
    </row>
    <row r="680" spans="1:5" x14ac:dyDescent="0.25">
      <c r="A680" s="15">
        <v>678</v>
      </c>
      <c r="E680">
        <v>446</v>
      </c>
    </row>
    <row r="681" spans="1:5" x14ac:dyDescent="0.25">
      <c r="A681" s="15">
        <v>679</v>
      </c>
      <c r="C681">
        <v>99</v>
      </c>
    </row>
    <row r="682" spans="1:5" x14ac:dyDescent="0.25">
      <c r="A682" s="15">
        <v>680</v>
      </c>
      <c r="E682">
        <v>408</v>
      </c>
    </row>
    <row r="683" spans="1:5" x14ac:dyDescent="0.25">
      <c r="A683" s="15">
        <v>681</v>
      </c>
      <c r="C683">
        <v>225</v>
      </c>
    </row>
    <row r="684" spans="1:5" x14ac:dyDescent="0.25">
      <c r="A684" s="15">
        <v>682</v>
      </c>
      <c r="E684">
        <v>374</v>
      </c>
    </row>
    <row r="685" spans="1:5" x14ac:dyDescent="0.25">
      <c r="A685" s="15">
        <v>683</v>
      </c>
      <c r="B685">
        <v>-1</v>
      </c>
    </row>
    <row r="686" spans="1:5" x14ac:dyDescent="0.25">
      <c r="A686" s="15">
        <v>684</v>
      </c>
      <c r="E686">
        <v>450</v>
      </c>
    </row>
    <row r="687" spans="1:5" x14ac:dyDescent="0.25">
      <c r="A687" s="15">
        <v>685</v>
      </c>
      <c r="C687">
        <v>137</v>
      </c>
    </row>
    <row r="688" spans="1:5" x14ac:dyDescent="0.25">
      <c r="A688" s="15">
        <v>686</v>
      </c>
      <c r="E688">
        <v>384</v>
      </c>
    </row>
    <row r="689" spans="1:5" x14ac:dyDescent="0.25">
      <c r="A689" s="15">
        <v>687</v>
      </c>
      <c r="C689">
        <v>227</v>
      </c>
    </row>
    <row r="690" spans="1:5" x14ac:dyDescent="0.25">
      <c r="A690" s="15">
        <v>688</v>
      </c>
      <c r="E690">
        <v>342</v>
      </c>
    </row>
    <row r="691" spans="1:5" x14ac:dyDescent="0.25">
      <c r="A691" s="15">
        <v>689</v>
      </c>
      <c r="C691">
        <v>61</v>
      </c>
    </row>
    <row r="692" spans="1:5" x14ac:dyDescent="0.25">
      <c r="A692" s="15">
        <v>690</v>
      </c>
      <c r="E692">
        <v>498</v>
      </c>
    </row>
    <row r="693" spans="1:5" x14ac:dyDescent="0.25">
      <c r="A693" s="15">
        <v>691</v>
      </c>
      <c r="B693">
        <v>-1</v>
      </c>
    </row>
    <row r="694" spans="1:5" x14ac:dyDescent="0.25">
      <c r="A694" s="15">
        <v>692</v>
      </c>
      <c r="E694">
        <v>342</v>
      </c>
    </row>
    <row r="695" spans="1:5" x14ac:dyDescent="0.25">
      <c r="A695" s="15">
        <v>693</v>
      </c>
      <c r="E695">
        <v>321</v>
      </c>
    </row>
    <row r="696" spans="1:5" x14ac:dyDescent="0.25">
      <c r="A696" s="15">
        <v>694</v>
      </c>
      <c r="C696">
        <v>344</v>
      </c>
    </row>
    <row r="697" spans="1:5" x14ac:dyDescent="0.25">
      <c r="A697" s="15">
        <v>695</v>
      </c>
      <c r="C697">
        <v>139</v>
      </c>
    </row>
    <row r="698" spans="1:5" x14ac:dyDescent="0.25">
      <c r="A698" s="15">
        <v>696</v>
      </c>
      <c r="E698">
        <v>456</v>
      </c>
    </row>
    <row r="699" spans="1:5" x14ac:dyDescent="0.25">
      <c r="A699" s="15">
        <v>697</v>
      </c>
      <c r="C699">
        <v>53</v>
      </c>
    </row>
    <row r="700" spans="1:5" x14ac:dyDescent="0.25">
      <c r="A700" s="15">
        <v>698</v>
      </c>
      <c r="C700">
        <v>346</v>
      </c>
    </row>
    <row r="701" spans="1:5" x14ac:dyDescent="0.25">
      <c r="A701" s="15">
        <v>699</v>
      </c>
      <c r="C701">
        <v>231</v>
      </c>
    </row>
    <row r="702" spans="1:5" x14ac:dyDescent="0.25">
      <c r="A702" s="15">
        <v>700</v>
      </c>
      <c r="E702">
        <v>442</v>
      </c>
    </row>
    <row r="703" spans="1:5" x14ac:dyDescent="0.25">
      <c r="A703" s="15">
        <v>701</v>
      </c>
      <c r="B703">
        <v>-1</v>
      </c>
    </row>
    <row r="704" spans="1:5" x14ac:dyDescent="0.25">
      <c r="A704" s="15">
        <v>702</v>
      </c>
      <c r="E704">
        <v>470</v>
      </c>
    </row>
    <row r="705" spans="1:5" x14ac:dyDescent="0.25">
      <c r="A705" s="15">
        <v>703</v>
      </c>
      <c r="C705">
        <v>51</v>
      </c>
    </row>
    <row r="706" spans="1:5" x14ac:dyDescent="0.25">
      <c r="A706" s="15">
        <v>704</v>
      </c>
      <c r="E706">
        <v>370</v>
      </c>
    </row>
    <row r="707" spans="1:5" x14ac:dyDescent="0.25">
      <c r="A707" s="15">
        <v>705</v>
      </c>
      <c r="E707">
        <v>329</v>
      </c>
    </row>
    <row r="708" spans="1:5" x14ac:dyDescent="0.25">
      <c r="A708" s="15">
        <v>706</v>
      </c>
      <c r="C708">
        <v>350</v>
      </c>
    </row>
    <row r="709" spans="1:5" x14ac:dyDescent="0.25">
      <c r="A709" s="15">
        <v>707</v>
      </c>
      <c r="C709">
        <v>103</v>
      </c>
    </row>
    <row r="710" spans="1:5" x14ac:dyDescent="0.25">
      <c r="A710" s="15">
        <v>708</v>
      </c>
      <c r="E710">
        <v>464</v>
      </c>
    </row>
    <row r="711" spans="1:5" x14ac:dyDescent="0.25">
      <c r="A711" s="15">
        <v>709</v>
      </c>
      <c r="B711">
        <v>-1</v>
      </c>
    </row>
    <row r="712" spans="1:5" x14ac:dyDescent="0.25">
      <c r="A712" s="15">
        <v>710</v>
      </c>
      <c r="E712">
        <v>422</v>
      </c>
    </row>
    <row r="713" spans="1:5" x14ac:dyDescent="0.25">
      <c r="A713" s="15">
        <v>711</v>
      </c>
      <c r="E713">
        <v>237</v>
      </c>
    </row>
    <row r="714" spans="1:5" x14ac:dyDescent="0.25">
      <c r="A714" s="15">
        <v>712</v>
      </c>
      <c r="E714">
        <v>352</v>
      </c>
    </row>
    <row r="715" spans="1:5" x14ac:dyDescent="0.25">
      <c r="A715" s="15">
        <v>713</v>
      </c>
      <c r="C715">
        <v>49</v>
      </c>
    </row>
    <row r="716" spans="1:5" x14ac:dyDescent="0.25">
      <c r="A716" s="15">
        <v>714</v>
      </c>
      <c r="E716">
        <v>506</v>
      </c>
    </row>
    <row r="717" spans="1:5" x14ac:dyDescent="0.25">
      <c r="A717" s="15">
        <v>715</v>
      </c>
      <c r="E717">
        <v>227</v>
      </c>
    </row>
    <row r="718" spans="1:5" x14ac:dyDescent="0.25">
      <c r="A718" s="15">
        <v>716</v>
      </c>
      <c r="E718">
        <v>354</v>
      </c>
    </row>
    <row r="719" spans="1:5" x14ac:dyDescent="0.25">
      <c r="A719" s="15">
        <v>717</v>
      </c>
      <c r="C719">
        <v>237</v>
      </c>
    </row>
    <row r="720" spans="1:5" x14ac:dyDescent="0.25">
      <c r="A720" s="15">
        <v>718</v>
      </c>
      <c r="C720">
        <v>356</v>
      </c>
    </row>
    <row r="721" spans="1:5" x14ac:dyDescent="0.25">
      <c r="A721" s="15">
        <v>719</v>
      </c>
      <c r="B721">
        <v>-1</v>
      </c>
    </row>
    <row r="722" spans="1:5" x14ac:dyDescent="0.25">
      <c r="A722" s="15">
        <v>720</v>
      </c>
      <c r="E722">
        <v>498</v>
      </c>
    </row>
    <row r="723" spans="1:5" x14ac:dyDescent="0.25">
      <c r="A723" s="15">
        <v>721</v>
      </c>
      <c r="C723">
        <v>105</v>
      </c>
    </row>
    <row r="724" spans="1:5" x14ac:dyDescent="0.25">
      <c r="A724" s="15">
        <v>722</v>
      </c>
      <c r="E724">
        <v>374</v>
      </c>
    </row>
    <row r="725" spans="1:5" x14ac:dyDescent="0.25">
      <c r="A725" s="15">
        <v>723</v>
      </c>
      <c r="C725">
        <v>239</v>
      </c>
    </row>
    <row r="726" spans="1:5" x14ac:dyDescent="0.25">
      <c r="A726" s="15">
        <v>724</v>
      </c>
      <c r="E726">
        <v>358</v>
      </c>
    </row>
    <row r="727" spans="1:5" x14ac:dyDescent="0.25">
      <c r="A727" s="15">
        <v>725</v>
      </c>
      <c r="E727">
        <v>159</v>
      </c>
    </row>
    <row r="728" spans="1:5" x14ac:dyDescent="0.25">
      <c r="A728" s="15">
        <v>726</v>
      </c>
      <c r="E728">
        <v>494</v>
      </c>
    </row>
    <row r="729" spans="1:5" x14ac:dyDescent="0.25">
      <c r="A729" s="15">
        <v>727</v>
      </c>
      <c r="B729">
        <v>-1</v>
      </c>
    </row>
    <row r="730" spans="1:5" x14ac:dyDescent="0.25">
      <c r="A730" s="15">
        <v>728</v>
      </c>
      <c r="E730">
        <v>424</v>
      </c>
    </row>
    <row r="731" spans="1:5" x14ac:dyDescent="0.25">
      <c r="A731" s="15">
        <v>729</v>
      </c>
      <c r="E731">
        <v>236</v>
      </c>
    </row>
    <row r="732" spans="1:5" x14ac:dyDescent="0.25">
      <c r="A732" s="15">
        <v>730</v>
      </c>
      <c r="E732">
        <v>434</v>
      </c>
    </row>
    <row r="733" spans="1:5" x14ac:dyDescent="0.25">
      <c r="A733" s="15">
        <v>731</v>
      </c>
      <c r="C733">
        <v>55</v>
      </c>
    </row>
    <row r="734" spans="1:5" x14ac:dyDescent="0.25">
      <c r="A734" s="15">
        <v>732</v>
      </c>
      <c r="E734">
        <v>480</v>
      </c>
    </row>
    <row r="735" spans="1:5" x14ac:dyDescent="0.25">
      <c r="A735" s="15">
        <v>733</v>
      </c>
      <c r="B735">
        <v>-1</v>
      </c>
    </row>
    <row r="736" spans="1:5" x14ac:dyDescent="0.25">
      <c r="A736" s="15">
        <v>734</v>
      </c>
      <c r="C736">
        <v>364</v>
      </c>
    </row>
    <row r="737" spans="1:5" x14ac:dyDescent="0.25">
      <c r="A737" s="15">
        <v>735</v>
      </c>
      <c r="E737">
        <v>387</v>
      </c>
    </row>
    <row r="738" spans="1:5" x14ac:dyDescent="0.25">
      <c r="A738" s="15">
        <v>736</v>
      </c>
      <c r="E738">
        <v>372</v>
      </c>
    </row>
    <row r="739" spans="1:5" x14ac:dyDescent="0.25">
      <c r="A739" s="15">
        <v>737</v>
      </c>
      <c r="C739">
        <v>73</v>
      </c>
    </row>
    <row r="740" spans="1:5" x14ac:dyDescent="0.25">
      <c r="A740" s="15">
        <v>738</v>
      </c>
      <c r="E740">
        <v>486</v>
      </c>
    </row>
    <row r="741" spans="1:5" x14ac:dyDescent="0.25">
      <c r="A741" s="15">
        <v>739</v>
      </c>
      <c r="B741">
        <v>-1</v>
      </c>
    </row>
    <row r="742" spans="1:5" x14ac:dyDescent="0.25">
      <c r="A742" s="15">
        <v>740</v>
      </c>
      <c r="E742">
        <v>440</v>
      </c>
    </row>
    <row r="743" spans="1:5" x14ac:dyDescent="0.25">
      <c r="A743" s="15">
        <v>741</v>
      </c>
      <c r="E743">
        <v>301</v>
      </c>
    </row>
    <row r="744" spans="1:5" x14ac:dyDescent="0.25">
      <c r="A744" s="15">
        <v>742</v>
      </c>
      <c r="E744">
        <v>422</v>
      </c>
    </row>
    <row r="745" spans="1:5" x14ac:dyDescent="0.25">
      <c r="A745" s="15">
        <v>743</v>
      </c>
      <c r="B745">
        <v>-1</v>
      </c>
    </row>
    <row r="746" spans="1:5" x14ac:dyDescent="0.25">
      <c r="A746" s="15">
        <v>744</v>
      </c>
      <c r="E746">
        <v>488</v>
      </c>
    </row>
    <row r="747" spans="1:5" x14ac:dyDescent="0.25">
      <c r="A747" s="15">
        <v>745</v>
      </c>
      <c r="C747">
        <v>149</v>
      </c>
    </row>
    <row r="748" spans="1:5" x14ac:dyDescent="0.25">
      <c r="A748" s="15">
        <v>746</v>
      </c>
      <c r="C748">
        <v>370</v>
      </c>
    </row>
    <row r="749" spans="1:5" x14ac:dyDescent="0.25">
      <c r="A749" s="15">
        <v>747</v>
      </c>
      <c r="E749">
        <v>249</v>
      </c>
    </row>
    <row r="750" spans="1:5" x14ac:dyDescent="0.25">
      <c r="A750" s="15">
        <v>748</v>
      </c>
      <c r="E750">
        <v>416</v>
      </c>
    </row>
    <row r="751" spans="1:5" x14ac:dyDescent="0.25">
      <c r="A751" s="15">
        <v>749</v>
      </c>
      <c r="C751">
        <v>109</v>
      </c>
    </row>
    <row r="752" spans="1:5" x14ac:dyDescent="0.25">
      <c r="A752" s="15">
        <v>750</v>
      </c>
      <c r="E752">
        <v>534</v>
      </c>
    </row>
    <row r="753" spans="1:5" x14ac:dyDescent="0.25">
      <c r="A753" s="15">
        <v>751</v>
      </c>
      <c r="B753">
        <v>-1</v>
      </c>
    </row>
    <row r="754" spans="1:5" x14ac:dyDescent="0.25">
      <c r="A754" s="15">
        <v>752</v>
      </c>
      <c r="E754">
        <v>374</v>
      </c>
    </row>
    <row r="755" spans="1:5" x14ac:dyDescent="0.25">
      <c r="A755" s="15">
        <v>753</v>
      </c>
      <c r="C755">
        <v>249</v>
      </c>
    </row>
    <row r="756" spans="1:5" x14ac:dyDescent="0.25">
      <c r="A756" s="15">
        <v>754</v>
      </c>
      <c r="E756">
        <v>410</v>
      </c>
    </row>
    <row r="757" spans="1:5" x14ac:dyDescent="0.25">
      <c r="A757" s="15">
        <v>755</v>
      </c>
      <c r="C757">
        <v>151</v>
      </c>
    </row>
    <row r="758" spans="1:5" x14ac:dyDescent="0.25">
      <c r="A758" s="15">
        <v>756</v>
      </c>
      <c r="E758">
        <v>516</v>
      </c>
    </row>
    <row r="759" spans="1:5" x14ac:dyDescent="0.25">
      <c r="A759" s="15">
        <v>757</v>
      </c>
      <c r="B759">
        <v>-1</v>
      </c>
    </row>
    <row r="760" spans="1:5" x14ac:dyDescent="0.25">
      <c r="A760" s="15">
        <v>758</v>
      </c>
      <c r="C760">
        <v>376</v>
      </c>
    </row>
    <row r="761" spans="1:5" x14ac:dyDescent="0.25">
      <c r="A761" s="15">
        <v>759</v>
      </c>
      <c r="E761">
        <v>311</v>
      </c>
    </row>
    <row r="762" spans="1:5" x14ac:dyDescent="0.25">
      <c r="A762" s="15">
        <v>760</v>
      </c>
      <c r="E762">
        <v>456</v>
      </c>
    </row>
    <row r="763" spans="1:5" x14ac:dyDescent="0.25">
      <c r="A763" s="15">
        <v>761</v>
      </c>
      <c r="B763">
        <v>-1</v>
      </c>
    </row>
    <row r="764" spans="1:5" x14ac:dyDescent="0.25">
      <c r="A764" s="15">
        <v>762</v>
      </c>
      <c r="E764">
        <v>502</v>
      </c>
    </row>
    <row r="765" spans="1:5" x14ac:dyDescent="0.25">
      <c r="A765" s="15">
        <v>763</v>
      </c>
      <c r="C765">
        <v>111</v>
      </c>
    </row>
    <row r="766" spans="1:5" x14ac:dyDescent="0.25">
      <c r="A766" s="15">
        <v>764</v>
      </c>
      <c r="E766">
        <v>378</v>
      </c>
    </row>
    <row r="767" spans="1:5" x14ac:dyDescent="0.25">
      <c r="A767" s="15">
        <v>765</v>
      </c>
      <c r="E767">
        <v>369</v>
      </c>
    </row>
    <row r="768" spans="1:5" x14ac:dyDescent="0.25">
      <c r="A768" s="15">
        <v>766</v>
      </c>
      <c r="C768">
        <v>380</v>
      </c>
    </row>
    <row r="769" spans="1:5" x14ac:dyDescent="0.25">
      <c r="A769" s="15">
        <v>767</v>
      </c>
      <c r="C769">
        <v>67</v>
      </c>
    </row>
    <row r="770" spans="1:5" x14ac:dyDescent="0.25">
      <c r="A770" s="15">
        <v>768</v>
      </c>
      <c r="E770">
        <v>494</v>
      </c>
    </row>
    <row r="771" spans="1:5" x14ac:dyDescent="0.25">
      <c r="A771" s="15">
        <v>769</v>
      </c>
      <c r="B771">
        <v>-1</v>
      </c>
    </row>
    <row r="772" spans="1:5" x14ac:dyDescent="0.25">
      <c r="A772" s="15">
        <v>770</v>
      </c>
      <c r="E772">
        <v>514</v>
      </c>
    </row>
    <row r="773" spans="1:5" x14ac:dyDescent="0.25">
      <c r="A773" s="15">
        <v>771</v>
      </c>
      <c r="C773">
        <v>255</v>
      </c>
    </row>
    <row r="774" spans="1:5" x14ac:dyDescent="0.25">
      <c r="A774" s="15">
        <v>772</v>
      </c>
      <c r="E774">
        <v>382</v>
      </c>
    </row>
    <row r="775" spans="1:5" x14ac:dyDescent="0.25">
      <c r="A775" s="15">
        <v>773</v>
      </c>
      <c r="B775">
        <v>-1</v>
      </c>
    </row>
    <row r="776" spans="1:5" x14ac:dyDescent="0.25">
      <c r="A776" s="15">
        <v>774</v>
      </c>
      <c r="E776">
        <v>510</v>
      </c>
    </row>
    <row r="777" spans="1:5" x14ac:dyDescent="0.25">
      <c r="A777" s="15">
        <v>775</v>
      </c>
      <c r="E777">
        <v>169</v>
      </c>
    </row>
    <row r="778" spans="1:5" x14ac:dyDescent="0.25">
      <c r="A778" s="15">
        <v>776</v>
      </c>
      <c r="E778">
        <v>384</v>
      </c>
    </row>
    <row r="779" spans="1:5" x14ac:dyDescent="0.25">
      <c r="A779" s="15">
        <v>777</v>
      </c>
      <c r="E779">
        <v>337</v>
      </c>
    </row>
    <row r="780" spans="1:5" x14ac:dyDescent="0.25">
      <c r="A780" s="15">
        <v>778</v>
      </c>
      <c r="C780">
        <v>386</v>
      </c>
    </row>
    <row r="781" spans="1:5" x14ac:dyDescent="0.25">
      <c r="A781" s="15">
        <v>779</v>
      </c>
      <c r="C781">
        <v>55</v>
      </c>
    </row>
    <row r="782" spans="1:5" x14ac:dyDescent="0.25">
      <c r="A782" s="15">
        <v>780</v>
      </c>
      <c r="E782">
        <v>564</v>
      </c>
    </row>
    <row r="783" spans="1:5" x14ac:dyDescent="0.25">
      <c r="A783" s="15">
        <v>781</v>
      </c>
      <c r="C783">
        <v>77</v>
      </c>
    </row>
    <row r="784" spans="1:5" x14ac:dyDescent="0.25">
      <c r="A784" s="15">
        <v>782</v>
      </c>
      <c r="E784">
        <v>422</v>
      </c>
    </row>
    <row r="785" spans="1:5" x14ac:dyDescent="0.25">
      <c r="A785" s="15">
        <v>783</v>
      </c>
      <c r="E785">
        <v>271</v>
      </c>
    </row>
    <row r="786" spans="1:5" x14ac:dyDescent="0.25">
      <c r="A786" s="15">
        <v>784</v>
      </c>
      <c r="E786">
        <v>433</v>
      </c>
    </row>
    <row r="787" spans="1:5" x14ac:dyDescent="0.25">
      <c r="A787" s="15">
        <v>785</v>
      </c>
      <c r="C787">
        <v>157</v>
      </c>
    </row>
    <row r="788" spans="1:5" x14ac:dyDescent="0.25">
      <c r="A788" s="15">
        <v>786</v>
      </c>
      <c r="E788">
        <v>518</v>
      </c>
    </row>
    <row r="789" spans="1:5" x14ac:dyDescent="0.25">
      <c r="A789" s="15">
        <v>787</v>
      </c>
      <c r="B789">
        <v>-1</v>
      </c>
    </row>
    <row r="790" spans="1:5" x14ac:dyDescent="0.25">
      <c r="A790" s="15">
        <v>788</v>
      </c>
      <c r="E790">
        <v>390</v>
      </c>
    </row>
    <row r="791" spans="1:5" x14ac:dyDescent="0.25">
      <c r="A791" s="15">
        <v>789</v>
      </c>
      <c r="C791">
        <v>261</v>
      </c>
    </row>
    <row r="792" spans="1:5" x14ac:dyDescent="0.25">
      <c r="A792" s="15">
        <v>790</v>
      </c>
      <c r="E792">
        <v>470</v>
      </c>
    </row>
    <row r="793" spans="1:5" x14ac:dyDescent="0.25">
      <c r="A793" s="15">
        <v>791</v>
      </c>
      <c r="C793">
        <v>115</v>
      </c>
    </row>
    <row r="794" spans="1:5" x14ac:dyDescent="0.25">
      <c r="A794" s="15">
        <v>792</v>
      </c>
      <c r="E794">
        <v>528</v>
      </c>
    </row>
    <row r="795" spans="1:5" x14ac:dyDescent="0.25">
      <c r="A795" s="15">
        <v>793</v>
      </c>
      <c r="C795">
        <v>69</v>
      </c>
    </row>
    <row r="796" spans="1:5" x14ac:dyDescent="0.25">
      <c r="A796" s="15">
        <v>794</v>
      </c>
      <c r="C796">
        <v>394</v>
      </c>
    </row>
    <row r="797" spans="1:5" x14ac:dyDescent="0.25">
      <c r="A797" s="15">
        <v>795</v>
      </c>
      <c r="E797">
        <v>371</v>
      </c>
    </row>
    <row r="798" spans="1:5" x14ac:dyDescent="0.25">
      <c r="A798" s="15">
        <v>796</v>
      </c>
      <c r="E798">
        <v>394</v>
      </c>
    </row>
    <row r="799" spans="1:5" x14ac:dyDescent="0.25">
      <c r="A799" s="15">
        <v>797</v>
      </c>
      <c r="B799">
        <v>-1</v>
      </c>
    </row>
    <row r="800" spans="1:5" x14ac:dyDescent="0.25">
      <c r="A800" s="15">
        <v>798</v>
      </c>
      <c r="E800">
        <v>566</v>
      </c>
    </row>
    <row r="801" spans="1:5" x14ac:dyDescent="0.25">
      <c r="A801" s="15">
        <v>799</v>
      </c>
      <c r="C801">
        <v>59</v>
      </c>
    </row>
    <row r="802" spans="1:5" x14ac:dyDescent="0.25">
      <c r="A802" s="15">
        <v>800</v>
      </c>
      <c r="E802">
        <v>462</v>
      </c>
    </row>
    <row r="803" spans="1:5" x14ac:dyDescent="0.25">
      <c r="A803" s="15">
        <v>801</v>
      </c>
      <c r="E803">
        <v>267</v>
      </c>
    </row>
    <row r="804" spans="1:5" x14ac:dyDescent="0.25">
      <c r="A804" s="15">
        <v>802</v>
      </c>
      <c r="C804">
        <v>398</v>
      </c>
    </row>
    <row r="805" spans="1:5" x14ac:dyDescent="0.25">
      <c r="A805" s="15">
        <v>803</v>
      </c>
      <c r="C805">
        <v>79</v>
      </c>
    </row>
    <row r="806" spans="1:5" x14ac:dyDescent="0.25">
      <c r="A806" s="15">
        <v>804</v>
      </c>
      <c r="E806">
        <v>528</v>
      </c>
    </row>
    <row r="807" spans="1:5" x14ac:dyDescent="0.25">
      <c r="A807" s="15">
        <v>805</v>
      </c>
      <c r="E807">
        <v>269</v>
      </c>
    </row>
    <row r="808" spans="1:5" x14ac:dyDescent="0.25">
      <c r="A808" s="15">
        <v>806</v>
      </c>
      <c r="E808">
        <v>438</v>
      </c>
    </row>
    <row r="809" spans="1:5" x14ac:dyDescent="0.25">
      <c r="A809" s="15">
        <v>807</v>
      </c>
      <c r="C809">
        <v>267</v>
      </c>
    </row>
    <row r="810" spans="1:5" x14ac:dyDescent="0.25">
      <c r="A810" s="15">
        <v>808</v>
      </c>
      <c r="E810">
        <v>400</v>
      </c>
    </row>
    <row r="811" spans="1:5" x14ac:dyDescent="0.25">
      <c r="A811" s="15">
        <v>809</v>
      </c>
      <c r="B811">
        <v>-1</v>
      </c>
    </row>
    <row r="812" spans="1:5" x14ac:dyDescent="0.25">
      <c r="A812" s="15">
        <v>810</v>
      </c>
      <c r="E812">
        <v>574</v>
      </c>
    </row>
    <row r="813" spans="1:5" x14ac:dyDescent="0.25">
      <c r="A813" s="15">
        <v>811</v>
      </c>
      <c r="B813">
        <v>-1</v>
      </c>
    </row>
    <row r="814" spans="1:5" x14ac:dyDescent="0.25">
      <c r="A814" s="15">
        <v>812</v>
      </c>
      <c r="E814">
        <v>464</v>
      </c>
    </row>
    <row r="815" spans="1:5" x14ac:dyDescent="0.25">
      <c r="A815" s="15">
        <v>813</v>
      </c>
      <c r="C815">
        <v>269</v>
      </c>
    </row>
    <row r="816" spans="1:5" x14ac:dyDescent="0.25">
      <c r="A816" s="15">
        <v>814</v>
      </c>
      <c r="E816">
        <v>446</v>
      </c>
    </row>
    <row r="817" spans="1:5" x14ac:dyDescent="0.25">
      <c r="A817" s="15">
        <v>815</v>
      </c>
      <c r="C817">
        <v>163</v>
      </c>
    </row>
    <row r="818" spans="1:5" x14ac:dyDescent="0.25">
      <c r="A818" s="15">
        <v>816</v>
      </c>
      <c r="E818">
        <v>540</v>
      </c>
    </row>
    <row r="819" spans="1:5" x14ac:dyDescent="0.25">
      <c r="A819" s="15">
        <v>817</v>
      </c>
      <c r="C819">
        <v>57</v>
      </c>
    </row>
    <row r="820" spans="1:5" x14ac:dyDescent="0.25">
      <c r="A820" s="15">
        <v>818</v>
      </c>
      <c r="C820">
        <v>406</v>
      </c>
    </row>
    <row r="821" spans="1:5" x14ac:dyDescent="0.25">
      <c r="A821" s="15">
        <v>819</v>
      </c>
      <c r="E821">
        <v>375</v>
      </c>
    </row>
    <row r="822" spans="1:5" x14ac:dyDescent="0.25">
      <c r="A822" s="15">
        <v>820</v>
      </c>
      <c r="E822">
        <v>488</v>
      </c>
    </row>
    <row r="823" spans="1:5" x14ac:dyDescent="0.25">
      <c r="A823" s="15">
        <v>821</v>
      </c>
      <c r="B823">
        <v>-1</v>
      </c>
    </row>
    <row r="824" spans="1:5" x14ac:dyDescent="0.25">
      <c r="A824" s="15">
        <v>822</v>
      </c>
      <c r="E824">
        <v>542</v>
      </c>
    </row>
    <row r="825" spans="1:5" x14ac:dyDescent="0.25">
      <c r="A825" s="15">
        <v>823</v>
      </c>
      <c r="B825">
        <v>-1</v>
      </c>
    </row>
    <row r="826" spans="1:5" x14ac:dyDescent="0.25">
      <c r="A826" s="15">
        <v>824</v>
      </c>
      <c r="E826">
        <v>408</v>
      </c>
    </row>
    <row r="827" spans="1:5" x14ac:dyDescent="0.25">
      <c r="A827" s="15">
        <v>825</v>
      </c>
      <c r="E827">
        <v>413</v>
      </c>
    </row>
    <row r="828" spans="1:5" x14ac:dyDescent="0.25">
      <c r="A828" s="15">
        <v>826</v>
      </c>
      <c r="E828">
        <v>470</v>
      </c>
    </row>
    <row r="829" spans="1:5" x14ac:dyDescent="0.25">
      <c r="A829" s="15">
        <v>827</v>
      </c>
      <c r="B829">
        <v>-1</v>
      </c>
    </row>
    <row r="830" spans="1:5" x14ac:dyDescent="0.25">
      <c r="A830" s="15">
        <v>828</v>
      </c>
      <c r="E830">
        <v>546</v>
      </c>
    </row>
    <row r="831" spans="1:5" x14ac:dyDescent="0.25">
      <c r="A831" s="15">
        <v>829</v>
      </c>
      <c r="B831">
        <v>-1</v>
      </c>
    </row>
    <row r="832" spans="1:5" x14ac:dyDescent="0.25">
      <c r="A832" s="15">
        <v>830</v>
      </c>
      <c r="E832">
        <v>494</v>
      </c>
    </row>
    <row r="833" spans="1:5" x14ac:dyDescent="0.25">
      <c r="A833" s="15">
        <v>831</v>
      </c>
      <c r="C833">
        <v>275</v>
      </c>
    </row>
    <row r="834" spans="1:5" x14ac:dyDescent="0.25">
      <c r="A834" s="15">
        <v>832</v>
      </c>
      <c r="E834">
        <v>434</v>
      </c>
    </row>
    <row r="835" spans="1:5" x14ac:dyDescent="0.25">
      <c r="A835" s="15">
        <v>833</v>
      </c>
      <c r="E835">
        <v>155</v>
      </c>
    </row>
    <row r="836" spans="1:5" x14ac:dyDescent="0.25">
      <c r="A836" s="15">
        <v>834</v>
      </c>
      <c r="E836">
        <v>550</v>
      </c>
    </row>
    <row r="837" spans="1:5" x14ac:dyDescent="0.25">
      <c r="A837" s="15">
        <v>835</v>
      </c>
      <c r="C837">
        <v>167</v>
      </c>
    </row>
    <row r="838" spans="1:5" x14ac:dyDescent="0.25">
      <c r="A838" s="15">
        <v>836</v>
      </c>
      <c r="E838">
        <v>464</v>
      </c>
    </row>
    <row r="839" spans="1:5" x14ac:dyDescent="0.25">
      <c r="A839" s="15">
        <v>837</v>
      </c>
      <c r="E839">
        <v>289</v>
      </c>
    </row>
    <row r="840" spans="1:5" x14ac:dyDescent="0.25">
      <c r="A840" s="15">
        <v>838</v>
      </c>
      <c r="C840">
        <v>416</v>
      </c>
    </row>
    <row r="841" spans="1:5" x14ac:dyDescent="0.25">
      <c r="A841" s="15">
        <v>839</v>
      </c>
      <c r="B841">
        <v>-1</v>
      </c>
    </row>
    <row r="842" spans="1:5" x14ac:dyDescent="0.25">
      <c r="A842" s="15">
        <v>840</v>
      </c>
      <c r="E842">
        <v>616</v>
      </c>
    </row>
    <row r="843" spans="1:5" x14ac:dyDescent="0.25">
      <c r="A843" s="15">
        <v>841</v>
      </c>
      <c r="D843">
        <v>26</v>
      </c>
    </row>
    <row r="844" spans="1:5" x14ac:dyDescent="0.25">
      <c r="A844" s="15">
        <v>842</v>
      </c>
      <c r="C844">
        <v>418</v>
      </c>
    </row>
    <row r="845" spans="1:5" x14ac:dyDescent="0.25">
      <c r="A845" s="15">
        <v>843</v>
      </c>
      <c r="C845">
        <v>279</v>
      </c>
    </row>
    <row r="846" spans="1:5" x14ac:dyDescent="0.25">
      <c r="A846" s="15">
        <v>844</v>
      </c>
      <c r="E846">
        <v>418</v>
      </c>
    </row>
    <row r="847" spans="1:5" x14ac:dyDescent="0.25">
      <c r="A847" s="15">
        <v>845</v>
      </c>
      <c r="E847">
        <v>215</v>
      </c>
    </row>
    <row r="848" spans="1:5" x14ac:dyDescent="0.25">
      <c r="A848" s="15">
        <v>846</v>
      </c>
      <c r="E848">
        <v>558</v>
      </c>
    </row>
    <row r="849" spans="1:5" x14ac:dyDescent="0.25">
      <c r="A849" s="15">
        <v>847</v>
      </c>
      <c r="E849">
        <v>181</v>
      </c>
    </row>
    <row r="850" spans="1:5" x14ac:dyDescent="0.25">
      <c r="A850" s="15">
        <v>848</v>
      </c>
      <c r="E850">
        <v>422</v>
      </c>
    </row>
    <row r="851" spans="1:5" x14ac:dyDescent="0.25">
      <c r="A851" s="15">
        <v>849</v>
      </c>
      <c r="C851">
        <v>281</v>
      </c>
    </row>
    <row r="852" spans="1:5" x14ac:dyDescent="0.25">
      <c r="A852" s="15">
        <v>850</v>
      </c>
      <c r="E852">
        <v>518</v>
      </c>
    </row>
    <row r="853" spans="1:5" x14ac:dyDescent="0.25">
      <c r="A853" s="15">
        <v>851</v>
      </c>
      <c r="C853">
        <v>55</v>
      </c>
    </row>
    <row r="854" spans="1:5" x14ac:dyDescent="0.25">
      <c r="A854" s="15">
        <v>852</v>
      </c>
      <c r="E854">
        <v>560</v>
      </c>
    </row>
    <row r="855" spans="1:5" x14ac:dyDescent="0.25">
      <c r="A855" s="15">
        <v>853</v>
      </c>
      <c r="B855">
        <v>-1</v>
      </c>
    </row>
    <row r="856" spans="1:5" x14ac:dyDescent="0.25">
      <c r="A856" s="15">
        <v>854</v>
      </c>
      <c r="E856">
        <v>486</v>
      </c>
    </row>
    <row r="857" spans="1:5" x14ac:dyDescent="0.25">
      <c r="A857" s="15">
        <v>855</v>
      </c>
      <c r="E857">
        <v>411</v>
      </c>
    </row>
    <row r="858" spans="1:5" x14ac:dyDescent="0.25">
      <c r="A858" s="15">
        <v>856</v>
      </c>
      <c r="E858">
        <v>424</v>
      </c>
    </row>
    <row r="859" spans="1:5" x14ac:dyDescent="0.25">
      <c r="A859" s="15">
        <v>857</v>
      </c>
      <c r="B859">
        <v>-1</v>
      </c>
    </row>
    <row r="860" spans="1:5" x14ac:dyDescent="0.25">
      <c r="A860" s="15">
        <v>858</v>
      </c>
      <c r="E860">
        <v>602</v>
      </c>
    </row>
    <row r="861" spans="1:5" x14ac:dyDescent="0.25">
      <c r="A861" s="15">
        <v>859</v>
      </c>
      <c r="B861">
        <v>-1</v>
      </c>
    </row>
    <row r="862" spans="1:5" x14ac:dyDescent="0.25">
      <c r="A862" s="15">
        <v>860</v>
      </c>
      <c r="E862">
        <v>512</v>
      </c>
    </row>
    <row r="863" spans="1:5" x14ac:dyDescent="0.25">
      <c r="A863" s="15">
        <v>861</v>
      </c>
      <c r="E863">
        <v>373</v>
      </c>
    </row>
    <row r="864" spans="1:5" x14ac:dyDescent="0.25">
      <c r="A864" s="15">
        <v>862</v>
      </c>
      <c r="C864">
        <v>428</v>
      </c>
    </row>
    <row r="865" spans="1:5" x14ac:dyDescent="0.25">
      <c r="A865" s="15">
        <v>863</v>
      </c>
      <c r="B865">
        <v>-1</v>
      </c>
    </row>
    <row r="866" spans="1:5" x14ac:dyDescent="0.25">
      <c r="A866" s="15">
        <v>864</v>
      </c>
      <c r="E866">
        <v>552</v>
      </c>
    </row>
    <row r="867" spans="1:5" x14ac:dyDescent="0.25">
      <c r="A867" s="15">
        <v>865</v>
      </c>
      <c r="C867">
        <v>173</v>
      </c>
    </row>
    <row r="868" spans="1:5" x14ac:dyDescent="0.25">
      <c r="A868" s="15">
        <v>866</v>
      </c>
      <c r="C868">
        <v>430</v>
      </c>
    </row>
    <row r="869" spans="1:5" x14ac:dyDescent="0.25">
      <c r="A869" s="15">
        <v>867</v>
      </c>
      <c r="E869">
        <v>317</v>
      </c>
    </row>
    <row r="870" spans="1:5" x14ac:dyDescent="0.25">
      <c r="A870" s="15">
        <v>868</v>
      </c>
      <c r="E870">
        <v>496</v>
      </c>
    </row>
    <row r="871" spans="1:5" x14ac:dyDescent="0.25">
      <c r="A871" s="15">
        <v>869</v>
      </c>
      <c r="C871">
        <v>85</v>
      </c>
    </row>
    <row r="872" spans="1:5" x14ac:dyDescent="0.25">
      <c r="A872" s="15">
        <v>870</v>
      </c>
      <c r="E872">
        <v>630</v>
      </c>
    </row>
    <row r="873" spans="1:5" x14ac:dyDescent="0.25">
      <c r="A873" s="15">
        <v>871</v>
      </c>
      <c r="C873">
        <v>75</v>
      </c>
    </row>
    <row r="874" spans="1:5" x14ac:dyDescent="0.25">
      <c r="A874" s="15">
        <v>872</v>
      </c>
      <c r="E874">
        <v>432</v>
      </c>
    </row>
    <row r="875" spans="1:5" x14ac:dyDescent="0.25">
      <c r="A875" s="15">
        <v>873</v>
      </c>
      <c r="E875">
        <v>291</v>
      </c>
    </row>
    <row r="876" spans="1:5" x14ac:dyDescent="0.25">
      <c r="A876" s="15">
        <v>874</v>
      </c>
      <c r="E876">
        <v>470</v>
      </c>
    </row>
    <row r="877" spans="1:5" x14ac:dyDescent="0.25">
      <c r="A877" s="15">
        <v>875</v>
      </c>
      <c r="E877">
        <v>267</v>
      </c>
    </row>
    <row r="878" spans="1:5" x14ac:dyDescent="0.25">
      <c r="A878" s="15">
        <v>876</v>
      </c>
      <c r="E878">
        <v>576</v>
      </c>
    </row>
    <row r="879" spans="1:5" x14ac:dyDescent="0.25">
      <c r="A879" s="15">
        <v>877</v>
      </c>
      <c r="B879">
        <v>-1</v>
      </c>
    </row>
    <row r="880" spans="1:5" x14ac:dyDescent="0.25">
      <c r="A880" s="15">
        <v>878</v>
      </c>
      <c r="C880">
        <v>436</v>
      </c>
    </row>
    <row r="881" spans="1:5" x14ac:dyDescent="0.25">
      <c r="A881" s="15">
        <v>879</v>
      </c>
      <c r="C881">
        <v>291</v>
      </c>
    </row>
    <row r="882" spans="1:5" x14ac:dyDescent="0.25">
      <c r="A882" s="15">
        <v>880</v>
      </c>
      <c r="E882">
        <v>540</v>
      </c>
    </row>
    <row r="883" spans="1:5" x14ac:dyDescent="0.25">
      <c r="A883" s="15">
        <v>881</v>
      </c>
      <c r="B883">
        <v>-1</v>
      </c>
    </row>
    <row r="884" spans="1:5" x14ac:dyDescent="0.25">
      <c r="A884" s="15">
        <v>882</v>
      </c>
      <c r="E884">
        <v>612</v>
      </c>
    </row>
    <row r="885" spans="1:5" x14ac:dyDescent="0.25">
      <c r="A885" s="15">
        <v>883</v>
      </c>
      <c r="B885">
        <v>-1</v>
      </c>
    </row>
    <row r="886" spans="1:5" x14ac:dyDescent="0.25">
      <c r="A886" s="15">
        <v>884</v>
      </c>
      <c r="E886">
        <v>488</v>
      </c>
    </row>
    <row r="887" spans="1:5" x14ac:dyDescent="0.25">
      <c r="A887" s="15">
        <v>885</v>
      </c>
      <c r="E887">
        <v>413</v>
      </c>
    </row>
    <row r="888" spans="1:5" x14ac:dyDescent="0.25">
      <c r="A888" s="15">
        <v>886</v>
      </c>
      <c r="C888">
        <v>440</v>
      </c>
    </row>
    <row r="889" spans="1:5" x14ac:dyDescent="0.25">
      <c r="A889" s="15">
        <v>887</v>
      </c>
      <c r="B889">
        <v>-1</v>
      </c>
    </row>
    <row r="890" spans="1:5" x14ac:dyDescent="0.25">
      <c r="A890" s="15">
        <v>888</v>
      </c>
      <c r="E890">
        <v>584</v>
      </c>
    </row>
    <row r="891" spans="1:5" x14ac:dyDescent="0.25">
      <c r="A891" s="15">
        <v>889</v>
      </c>
      <c r="C891">
        <v>129</v>
      </c>
    </row>
    <row r="892" spans="1:5" x14ac:dyDescent="0.25">
      <c r="A892" s="15">
        <v>890</v>
      </c>
      <c r="E892">
        <v>530</v>
      </c>
    </row>
    <row r="893" spans="1:5" x14ac:dyDescent="0.25">
      <c r="A893" s="15">
        <v>891</v>
      </c>
      <c r="E893">
        <v>341</v>
      </c>
    </row>
    <row r="894" spans="1:5" x14ac:dyDescent="0.25">
      <c r="A894" s="15">
        <v>892</v>
      </c>
      <c r="E894">
        <v>442</v>
      </c>
    </row>
    <row r="895" spans="1:5" x14ac:dyDescent="0.25">
      <c r="A895" s="15">
        <v>893</v>
      </c>
      <c r="C895">
        <v>61</v>
      </c>
    </row>
    <row r="896" spans="1:5" x14ac:dyDescent="0.25">
      <c r="A896" s="15">
        <v>894</v>
      </c>
      <c r="E896">
        <v>590</v>
      </c>
    </row>
    <row r="897" spans="1:5" x14ac:dyDescent="0.25">
      <c r="A897" s="15">
        <v>895</v>
      </c>
      <c r="C897">
        <v>179</v>
      </c>
    </row>
    <row r="898" spans="1:5" x14ac:dyDescent="0.25">
      <c r="A898" s="15">
        <v>896</v>
      </c>
      <c r="E898">
        <v>496</v>
      </c>
    </row>
    <row r="899" spans="1:5" x14ac:dyDescent="0.25">
      <c r="A899" s="15">
        <v>897</v>
      </c>
      <c r="E899">
        <v>361</v>
      </c>
    </row>
    <row r="900" spans="1:5" x14ac:dyDescent="0.25">
      <c r="A900" s="15">
        <v>898</v>
      </c>
      <c r="C900">
        <v>446</v>
      </c>
    </row>
    <row r="901" spans="1:5" x14ac:dyDescent="0.25">
      <c r="A901" s="15">
        <v>899</v>
      </c>
      <c r="C901">
        <v>55</v>
      </c>
    </row>
    <row r="902" spans="1:5" x14ac:dyDescent="0.25">
      <c r="A902" s="15">
        <v>900</v>
      </c>
      <c r="E902">
        <v>633</v>
      </c>
    </row>
    <row r="903" spans="1:5" x14ac:dyDescent="0.25">
      <c r="A903" s="15">
        <v>901</v>
      </c>
      <c r="C903">
        <v>65</v>
      </c>
    </row>
    <row r="904" spans="1:5" x14ac:dyDescent="0.25">
      <c r="A904" s="15">
        <v>902</v>
      </c>
      <c r="E904">
        <v>494</v>
      </c>
    </row>
    <row r="905" spans="1:5" x14ac:dyDescent="0.25">
      <c r="A905" s="15">
        <v>903</v>
      </c>
      <c r="E905">
        <v>391</v>
      </c>
    </row>
    <row r="906" spans="1:5" x14ac:dyDescent="0.25">
      <c r="A906" s="15">
        <v>904</v>
      </c>
      <c r="E906">
        <v>448</v>
      </c>
    </row>
    <row r="907" spans="1:5" x14ac:dyDescent="0.25">
      <c r="A907" s="15">
        <v>905</v>
      </c>
      <c r="C907">
        <v>181</v>
      </c>
    </row>
    <row r="908" spans="1:5" x14ac:dyDescent="0.25">
      <c r="A908" s="15">
        <v>906</v>
      </c>
      <c r="E908">
        <v>598</v>
      </c>
    </row>
    <row r="909" spans="1:5" x14ac:dyDescent="0.25">
      <c r="A909" s="15">
        <v>907</v>
      </c>
      <c r="B909">
        <v>-1</v>
      </c>
    </row>
    <row r="910" spans="1:5" x14ac:dyDescent="0.25">
      <c r="A910" s="15">
        <v>908</v>
      </c>
      <c r="E910">
        <v>450</v>
      </c>
    </row>
    <row r="911" spans="1:5" x14ac:dyDescent="0.25">
      <c r="A911" s="15">
        <v>909</v>
      </c>
      <c r="E911">
        <v>303</v>
      </c>
    </row>
    <row r="912" spans="1:5" x14ac:dyDescent="0.25">
      <c r="A912" s="15">
        <v>910</v>
      </c>
      <c r="E912">
        <v>606</v>
      </c>
    </row>
    <row r="913" spans="1:5" x14ac:dyDescent="0.25">
      <c r="A913" s="15">
        <v>911</v>
      </c>
      <c r="B913">
        <v>-1</v>
      </c>
    </row>
    <row r="914" spans="1:5" x14ac:dyDescent="0.25">
      <c r="A914" s="15">
        <v>912</v>
      </c>
      <c r="E914">
        <v>604</v>
      </c>
    </row>
    <row r="915" spans="1:5" x14ac:dyDescent="0.25">
      <c r="A915" s="15">
        <v>913</v>
      </c>
      <c r="C915">
        <v>89</v>
      </c>
    </row>
    <row r="916" spans="1:5" x14ac:dyDescent="0.25">
      <c r="A916" s="15">
        <v>914</v>
      </c>
      <c r="C916">
        <v>454</v>
      </c>
    </row>
    <row r="917" spans="1:5" x14ac:dyDescent="0.25">
      <c r="A917" s="15">
        <v>915</v>
      </c>
      <c r="E917">
        <v>427</v>
      </c>
    </row>
    <row r="918" spans="1:5" x14ac:dyDescent="0.25">
      <c r="A918" s="15">
        <v>916</v>
      </c>
      <c r="E918">
        <v>454</v>
      </c>
    </row>
    <row r="919" spans="1:5" x14ac:dyDescent="0.25">
      <c r="A919" s="15">
        <v>917</v>
      </c>
      <c r="C919">
        <v>133</v>
      </c>
    </row>
    <row r="920" spans="1:5" x14ac:dyDescent="0.25">
      <c r="A920" s="15">
        <v>918</v>
      </c>
      <c r="E920">
        <v>614</v>
      </c>
    </row>
    <row r="921" spans="1:5" x14ac:dyDescent="0.25">
      <c r="A921" s="15">
        <v>919</v>
      </c>
      <c r="B921">
        <v>-1</v>
      </c>
    </row>
    <row r="922" spans="1:5" x14ac:dyDescent="0.25">
      <c r="A922" s="15">
        <v>920</v>
      </c>
      <c r="E922">
        <v>552</v>
      </c>
    </row>
    <row r="923" spans="1:5" x14ac:dyDescent="0.25">
      <c r="A923" s="15">
        <v>921</v>
      </c>
      <c r="C923">
        <v>305</v>
      </c>
    </row>
    <row r="924" spans="1:5" x14ac:dyDescent="0.25">
      <c r="A924" s="15">
        <v>922</v>
      </c>
      <c r="C924">
        <v>458</v>
      </c>
    </row>
    <row r="925" spans="1:5" x14ac:dyDescent="0.25">
      <c r="A925" s="15">
        <v>923</v>
      </c>
      <c r="C925">
        <v>79</v>
      </c>
    </row>
    <row r="926" spans="1:5" x14ac:dyDescent="0.25">
      <c r="A926" s="15">
        <v>924</v>
      </c>
      <c r="E926">
        <v>660</v>
      </c>
    </row>
    <row r="927" spans="1:5" x14ac:dyDescent="0.25">
      <c r="A927" s="15">
        <v>925</v>
      </c>
      <c r="E927">
        <v>199</v>
      </c>
    </row>
    <row r="928" spans="1:5" x14ac:dyDescent="0.25">
      <c r="A928" s="15">
        <v>926</v>
      </c>
      <c r="C928">
        <v>460</v>
      </c>
    </row>
    <row r="929" spans="1:5" x14ac:dyDescent="0.25">
      <c r="A929" s="15">
        <v>927</v>
      </c>
      <c r="E929">
        <v>309</v>
      </c>
    </row>
    <row r="930" spans="1:5" x14ac:dyDescent="0.25">
      <c r="A930" s="15">
        <v>928</v>
      </c>
      <c r="E930">
        <v>468</v>
      </c>
    </row>
    <row r="931" spans="1:5" x14ac:dyDescent="0.25">
      <c r="A931" s="15">
        <v>929</v>
      </c>
      <c r="B931">
        <v>-1</v>
      </c>
    </row>
    <row r="932" spans="1:5" x14ac:dyDescent="0.25">
      <c r="A932" s="15">
        <v>930</v>
      </c>
      <c r="E932">
        <v>674</v>
      </c>
    </row>
    <row r="933" spans="1:5" x14ac:dyDescent="0.25">
      <c r="A933" s="15">
        <v>931</v>
      </c>
      <c r="E933">
        <v>169</v>
      </c>
    </row>
    <row r="934" spans="1:5" x14ac:dyDescent="0.25">
      <c r="A934" s="15">
        <v>932</v>
      </c>
      <c r="E934">
        <v>462</v>
      </c>
    </row>
    <row r="935" spans="1:5" x14ac:dyDescent="0.25">
      <c r="A935" s="15">
        <v>933</v>
      </c>
      <c r="C935">
        <v>309</v>
      </c>
    </row>
    <row r="936" spans="1:5" x14ac:dyDescent="0.25">
      <c r="A936" s="15">
        <v>934</v>
      </c>
      <c r="C936">
        <v>464</v>
      </c>
    </row>
    <row r="937" spans="1:5" x14ac:dyDescent="0.25">
      <c r="A937" s="15">
        <v>935</v>
      </c>
      <c r="E937">
        <v>287</v>
      </c>
    </row>
    <row r="938" spans="1:5" x14ac:dyDescent="0.25">
      <c r="A938" s="15">
        <v>936</v>
      </c>
      <c r="E938">
        <v>624</v>
      </c>
    </row>
    <row r="939" spans="1:5" x14ac:dyDescent="0.25">
      <c r="A939" s="15">
        <v>937</v>
      </c>
      <c r="B939">
        <v>-1</v>
      </c>
    </row>
    <row r="940" spans="1:5" x14ac:dyDescent="0.25">
      <c r="A940" s="15">
        <v>938</v>
      </c>
      <c r="E940">
        <v>534</v>
      </c>
    </row>
    <row r="941" spans="1:5" x14ac:dyDescent="0.25">
      <c r="A941" s="15">
        <v>939</v>
      </c>
      <c r="C941">
        <v>311</v>
      </c>
    </row>
    <row r="942" spans="1:5" x14ac:dyDescent="0.25">
      <c r="A942" s="15">
        <v>940</v>
      </c>
      <c r="E942">
        <v>560</v>
      </c>
    </row>
    <row r="943" spans="1:5" x14ac:dyDescent="0.25">
      <c r="A943" s="15">
        <v>941</v>
      </c>
      <c r="B943">
        <v>-1</v>
      </c>
    </row>
    <row r="944" spans="1:5" x14ac:dyDescent="0.25">
      <c r="A944" s="15">
        <v>942</v>
      </c>
      <c r="E944">
        <v>622</v>
      </c>
    </row>
    <row r="945" spans="1:5" x14ac:dyDescent="0.25">
      <c r="A945" s="15">
        <v>943</v>
      </c>
      <c r="C945">
        <v>59</v>
      </c>
    </row>
    <row r="946" spans="1:5" x14ac:dyDescent="0.25">
      <c r="A946" s="15">
        <v>944</v>
      </c>
      <c r="E946">
        <v>470</v>
      </c>
    </row>
    <row r="947" spans="1:5" x14ac:dyDescent="0.25">
      <c r="A947" s="15">
        <v>945</v>
      </c>
      <c r="E947">
        <v>497</v>
      </c>
    </row>
    <row r="948" spans="1:5" x14ac:dyDescent="0.25">
      <c r="A948" s="15">
        <v>946</v>
      </c>
      <c r="E948">
        <v>518</v>
      </c>
    </row>
    <row r="949" spans="1:5" x14ac:dyDescent="0.25">
      <c r="A949" s="15">
        <v>947</v>
      </c>
      <c r="B949">
        <v>-1</v>
      </c>
    </row>
    <row r="950" spans="1:5" x14ac:dyDescent="0.25">
      <c r="A950" s="15">
        <v>948</v>
      </c>
      <c r="E950">
        <v>624</v>
      </c>
    </row>
    <row r="951" spans="1:5" x14ac:dyDescent="0.25">
      <c r="A951" s="15">
        <v>949</v>
      </c>
      <c r="C951">
        <v>81</v>
      </c>
    </row>
    <row r="952" spans="1:5" x14ac:dyDescent="0.25">
      <c r="A952" s="15">
        <v>950</v>
      </c>
      <c r="E952">
        <v>578</v>
      </c>
    </row>
    <row r="953" spans="1:5" x14ac:dyDescent="0.25">
      <c r="A953" s="15">
        <v>951</v>
      </c>
      <c r="C953">
        <v>315</v>
      </c>
    </row>
    <row r="954" spans="1:5" x14ac:dyDescent="0.25">
      <c r="A954" s="15">
        <v>952</v>
      </c>
      <c r="E954">
        <v>552</v>
      </c>
    </row>
    <row r="955" spans="1:5" x14ac:dyDescent="0.25">
      <c r="A955" s="15">
        <v>953</v>
      </c>
      <c r="B955">
        <v>-1</v>
      </c>
    </row>
    <row r="956" spans="1:5" x14ac:dyDescent="0.25">
      <c r="A956" s="15">
        <v>954</v>
      </c>
      <c r="E956">
        <v>630</v>
      </c>
    </row>
    <row r="957" spans="1:5" x14ac:dyDescent="0.25">
      <c r="A957" s="15">
        <v>955</v>
      </c>
      <c r="C957">
        <v>191</v>
      </c>
    </row>
    <row r="958" spans="1:5" x14ac:dyDescent="0.25">
      <c r="A958" s="15">
        <v>956</v>
      </c>
      <c r="E958">
        <v>474</v>
      </c>
    </row>
    <row r="959" spans="1:5" x14ac:dyDescent="0.25">
      <c r="A959" s="15">
        <v>957</v>
      </c>
      <c r="E959">
        <v>389</v>
      </c>
    </row>
    <row r="960" spans="1:5" x14ac:dyDescent="0.25">
      <c r="A960" s="15">
        <v>958</v>
      </c>
      <c r="C960">
        <v>476</v>
      </c>
    </row>
    <row r="961" spans="1:5" x14ac:dyDescent="0.25">
      <c r="A961" s="15">
        <v>959</v>
      </c>
      <c r="C961">
        <v>139</v>
      </c>
    </row>
    <row r="962" spans="1:5" x14ac:dyDescent="0.25">
      <c r="A962" s="15">
        <v>960</v>
      </c>
      <c r="E962">
        <v>676</v>
      </c>
    </row>
    <row r="963" spans="1:5" x14ac:dyDescent="0.25">
      <c r="A963" s="15">
        <v>961</v>
      </c>
      <c r="D963">
        <v>28</v>
      </c>
    </row>
    <row r="964" spans="1:5" x14ac:dyDescent="0.25">
      <c r="A964" s="15">
        <v>962</v>
      </c>
      <c r="E964">
        <v>522</v>
      </c>
    </row>
    <row r="965" spans="1:5" x14ac:dyDescent="0.25">
      <c r="A965" s="15">
        <v>963</v>
      </c>
      <c r="E965">
        <v>321</v>
      </c>
    </row>
    <row r="966" spans="1:5" x14ac:dyDescent="0.25">
      <c r="A966" s="15">
        <v>964</v>
      </c>
      <c r="E966">
        <v>478</v>
      </c>
    </row>
    <row r="967" spans="1:5" x14ac:dyDescent="0.25">
      <c r="A967" s="15">
        <v>965</v>
      </c>
      <c r="C967">
        <v>193</v>
      </c>
    </row>
    <row r="968" spans="1:5" x14ac:dyDescent="0.25">
      <c r="A968" s="15">
        <v>966</v>
      </c>
      <c r="E968">
        <v>686</v>
      </c>
    </row>
    <row r="969" spans="1:5" x14ac:dyDescent="0.25">
      <c r="A969" s="15">
        <v>967</v>
      </c>
      <c r="B969">
        <v>-1</v>
      </c>
    </row>
    <row r="970" spans="1:5" x14ac:dyDescent="0.25">
      <c r="A970" s="15">
        <v>968</v>
      </c>
      <c r="E970">
        <v>516</v>
      </c>
    </row>
    <row r="971" spans="1:5" x14ac:dyDescent="0.25">
      <c r="A971" s="15">
        <v>969</v>
      </c>
      <c r="E971">
        <v>385</v>
      </c>
    </row>
    <row r="972" spans="1:5" x14ac:dyDescent="0.25">
      <c r="A972" s="15">
        <v>970</v>
      </c>
      <c r="E972">
        <v>578</v>
      </c>
    </row>
    <row r="973" spans="1:5" x14ac:dyDescent="0.25">
      <c r="A973" s="15">
        <v>971</v>
      </c>
      <c r="B973">
        <v>-1</v>
      </c>
    </row>
    <row r="974" spans="1:5" x14ac:dyDescent="0.25">
      <c r="A974" s="15">
        <v>972</v>
      </c>
      <c r="E974">
        <v>630</v>
      </c>
    </row>
    <row r="975" spans="1:5" x14ac:dyDescent="0.25">
      <c r="A975" s="15">
        <v>973</v>
      </c>
      <c r="C975">
        <v>141</v>
      </c>
    </row>
    <row r="976" spans="1:5" x14ac:dyDescent="0.25">
      <c r="A976" s="15">
        <v>974</v>
      </c>
      <c r="C976">
        <v>484</v>
      </c>
    </row>
    <row r="977" spans="1:5" x14ac:dyDescent="0.25">
      <c r="A977" s="15">
        <v>975</v>
      </c>
      <c r="E977">
        <v>483</v>
      </c>
    </row>
    <row r="978" spans="1:5" x14ac:dyDescent="0.25">
      <c r="A978" s="15">
        <v>976</v>
      </c>
      <c r="E978">
        <v>486</v>
      </c>
    </row>
    <row r="979" spans="1:5" x14ac:dyDescent="0.25">
      <c r="A979" s="15">
        <v>977</v>
      </c>
      <c r="B979">
        <v>-1</v>
      </c>
    </row>
    <row r="980" spans="1:5" x14ac:dyDescent="0.25">
      <c r="A980" s="15">
        <v>978</v>
      </c>
      <c r="E980">
        <v>646</v>
      </c>
    </row>
    <row r="981" spans="1:5" x14ac:dyDescent="0.25">
      <c r="A981" s="15">
        <v>979</v>
      </c>
      <c r="C981">
        <v>95</v>
      </c>
    </row>
    <row r="982" spans="1:5" x14ac:dyDescent="0.25">
      <c r="A982" s="15">
        <v>980</v>
      </c>
      <c r="E982">
        <v>626</v>
      </c>
    </row>
    <row r="983" spans="1:5" x14ac:dyDescent="0.25">
      <c r="A983" s="15">
        <v>981</v>
      </c>
      <c r="E983">
        <v>327</v>
      </c>
    </row>
    <row r="984" spans="1:5" x14ac:dyDescent="0.25">
      <c r="A984" s="15">
        <v>982</v>
      </c>
      <c r="C984">
        <v>488</v>
      </c>
    </row>
    <row r="985" spans="1:5" x14ac:dyDescent="0.25">
      <c r="A985" s="15">
        <v>983</v>
      </c>
      <c r="B985">
        <v>-1</v>
      </c>
    </row>
    <row r="986" spans="1:5" x14ac:dyDescent="0.25">
      <c r="A986" s="15">
        <v>984</v>
      </c>
      <c r="E986">
        <v>648</v>
      </c>
    </row>
    <row r="987" spans="1:5" x14ac:dyDescent="0.25">
      <c r="A987" s="15">
        <v>985</v>
      </c>
      <c r="C987">
        <v>197</v>
      </c>
    </row>
    <row r="988" spans="1:5" x14ac:dyDescent="0.25">
      <c r="A988" s="15">
        <v>986</v>
      </c>
      <c r="E988">
        <v>530</v>
      </c>
    </row>
    <row r="989" spans="1:5" x14ac:dyDescent="0.25">
      <c r="A989" s="15">
        <v>987</v>
      </c>
      <c r="E989">
        <v>427</v>
      </c>
    </row>
    <row r="990" spans="1:5" x14ac:dyDescent="0.25">
      <c r="A990" s="15">
        <v>988</v>
      </c>
      <c r="E990">
        <v>544</v>
      </c>
    </row>
    <row r="991" spans="1:5" x14ac:dyDescent="0.25">
      <c r="A991" s="15">
        <v>989</v>
      </c>
      <c r="C991">
        <v>61</v>
      </c>
    </row>
    <row r="992" spans="1:5" x14ac:dyDescent="0.25">
      <c r="A992" s="15">
        <v>990</v>
      </c>
      <c r="E992">
        <v>726</v>
      </c>
    </row>
    <row r="993" spans="1:5" x14ac:dyDescent="0.25">
      <c r="A993" s="15">
        <v>991</v>
      </c>
      <c r="B993">
        <v>-1</v>
      </c>
    </row>
    <row r="994" spans="1:5" x14ac:dyDescent="0.25">
      <c r="A994" s="15">
        <v>992</v>
      </c>
      <c r="E994">
        <v>500</v>
      </c>
    </row>
    <row r="995" spans="1:5" x14ac:dyDescent="0.25">
      <c r="A995" s="15">
        <v>993</v>
      </c>
      <c r="C995">
        <v>329</v>
      </c>
    </row>
    <row r="996" spans="1:5" x14ac:dyDescent="0.25">
      <c r="A996" s="15">
        <v>994</v>
      </c>
      <c r="E996">
        <v>566</v>
      </c>
    </row>
    <row r="997" spans="1:5" x14ac:dyDescent="0.25">
      <c r="A997" s="15">
        <v>995</v>
      </c>
      <c r="C997">
        <v>199</v>
      </c>
    </row>
    <row r="998" spans="1:5" x14ac:dyDescent="0.25">
      <c r="A998" s="15">
        <v>996</v>
      </c>
      <c r="E998">
        <v>656</v>
      </c>
    </row>
    <row r="999" spans="1:5" x14ac:dyDescent="0.25">
      <c r="A999" s="15">
        <v>997</v>
      </c>
      <c r="B999">
        <v>-1</v>
      </c>
    </row>
    <row r="1000" spans="1:5" x14ac:dyDescent="0.25">
      <c r="A1000" s="15">
        <v>998</v>
      </c>
      <c r="C1000">
        <v>496</v>
      </c>
    </row>
    <row r="1001" spans="1:5" x14ac:dyDescent="0.25">
      <c r="A1001" s="15">
        <v>999</v>
      </c>
      <c r="E1001">
        <v>343</v>
      </c>
    </row>
    <row r="1002" spans="1:5" x14ac:dyDescent="0.25">
      <c r="A1002" s="15">
        <v>1000</v>
      </c>
      <c r="E1002">
        <v>584</v>
      </c>
    </row>
    <row r="1004" spans="1:5" ht="16.5" x14ac:dyDescent="0.25">
      <c r="A1004" s="6" t="s">
        <v>117</v>
      </c>
    </row>
    <row r="1005" spans="1:5" x14ac:dyDescent="0.25">
      <c r="A1005" s="15" t="s">
        <v>118</v>
      </c>
    </row>
    <row r="1006" spans="1:5" x14ac:dyDescent="0.25">
      <c r="A1006" s="15" t="s">
        <v>119</v>
      </c>
    </row>
    <row r="1007" spans="1:5" x14ac:dyDescent="0.25">
      <c r="A1007" s="15" t="s">
        <v>120</v>
      </c>
    </row>
    <row r="1008" spans="1:5" x14ac:dyDescent="0.25">
      <c r="A1008" s="15" t="s">
        <v>121</v>
      </c>
    </row>
    <row r="1009" spans="1:1" x14ac:dyDescent="0.25">
      <c r="A1009" s="15" t="s">
        <v>122</v>
      </c>
    </row>
  </sheetData>
  <mergeCells count="1">
    <mergeCell ref="A1:E1"/>
  </mergeCell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44210"/>
  </sheetPr>
  <dimension ref="A1:E509"/>
  <sheetViews>
    <sheetView workbookViewId="0">
      <selection sqref="A1:E1"/>
    </sheetView>
  </sheetViews>
  <sheetFormatPr defaultRowHeight="15" x14ac:dyDescent="0.25"/>
  <cols>
    <col min="1" max="1" width="6" customWidth="1"/>
    <col min="2" max="2" width="10" customWidth="1"/>
    <col min="3" max="3" width="8" customWidth="1"/>
    <col min="4" max="4" width="12" customWidth="1"/>
    <col min="5" max="5" width="10" customWidth="1"/>
  </cols>
  <sheetData>
    <row r="1" spans="1:5" ht="20.25" x14ac:dyDescent="0.25">
      <c r="A1" s="52" t="s">
        <v>123</v>
      </c>
      <c r="B1" s="53"/>
      <c r="C1" s="53"/>
      <c r="D1" s="53"/>
      <c r="E1" s="53"/>
    </row>
    <row r="2" spans="1:5" ht="25.5" x14ac:dyDescent="0.25">
      <c r="A2" s="1" t="s">
        <v>1</v>
      </c>
      <c r="B2" s="1" t="s">
        <v>124</v>
      </c>
      <c r="C2" s="1" t="s">
        <v>3</v>
      </c>
      <c r="D2" s="1" t="s">
        <v>125</v>
      </c>
      <c r="E2" s="1" t="s">
        <v>126</v>
      </c>
    </row>
    <row r="3" spans="1:5" x14ac:dyDescent="0.25">
      <c r="A3" s="2">
        <v>2</v>
      </c>
      <c r="B3" s="2">
        <v>1</v>
      </c>
      <c r="C3" s="2">
        <v>2</v>
      </c>
      <c r="D3" s="22">
        <f t="shared" ref="D3:D66" si="0">B3/C3</f>
        <v>0.5</v>
      </c>
      <c r="E3" s="19" t="str">
        <f t="shared" ref="E3:E66" si="1">IF(C3=2,"PRIME","")</f>
        <v>PRIME</v>
      </c>
    </row>
    <row r="4" spans="1:5" x14ac:dyDescent="0.25">
      <c r="A4" s="2">
        <v>3</v>
      </c>
      <c r="B4" s="2">
        <v>1</v>
      </c>
      <c r="C4" s="2">
        <v>2</v>
      </c>
      <c r="D4" s="22">
        <f t="shared" si="0"/>
        <v>0.5</v>
      </c>
      <c r="E4" s="19" t="str">
        <f t="shared" si="1"/>
        <v>PRIME</v>
      </c>
    </row>
    <row r="5" spans="1:5" x14ac:dyDescent="0.25">
      <c r="A5" s="2">
        <v>4</v>
      </c>
      <c r="B5" s="2">
        <v>2</v>
      </c>
      <c r="C5" s="2">
        <v>3</v>
      </c>
      <c r="D5" s="22">
        <f t="shared" si="0"/>
        <v>0.66666666666666663</v>
      </c>
      <c r="E5" s="19" t="str">
        <f t="shared" si="1"/>
        <v/>
      </c>
    </row>
    <row r="6" spans="1:5" x14ac:dyDescent="0.25">
      <c r="A6" s="2">
        <v>5</v>
      </c>
      <c r="B6" s="2">
        <v>1</v>
      </c>
      <c r="C6" s="2">
        <v>2</v>
      </c>
      <c r="D6" s="22">
        <f t="shared" si="0"/>
        <v>0.5</v>
      </c>
      <c r="E6" s="19" t="str">
        <f t="shared" si="1"/>
        <v>PRIME</v>
      </c>
    </row>
    <row r="7" spans="1:5" x14ac:dyDescent="0.25">
      <c r="A7" s="2">
        <v>6</v>
      </c>
      <c r="B7" s="2">
        <v>4</v>
      </c>
      <c r="C7" s="2">
        <v>4</v>
      </c>
      <c r="D7" s="22">
        <f t="shared" si="0"/>
        <v>1</v>
      </c>
      <c r="E7" s="19" t="str">
        <f t="shared" si="1"/>
        <v/>
      </c>
    </row>
    <row r="8" spans="1:5" x14ac:dyDescent="0.25">
      <c r="A8" s="2">
        <v>7</v>
      </c>
      <c r="B8" s="2">
        <v>1</v>
      </c>
      <c r="C8" s="2">
        <v>2</v>
      </c>
      <c r="D8" s="22">
        <f t="shared" si="0"/>
        <v>0.5</v>
      </c>
      <c r="E8" s="19" t="str">
        <f t="shared" si="1"/>
        <v>PRIME</v>
      </c>
    </row>
    <row r="9" spans="1:5" x14ac:dyDescent="0.25">
      <c r="A9" s="2">
        <v>8</v>
      </c>
      <c r="B9" s="2">
        <v>4</v>
      </c>
      <c r="C9" s="2">
        <v>4</v>
      </c>
      <c r="D9" s="22">
        <f t="shared" si="0"/>
        <v>1</v>
      </c>
      <c r="E9" s="19" t="str">
        <f t="shared" si="1"/>
        <v/>
      </c>
    </row>
    <row r="10" spans="1:5" x14ac:dyDescent="0.25">
      <c r="A10" s="2">
        <v>9</v>
      </c>
      <c r="B10" s="2">
        <v>3</v>
      </c>
      <c r="C10" s="2">
        <v>3</v>
      </c>
      <c r="D10" s="22">
        <f t="shared" si="0"/>
        <v>1</v>
      </c>
      <c r="E10" s="19" t="str">
        <f t="shared" si="1"/>
        <v/>
      </c>
    </row>
    <row r="11" spans="1:5" x14ac:dyDescent="0.25">
      <c r="A11" s="2">
        <v>10</v>
      </c>
      <c r="B11" s="2">
        <v>6</v>
      </c>
      <c r="C11" s="2">
        <v>4</v>
      </c>
      <c r="D11" s="22">
        <f t="shared" si="0"/>
        <v>1.5</v>
      </c>
      <c r="E11" s="19" t="str">
        <f t="shared" si="1"/>
        <v/>
      </c>
    </row>
    <row r="12" spans="1:5" x14ac:dyDescent="0.25">
      <c r="A12" s="2">
        <v>11</v>
      </c>
      <c r="B12" s="2">
        <v>1</v>
      </c>
      <c r="C12" s="2">
        <v>2</v>
      </c>
      <c r="D12" s="22">
        <f t="shared" si="0"/>
        <v>0.5</v>
      </c>
      <c r="E12" s="19" t="str">
        <f t="shared" si="1"/>
        <v>PRIME</v>
      </c>
    </row>
    <row r="13" spans="1:5" x14ac:dyDescent="0.25">
      <c r="A13" s="2">
        <v>12</v>
      </c>
      <c r="B13" s="2">
        <v>8</v>
      </c>
      <c r="C13" s="2">
        <v>6</v>
      </c>
      <c r="D13" s="22">
        <f t="shared" si="0"/>
        <v>1.3333333333333333</v>
      </c>
      <c r="E13" s="19" t="str">
        <f t="shared" si="1"/>
        <v/>
      </c>
    </row>
    <row r="14" spans="1:5" x14ac:dyDescent="0.25">
      <c r="A14" s="2">
        <v>13</v>
      </c>
      <c r="B14" s="2">
        <v>1</v>
      </c>
      <c r="C14" s="2">
        <v>2</v>
      </c>
      <c r="D14" s="22">
        <f t="shared" si="0"/>
        <v>0.5</v>
      </c>
      <c r="E14" s="19" t="str">
        <f t="shared" si="1"/>
        <v>PRIME</v>
      </c>
    </row>
    <row r="15" spans="1:5" x14ac:dyDescent="0.25">
      <c r="A15" s="2">
        <v>14</v>
      </c>
      <c r="B15" s="2">
        <v>8</v>
      </c>
      <c r="C15" s="2">
        <v>4</v>
      </c>
      <c r="D15" s="22">
        <f t="shared" si="0"/>
        <v>2</v>
      </c>
      <c r="E15" s="19" t="str">
        <f t="shared" si="1"/>
        <v/>
      </c>
    </row>
    <row r="16" spans="1:5" x14ac:dyDescent="0.25">
      <c r="A16" s="2">
        <v>15</v>
      </c>
      <c r="B16" s="2">
        <v>7</v>
      </c>
      <c r="C16" s="2">
        <v>4</v>
      </c>
      <c r="D16" s="22">
        <f t="shared" si="0"/>
        <v>1.75</v>
      </c>
      <c r="E16" s="19" t="str">
        <f t="shared" si="1"/>
        <v/>
      </c>
    </row>
    <row r="17" spans="1:5" x14ac:dyDescent="0.25">
      <c r="A17" s="2">
        <v>16</v>
      </c>
      <c r="B17" s="2">
        <v>8</v>
      </c>
      <c r="C17" s="2">
        <v>5</v>
      </c>
      <c r="D17" s="22">
        <f t="shared" si="0"/>
        <v>1.6</v>
      </c>
      <c r="E17" s="19" t="str">
        <f t="shared" si="1"/>
        <v/>
      </c>
    </row>
    <row r="18" spans="1:5" x14ac:dyDescent="0.25">
      <c r="A18" s="2">
        <v>17</v>
      </c>
      <c r="B18" s="2">
        <v>1</v>
      </c>
      <c r="C18" s="2">
        <v>2</v>
      </c>
      <c r="D18" s="22">
        <f t="shared" si="0"/>
        <v>0.5</v>
      </c>
      <c r="E18" s="19" t="str">
        <f t="shared" si="1"/>
        <v>PRIME</v>
      </c>
    </row>
    <row r="19" spans="1:5" x14ac:dyDescent="0.25">
      <c r="A19" s="2">
        <v>18</v>
      </c>
      <c r="B19" s="2">
        <v>12</v>
      </c>
      <c r="C19" s="2">
        <v>6</v>
      </c>
      <c r="D19" s="22">
        <f t="shared" si="0"/>
        <v>2</v>
      </c>
      <c r="E19" s="19" t="str">
        <f t="shared" si="1"/>
        <v/>
      </c>
    </row>
    <row r="20" spans="1:5" x14ac:dyDescent="0.25">
      <c r="A20" s="2">
        <v>19</v>
      </c>
      <c r="B20" s="2">
        <v>1</v>
      </c>
      <c r="C20" s="2">
        <v>2</v>
      </c>
      <c r="D20" s="22">
        <f t="shared" si="0"/>
        <v>0.5</v>
      </c>
      <c r="E20" s="19" t="str">
        <f t="shared" si="1"/>
        <v>PRIME</v>
      </c>
    </row>
    <row r="21" spans="1:5" x14ac:dyDescent="0.25">
      <c r="A21" s="2">
        <v>20</v>
      </c>
      <c r="B21" s="2">
        <v>12</v>
      </c>
      <c r="C21" s="2">
        <v>6</v>
      </c>
      <c r="D21" s="22">
        <f t="shared" si="0"/>
        <v>2</v>
      </c>
      <c r="E21" s="19" t="str">
        <f t="shared" si="1"/>
        <v/>
      </c>
    </row>
    <row r="22" spans="1:5" x14ac:dyDescent="0.25">
      <c r="A22" s="2">
        <v>21</v>
      </c>
      <c r="B22" s="2">
        <v>9</v>
      </c>
      <c r="C22" s="2">
        <v>4</v>
      </c>
      <c r="D22" s="22">
        <f t="shared" si="0"/>
        <v>2.25</v>
      </c>
      <c r="E22" s="19" t="str">
        <f t="shared" si="1"/>
        <v/>
      </c>
    </row>
    <row r="23" spans="1:5" x14ac:dyDescent="0.25">
      <c r="A23" s="2">
        <v>22</v>
      </c>
      <c r="B23" s="2">
        <v>12</v>
      </c>
      <c r="C23" s="2">
        <v>4</v>
      </c>
      <c r="D23" s="22">
        <f t="shared" si="0"/>
        <v>3</v>
      </c>
      <c r="E23" s="19" t="str">
        <f t="shared" si="1"/>
        <v/>
      </c>
    </row>
    <row r="24" spans="1:5" x14ac:dyDescent="0.25">
      <c r="A24" s="2">
        <v>23</v>
      </c>
      <c r="B24" s="2">
        <v>1</v>
      </c>
      <c r="C24" s="2">
        <v>2</v>
      </c>
      <c r="D24" s="22">
        <f t="shared" si="0"/>
        <v>0.5</v>
      </c>
      <c r="E24" s="19" t="str">
        <f t="shared" si="1"/>
        <v>PRIME</v>
      </c>
    </row>
    <row r="25" spans="1:5" x14ac:dyDescent="0.25">
      <c r="A25" s="2">
        <v>24</v>
      </c>
      <c r="B25" s="2">
        <v>16</v>
      </c>
      <c r="C25" s="2">
        <v>8</v>
      </c>
      <c r="D25" s="22">
        <f t="shared" si="0"/>
        <v>2</v>
      </c>
      <c r="E25" s="19" t="str">
        <f t="shared" si="1"/>
        <v/>
      </c>
    </row>
    <row r="26" spans="1:5" x14ac:dyDescent="0.25">
      <c r="A26" s="2">
        <v>25</v>
      </c>
      <c r="B26" s="2">
        <v>5</v>
      </c>
      <c r="C26" s="2">
        <v>3</v>
      </c>
      <c r="D26" s="22">
        <f t="shared" si="0"/>
        <v>1.6666666666666667</v>
      </c>
      <c r="E26" s="19" t="str">
        <f t="shared" si="1"/>
        <v/>
      </c>
    </row>
    <row r="27" spans="1:5" x14ac:dyDescent="0.25">
      <c r="A27" s="2">
        <v>26</v>
      </c>
      <c r="B27" s="2">
        <v>14</v>
      </c>
      <c r="C27" s="2">
        <v>4</v>
      </c>
      <c r="D27" s="22">
        <f t="shared" si="0"/>
        <v>3.5</v>
      </c>
      <c r="E27" s="19" t="str">
        <f t="shared" si="1"/>
        <v/>
      </c>
    </row>
    <row r="28" spans="1:5" x14ac:dyDescent="0.25">
      <c r="A28" s="2">
        <v>27</v>
      </c>
      <c r="B28" s="2">
        <v>9</v>
      </c>
      <c r="C28" s="2">
        <v>4</v>
      </c>
      <c r="D28" s="22">
        <f t="shared" si="0"/>
        <v>2.25</v>
      </c>
      <c r="E28" s="19" t="str">
        <f t="shared" si="1"/>
        <v/>
      </c>
    </row>
    <row r="29" spans="1:5" x14ac:dyDescent="0.25">
      <c r="A29" s="2">
        <v>28</v>
      </c>
      <c r="B29" s="2">
        <v>16</v>
      </c>
      <c r="C29" s="2">
        <v>6</v>
      </c>
      <c r="D29" s="22">
        <f t="shared" si="0"/>
        <v>2.6666666666666665</v>
      </c>
      <c r="E29" s="19" t="str">
        <f t="shared" si="1"/>
        <v/>
      </c>
    </row>
    <row r="30" spans="1:5" x14ac:dyDescent="0.25">
      <c r="A30" s="2">
        <v>29</v>
      </c>
      <c r="B30" s="2">
        <v>1</v>
      </c>
      <c r="C30" s="2">
        <v>2</v>
      </c>
      <c r="D30" s="22">
        <f t="shared" si="0"/>
        <v>0.5</v>
      </c>
      <c r="E30" s="19" t="str">
        <f t="shared" si="1"/>
        <v>PRIME</v>
      </c>
    </row>
    <row r="31" spans="1:5" x14ac:dyDescent="0.25">
      <c r="A31" s="2">
        <v>30</v>
      </c>
      <c r="B31" s="2">
        <v>22</v>
      </c>
      <c r="C31" s="2">
        <v>8</v>
      </c>
      <c r="D31" s="22">
        <f t="shared" si="0"/>
        <v>2.75</v>
      </c>
      <c r="E31" s="19" t="str">
        <f t="shared" si="1"/>
        <v/>
      </c>
    </row>
    <row r="32" spans="1:5" x14ac:dyDescent="0.25">
      <c r="A32" s="2">
        <v>31</v>
      </c>
      <c r="B32" s="2">
        <v>1</v>
      </c>
      <c r="C32" s="2">
        <v>2</v>
      </c>
      <c r="D32" s="22">
        <f t="shared" si="0"/>
        <v>0.5</v>
      </c>
      <c r="E32" s="19" t="str">
        <f t="shared" si="1"/>
        <v>PRIME</v>
      </c>
    </row>
    <row r="33" spans="1:5" x14ac:dyDescent="0.25">
      <c r="A33" s="2">
        <v>32</v>
      </c>
      <c r="B33" s="2">
        <v>16</v>
      </c>
      <c r="C33" s="2">
        <v>6</v>
      </c>
      <c r="D33" s="22">
        <f t="shared" si="0"/>
        <v>2.6666666666666665</v>
      </c>
      <c r="E33" s="19" t="str">
        <f t="shared" si="1"/>
        <v/>
      </c>
    </row>
    <row r="34" spans="1:5" x14ac:dyDescent="0.25">
      <c r="A34" s="2">
        <v>33</v>
      </c>
      <c r="B34" s="2">
        <v>13</v>
      </c>
      <c r="C34" s="2">
        <v>4</v>
      </c>
      <c r="D34" s="22">
        <f t="shared" si="0"/>
        <v>3.25</v>
      </c>
      <c r="E34" s="19" t="str">
        <f t="shared" si="1"/>
        <v/>
      </c>
    </row>
    <row r="35" spans="1:5" x14ac:dyDescent="0.25">
      <c r="A35" s="2">
        <v>34</v>
      </c>
      <c r="B35" s="2">
        <v>18</v>
      </c>
      <c r="C35" s="2">
        <v>4</v>
      </c>
      <c r="D35" s="22">
        <f t="shared" si="0"/>
        <v>4.5</v>
      </c>
      <c r="E35" s="19" t="str">
        <f t="shared" si="1"/>
        <v/>
      </c>
    </row>
    <row r="36" spans="1:5" x14ac:dyDescent="0.25">
      <c r="A36" s="2">
        <v>35</v>
      </c>
      <c r="B36" s="2">
        <v>11</v>
      </c>
      <c r="C36" s="2">
        <v>4</v>
      </c>
      <c r="D36" s="22">
        <f t="shared" si="0"/>
        <v>2.75</v>
      </c>
      <c r="E36" s="19" t="str">
        <f t="shared" si="1"/>
        <v/>
      </c>
    </row>
    <row r="37" spans="1:5" x14ac:dyDescent="0.25">
      <c r="A37" s="2">
        <v>36</v>
      </c>
      <c r="B37" s="2">
        <v>24</v>
      </c>
      <c r="C37" s="2">
        <v>9</v>
      </c>
      <c r="D37" s="22">
        <f t="shared" si="0"/>
        <v>2.6666666666666665</v>
      </c>
      <c r="E37" s="19" t="str">
        <f t="shared" si="1"/>
        <v/>
      </c>
    </row>
    <row r="38" spans="1:5" x14ac:dyDescent="0.25">
      <c r="A38" s="2">
        <v>37</v>
      </c>
      <c r="B38" s="2">
        <v>1</v>
      </c>
      <c r="C38" s="2">
        <v>2</v>
      </c>
      <c r="D38" s="22">
        <f t="shared" si="0"/>
        <v>0.5</v>
      </c>
      <c r="E38" s="19" t="str">
        <f t="shared" si="1"/>
        <v>PRIME</v>
      </c>
    </row>
    <row r="39" spans="1:5" x14ac:dyDescent="0.25">
      <c r="A39" s="2">
        <v>38</v>
      </c>
      <c r="B39" s="2">
        <v>20</v>
      </c>
      <c r="C39" s="2">
        <v>4</v>
      </c>
      <c r="D39" s="22">
        <f t="shared" si="0"/>
        <v>5</v>
      </c>
      <c r="E39" s="19" t="str">
        <f t="shared" si="1"/>
        <v/>
      </c>
    </row>
    <row r="40" spans="1:5" x14ac:dyDescent="0.25">
      <c r="A40" s="2">
        <v>39</v>
      </c>
      <c r="B40" s="2">
        <v>15</v>
      </c>
      <c r="C40" s="2">
        <v>4</v>
      </c>
      <c r="D40" s="22">
        <f t="shared" si="0"/>
        <v>3.75</v>
      </c>
      <c r="E40" s="19" t="str">
        <f t="shared" si="1"/>
        <v/>
      </c>
    </row>
    <row r="41" spans="1:5" x14ac:dyDescent="0.25">
      <c r="A41" s="2">
        <v>40</v>
      </c>
      <c r="B41" s="2">
        <v>24</v>
      </c>
      <c r="C41" s="2">
        <v>8</v>
      </c>
      <c r="D41" s="22">
        <f t="shared" si="0"/>
        <v>3</v>
      </c>
      <c r="E41" s="19" t="str">
        <f t="shared" si="1"/>
        <v/>
      </c>
    </row>
    <row r="42" spans="1:5" x14ac:dyDescent="0.25">
      <c r="A42" s="2">
        <v>41</v>
      </c>
      <c r="B42" s="2">
        <v>1</v>
      </c>
      <c r="C42" s="2">
        <v>2</v>
      </c>
      <c r="D42" s="22">
        <f t="shared" si="0"/>
        <v>0.5</v>
      </c>
      <c r="E42" s="19" t="str">
        <f t="shared" si="1"/>
        <v>PRIME</v>
      </c>
    </row>
    <row r="43" spans="1:5" x14ac:dyDescent="0.25">
      <c r="A43" s="2">
        <v>42</v>
      </c>
      <c r="B43" s="2">
        <v>30</v>
      </c>
      <c r="C43" s="2">
        <v>8</v>
      </c>
      <c r="D43" s="22">
        <f t="shared" si="0"/>
        <v>3.75</v>
      </c>
      <c r="E43" s="19" t="str">
        <f t="shared" si="1"/>
        <v/>
      </c>
    </row>
    <row r="44" spans="1:5" x14ac:dyDescent="0.25">
      <c r="A44" s="2">
        <v>43</v>
      </c>
      <c r="B44" s="2">
        <v>1</v>
      </c>
      <c r="C44" s="2">
        <v>2</v>
      </c>
      <c r="D44" s="22">
        <f t="shared" si="0"/>
        <v>0.5</v>
      </c>
      <c r="E44" s="19" t="str">
        <f t="shared" si="1"/>
        <v>PRIME</v>
      </c>
    </row>
    <row r="45" spans="1:5" x14ac:dyDescent="0.25">
      <c r="A45" s="2">
        <v>44</v>
      </c>
      <c r="B45" s="2">
        <v>24</v>
      </c>
      <c r="C45" s="2">
        <v>6</v>
      </c>
      <c r="D45" s="22">
        <f t="shared" si="0"/>
        <v>4</v>
      </c>
      <c r="E45" s="19" t="str">
        <f t="shared" si="1"/>
        <v/>
      </c>
    </row>
    <row r="46" spans="1:5" x14ac:dyDescent="0.25">
      <c r="A46" s="2">
        <v>45</v>
      </c>
      <c r="B46" s="2">
        <v>21</v>
      </c>
      <c r="C46" s="2">
        <v>6</v>
      </c>
      <c r="D46" s="22">
        <f t="shared" si="0"/>
        <v>3.5</v>
      </c>
      <c r="E46" s="19" t="str">
        <f t="shared" si="1"/>
        <v/>
      </c>
    </row>
    <row r="47" spans="1:5" x14ac:dyDescent="0.25">
      <c r="A47" s="2">
        <v>46</v>
      </c>
      <c r="B47" s="2">
        <v>24</v>
      </c>
      <c r="C47" s="2">
        <v>4</v>
      </c>
      <c r="D47" s="22">
        <f t="shared" si="0"/>
        <v>6</v>
      </c>
      <c r="E47" s="19" t="str">
        <f t="shared" si="1"/>
        <v/>
      </c>
    </row>
    <row r="48" spans="1:5" x14ac:dyDescent="0.25">
      <c r="A48" s="2">
        <v>47</v>
      </c>
      <c r="B48" s="2">
        <v>1</v>
      </c>
      <c r="C48" s="2">
        <v>2</v>
      </c>
      <c r="D48" s="22">
        <f t="shared" si="0"/>
        <v>0.5</v>
      </c>
      <c r="E48" s="19" t="str">
        <f t="shared" si="1"/>
        <v>PRIME</v>
      </c>
    </row>
    <row r="49" spans="1:5" x14ac:dyDescent="0.25">
      <c r="A49" s="2">
        <v>48</v>
      </c>
      <c r="B49" s="2">
        <v>32</v>
      </c>
      <c r="C49" s="2">
        <v>10</v>
      </c>
      <c r="D49" s="22">
        <f t="shared" si="0"/>
        <v>3.2</v>
      </c>
      <c r="E49" s="19" t="str">
        <f t="shared" si="1"/>
        <v/>
      </c>
    </row>
    <row r="50" spans="1:5" x14ac:dyDescent="0.25">
      <c r="A50" s="2">
        <v>49</v>
      </c>
      <c r="B50" s="2">
        <v>7</v>
      </c>
      <c r="C50" s="2">
        <v>3</v>
      </c>
      <c r="D50" s="22">
        <f t="shared" si="0"/>
        <v>2.3333333333333335</v>
      </c>
      <c r="E50" s="19" t="str">
        <f t="shared" si="1"/>
        <v/>
      </c>
    </row>
    <row r="51" spans="1:5" x14ac:dyDescent="0.25">
      <c r="A51" s="2">
        <v>50</v>
      </c>
      <c r="B51" s="2">
        <v>30</v>
      </c>
      <c r="C51" s="2">
        <v>6</v>
      </c>
      <c r="D51" s="22">
        <f t="shared" si="0"/>
        <v>5</v>
      </c>
      <c r="E51" s="19" t="str">
        <f t="shared" si="1"/>
        <v/>
      </c>
    </row>
    <row r="52" spans="1:5" x14ac:dyDescent="0.25">
      <c r="A52" s="2">
        <v>51</v>
      </c>
      <c r="B52" s="2">
        <v>19</v>
      </c>
      <c r="C52" s="2">
        <v>4</v>
      </c>
      <c r="D52" s="22">
        <f t="shared" si="0"/>
        <v>4.75</v>
      </c>
      <c r="E52" s="19" t="str">
        <f t="shared" si="1"/>
        <v/>
      </c>
    </row>
    <row r="53" spans="1:5" x14ac:dyDescent="0.25">
      <c r="A53" s="2">
        <v>52</v>
      </c>
      <c r="B53" s="2">
        <v>28</v>
      </c>
      <c r="C53" s="2">
        <v>6</v>
      </c>
      <c r="D53" s="22">
        <f t="shared" si="0"/>
        <v>4.666666666666667</v>
      </c>
      <c r="E53" s="19" t="str">
        <f t="shared" si="1"/>
        <v/>
      </c>
    </row>
    <row r="54" spans="1:5" x14ac:dyDescent="0.25">
      <c r="A54" s="2">
        <v>53</v>
      </c>
      <c r="B54" s="2">
        <v>1</v>
      </c>
      <c r="C54" s="2">
        <v>2</v>
      </c>
      <c r="D54" s="22">
        <f t="shared" si="0"/>
        <v>0.5</v>
      </c>
      <c r="E54" s="19" t="str">
        <f t="shared" si="1"/>
        <v>PRIME</v>
      </c>
    </row>
    <row r="55" spans="1:5" x14ac:dyDescent="0.25">
      <c r="A55" s="2">
        <v>54</v>
      </c>
      <c r="B55" s="2">
        <v>36</v>
      </c>
      <c r="C55" s="2">
        <v>8</v>
      </c>
      <c r="D55" s="22">
        <f t="shared" si="0"/>
        <v>4.5</v>
      </c>
      <c r="E55" s="19" t="str">
        <f t="shared" si="1"/>
        <v/>
      </c>
    </row>
    <row r="56" spans="1:5" x14ac:dyDescent="0.25">
      <c r="A56" s="2">
        <v>55</v>
      </c>
      <c r="B56" s="2">
        <v>15</v>
      </c>
      <c r="C56" s="2">
        <v>4</v>
      </c>
      <c r="D56" s="22">
        <f t="shared" si="0"/>
        <v>3.75</v>
      </c>
      <c r="E56" s="19" t="str">
        <f t="shared" si="1"/>
        <v/>
      </c>
    </row>
    <row r="57" spans="1:5" x14ac:dyDescent="0.25">
      <c r="A57" s="2">
        <v>56</v>
      </c>
      <c r="B57" s="2">
        <v>32</v>
      </c>
      <c r="C57" s="2">
        <v>8</v>
      </c>
      <c r="D57" s="22">
        <f t="shared" si="0"/>
        <v>4</v>
      </c>
      <c r="E57" s="19" t="str">
        <f t="shared" si="1"/>
        <v/>
      </c>
    </row>
    <row r="58" spans="1:5" x14ac:dyDescent="0.25">
      <c r="A58" s="2">
        <v>57</v>
      </c>
      <c r="B58" s="2">
        <v>21</v>
      </c>
      <c r="C58" s="2">
        <v>4</v>
      </c>
      <c r="D58" s="22">
        <f t="shared" si="0"/>
        <v>5.25</v>
      </c>
      <c r="E58" s="19" t="str">
        <f t="shared" si="1"/>
        <v/>
      </c>
    </row>
    <row r="59" spans="1:5" x14ac:dyDescent="0.25">
      <c r="A59" s="2">
        <v>58</v>
      </c>
      <c r="B59" s="2">
        <v>30</v>
      </c>
      <c r="C59" s="2">
        <v>4</v>
      </c>
      <c r="D59" s="22">
        <f t="shared" si="0"/>
        <v>7.5</v>
      </c>
      <c r="E59" s="19" t="str">
        <f t="shared" si="1"/>
        <v/>
      </c>
    </row>
    <row r="60" spans="1:5" x14ac:dyDescent="0.25">
      <c r="A60" s="2">
        <v>59</v>
      </c>
      <c r="B60" s="2">
        <v>1</v>
      </c>
      <c r="C60" s="2">
        <v>2</v>
      </c>
      <c r="D60" s="22">
        <f t="shared" si="0"/>
        <v>0.5</v>
      </c>
      <c r="E60" s="19" t="str">
        <f t="shared" si="1"/>
        <v>PRIME</v>
      </c>
    </row>
    <row r="61" spans="1:5" x14ac:dyDescent="0.25">
      <c r="A61" s="2">
        <v>60</v>
      </c>
      <c r="B61" s="2">
        <v>44</v>
      </c>
      <c r="C61" s="2">
        <v>12</v>
      </c>
      <c r="D61" s="22">
        <f t="shared" si="0"/>
        <v>3.6666666666666665</v>
      </c>
      <c r="E61" s="19" t="str">
        <f t="shared" si="1"/>
        <v/>
      </c>
    </row>
    <row r="62" spans="1:5" x14ac:dyDescent="0.25">
      <c r="A62" s="2">
        <v>61</v>
      </c>
      <c r="B62" s="2">
        <v>1</v>
      </c>
      <c r="C62" s="2">
        <v>2</v>
      </c>
      <c r="D62" s="22">
        <f t="shared" si="0"/>
        <v>0.5</v>
      </c>
      <c r="E62" s="19" t="str">
        <f t="shared" si="1"/>
        <v>PRIME</v>
      </c>
    </row>
    <row r="63" spans="1:5" x14ac:dyDescent="0.25">
      <c r="A63" s="2">
        <v>62</v>
      </c>
      <c r="B63" s="2">
        <v>32</v>
      </c>
      <c r="C63" s="2">
        <v>4</v>
      </c>
      <c r="D63" s="22">
        <f t="shared" si="0"/>
        <v>8</v>
      </c>
      <c r="E63" s="19" t="str">
        <f t="shared" si="1"/>
        <v/>
      </c>
    </row>
    <row r="64" spans="1:5" x14ac:dyDescent="0.25">
      <c r="A64" s="2">
        <v>63</v>
      </c>
      <c r="B64" s="2">
        <v>27</v>
      </c>
      <c r="C64" s="2">
        <v>6</v>
      </c>
      <c r="D64" s="22">
        <f t="shared" si="0"/>
        <v>4.5</v>
      </c>
      <c r="E64" s="19" t="str">
        <f t="shared" si="1"/>
        <v/>
      </c>
    </row>
    <row r="65" spans="1:5" x14ac:dyDescent="0.25">
      <c r="A65" s="2">
        <v>64</v>
      </c>
      <c r="B65" s="2">
        <v>32</v>
      </c>
      <c r="C65" s="2">
        <v>7</v>
      </c>
      <c r="D65" s="22">
        <f t="shared" si="0"/>
        <v>4.5714285714285712</v>
      </c>
      <c r="E65" s="19" t="str">
        <f t="shared" si="1"/>
        <v/>
      </c>
    </row>
    <row r="66" spans="1:5" x14ac:dyDescent="0.25">
      <c r="A66" s="2">
        <v>65</v>
      </c>
      <c r="B66" s="2">
        <v>17</v>
      </c>
      <c r="C66" s="2">
        <v>4</v>
      </c>
      <c r="D66" s="22">
        <f t="shared" si="0"/>
        <v>4.25</v>
      </c>
      <c r="E66" s="19" t="str">
        <f t="shared" si="1"/>
        <v/>
      </c>
    </row>
    <row r="67" spans="1:5" x14ac:dyDescent="0.25">
      <c r="A67" s="2">
        <v>66</v>
      </c>
      <c r="B67" s="2">
        <v>46</v>
      </c>
      <c r="C67" s="2">
        <v>8</v>
      </c>
      <c r="D67" s="22">
        <f t="shared" ref="D67:D130" si="2">B67/C67</f>
        <v>5.75</v>
      </c>
      <c r="E67" s="19" t="str">
        <f t="shared" ref="E67:E130" si="3">IF(C67=2,"PRIME","")</f>
        <v/>
      </c>
    </row>
    <row r="68" spans="1:5" x14ac:dyDescent="0.25">
      <c r="A68" s="2">
        <v>67</v>
      </c>
      <c r="B68" s="2">
        <v>1</v>
      </c>
      <c r="C68" s="2">
        <v>2</v>
      </c>
      <c r="D68" s="22">
        <f t="shared" si="2"/>
        <v>0.5</v>
      </c>
      <c r="E68" s="19" t="str">
        <f t="shared" si="3"/>
        <v>PRIME</v>
      </c>
    </row>
    <row r="69" spans="1:5" x14ac:dyDescent="0.25">
      <c r="A69" s="2">
        <v>68</v>
      </c>
      <c r="B69" s="2">
        <v>36</v>
      </c>
      <c r="C69" s="2">
        <v>6</v>
      </c>
      <c r="D69" s="22">
        <f t="shared" si="2"/>
        <v>6</v>
      </c>
      <c r="E69" s="19" t="str">
        <f t="shared" si="3"/>
        <v/>
      </c>
    </row>
    <row r="70" spans="1:5" x14ac:dyDescent="0.25">
      <c r="A70" s="2">
        <v>69</v>
      </c>
      <c r="B70" s="2">
        <v>25</v>
      </c>
      <c r="C70" s="2">
        <v>4</v>
      </c>
      <c r="D70" s="22">
        <f t="shared" si="2"/>
        <v>6.25</v>
      </c>
      <c r="E70" s="19" t="str">
        <f t="shared" si="3"/>
        <v/>
      </c>
    </row>
    <row r="71" spans="1:5" x14ac:dyDescent="0.25">
      <c r="A71" s="2">
        <v>70</v>
      </c>
      <c r="B71" s="2">
        <v>46</v>
      </c>
      <c r="C71" s="2">
        <v>8</v>
      </c>
      <c r="D71" s="22">
        <f t="shared" si="2"/>
        <v>5.75</v>
      </c>
      <c r="E71" s="19" t="str">
        <f t="shared" si="3"/>
        <v/>
      </c>
    </row>
    <row r="72" spans="1:5" x14ac:dyDescent="0.25">
      <c r="A72" s="2">
        <v>71</v>
      </c>
      <c r="B72" s="2">
        <v>1</v>
      </c>
      <c r="C72" s="2">
        <v>2</v>
      </c>
      <c r="D72" s="22">
        <f t="shared" si="2"/>
        <v>0.5</v>
      </c>
      <c r="E72" s="19" t="str">
        <f t="shared" si="3"/>
        <v>PRIME</v>
      </c>
    </row>
    <row r="73" spans="1:5" x14ac:dyDescent="0.25">
      <c r="A73" s="2">
        <v>72</v>
      </c>
      <c r="B73" s="2">
        <v>48</v>
      </c>
      <c r="C73" s="2">
        <v>12</v>
      </c>
      <c r="D73" s="22">
        <f t="shared" si="2"/>
        <v>4</v>
      </c>
      <c r="E73" s="19" t="str">
        <f t="shared" si="3"/>
        <v/>
      </c>
    </row>
    <row r="74" spans="1:5" x14ac:dyDescent="0.25">
      <c r="A74" s="2">
        <v>73</v>
      </c>
      <c r="B74" s="2">
        <v>1</v>
      </c>
      <c r="C74" s="2">
        <v>2</v>
      </c>
      <c r="D74" s="22">
        <f t="shared" si="2"/>
        <v>0.5</v>
      </c>
      <c r="E74" s="19" t="str">
        <f t="shared" si="3"/>
        <v>PRIME</v>
      </c>
    </row>
    <row r="75" spans="1:5" x14ac:dyDescent="0.25">
      <c r="A75" s="2">
        <v>74</v>
      </c>
      <c r="B75" s="2">
        <v>38</v>
      </c>
      <c r="C75" s="2">
        <v>4</v>
      </c>
      <c r="D75" s="22">
        <f t="shared" si="2"/>
        <v>9.5</v>
      </c>
      <c r="E75" s="19" t="str">
        <f t="shared" si="3"/>
        <v/>
      </c>
    </row>
    <row r="76" spans="1:5" x14ac:dyDescent="0.25">
      <c r="A76" s="2">
        <v>75</v>
      </c>
      <c r="B76" s="2">
        <v>35</v>
      </c>
      <c r="C76" s="2">
        <v>6</v>
      </c>
      <c r="D76" s="22">
        <f t="shared" si="2"/>
        <v>5.833333333333333</v>
      </c>
      <c r="E76" s="19" t="str">
        <f t="shared" si="3"/>
        <v/>
      </c>
    </row>
    <row r="77" spans="1:5" x14ac:dyDescent="0.25">
      <c r="A77" s="2">
        <v>76</v>
      </c>
      <c r="B77" s="2">
        <v>40</v>
      </c>
      <c r="C77" s="2">
        <v>6</v>
      </c>
      <c r="D77" s="22">
        <f t="shared" si="2"/>
        <v>6.666666666666667</v>
      </c>
      <c r="E77" s="19" t="str">
        <f t="shared" si="3"/>
        <v/>
      </c>
    </row>
    <row r="78" spans="1:5" x14ac:dyDescent="0.25">
      <c r="A78" s="2">
        <v>77</v>
      </c>
      <c r="B78" s="2">
        <v>17</v>
      </c>
      <c r="C78" s="2">
        <v>4</v>
      </c>
      <c r="D78" s="22">
        <f t="shared" si="2"/>
        <v>4.25</v>
      </c>
      <c r="E78" s="19" t="str">
        <f t="shared" si="3"/>
        <v/>
      </c>
    </row>
    <row r="79" spans="1:5" x14ac:dyDescent="0.25">
      <c r="A79" s="2">
        <v>78</v>
      </c>
      <c r="B79" s="2">
        <v>54</v>
      </c>
      <c r="C79" s="2">
        <v>8</v>
      </c>
      <c r="D79" s="22">
        <f t="shared" si="2"/>
        <v>6.75</v>
      </c>
      <c r="E79" s="19" t="str">
        <f t="shared" si="3"/>
        <v/>
      </c>
    </row>
    <row r="80" spans="1:5" x14ac:dyDescent="0.25">
      <c r="A80" s="2">
        <v>79</v>
      </c>
      <c r="B80" s="2">
        <v>1</v>
      </c>
      <c r="C80" s="2">
        <v>2</v>
      </c>
      <c r="D80" s="22">
        <f t="shared" si="2"/>
        <v>0.5</v>
      </c>
      <c r="E80" s="19" t="str">
        <f t="shared" si="3"/>
        <v>PRIME</v>
      </c>
    </row>
    <row r="81" spans="1:5" x14ac:dyDescent="0.25">
      <c r="A81" s="2">
        <v>80</v>
      </c>
      <c r="B81" s="2">
        <v>48</v>
      </c>
      <c r="C81" s="2">
        <v>10</v>
      </c>
      <c r="D81" s="22">
        <f t="shared" si="2"/>
        <v>4.8</v>
      </c>
      <c r="E81" s="19" t="str">
        <f t="shared" si="3"/>
        <v/>
      </c>
    </row>
    <row r="82" spans="1:5" x14ac:dyDescent="0.25">
      <c r="A82" s="2">
        <v>81</v>
      </c>
      <c r="B82" s="2">
        <v>27</v>
      </c>
      <c r="C82" s="2">
        <v>5</v>
      </c>
      <c r="D82" s="22">
        <f t="shared" si="2"/>
        <v>5.4</v>
      </c>
      <c r="E82" s="19" t="str">
        <f t="shared" si="3"/>
        <v/>
      </c>
    </row>
    <row r="83" spans="1:5" x14ac:dyDescent="0.25">
      <c r="A83" s="2">
        <v>82</v>
      </c>
      <c r="B83" s="2">
        <v>42</v>
      </c>
      <c r="C83" s="2">
        <v>4</v>
      </c>
      <c r="D83" s="22">
        <f t="shared" si="2"/>
        <v>10.5</v>
      </c>
      <c r="E83" s="19" t="str">
        <f t="shared" si="3"/>
        <v/>
      </c>
    </row>
    <row r="84" spans="1:5" x14ac:dyDescent="0.25">
      <c r="A84" s="2">
        <v>83</v>
      </c>
      <c r="B84" s="2">
        <v>1</v>
      </c>
      <c r="C84" s="2">
        <v>2</v>
      </c>
      <c r="D84" s="22">
        <f t="shared" si="2"/>
        <v>0.5</v>
      </c>
      <c r="E84" s="19" t="str">
        <f t="shared" si="3"/>
        <v>PRIME</v>
      </c>
    </row>
    <row r="85" spans="1:5" x14ac:dyDescent="0.25">
      <c r="A85" s="2">
        <v>84</v>
      </c>
      <c r="B85" s="2">
        <v>60</v>
      </c>
      <c r="C85" s="2">
        <v>12</v>
      </c>
      <c r="D85" s="22">
        <f t="shared" si="2"/>
        <v>5</v>
      </c>
      <c r="E85" s="19" t="str">
        <f t="shared" si="3"/>
        <v/>
      </c>
    </row>
    <row r="86" spans="1:5" x14ac:dyDescent="0.25">
      <c r="A86" s="2">
        <v>85</v>
      </c>
      <c r="B86" s="2">
        <v>21</v>
      </c>
      <c r="C86" s="2">
        <v>4</v>
      </c>
      <c r="D86" s="22">
        <f t="shared" si="2"/>
        <v>5.25</v>
      </c>
      <c r="E86" s="19" t="str">
        <f t="shared" si="3"/>
        <v/>
      </c>
    </row>
    <row r="87" spans="1:5" x14ac:dyDescent="0.25">
      <c r="A87" s="2">
        <v>86</v>
      </c>
      <c r="B87" s="2">
        <v>44</v>
      </c>
      <c r="C87" s="2">
        <v>4</v>
      </c>
      <c r="D87" s="22">
        <f t="shared" si="2"/>
        <v>11</v>
      </c>
      <c r="E87" s="19" t="str">
        <f t="shared" si="3"/>
        <v/>
      </c>
    </row>
    <row r="88" spans="1:5" x14ac:dyDescent="0.25">
      <c r="A88" s="2">
        <v>87</v>
      </c>
      <c r="B88" s="2">
        <v>31</v>
      </c>
      <c r="C88" s="2">
        <v>4</v>
      </c>
      <c r="D88" s="22">
        <f t="shared" si="2"/>
        <v>7.75</v>
      </c>
      <c r="E88" s="19" t="str">
        <f t="shared" si="3"/>
        <v/>
      </c>
    </row>
    <row r="89" spans="1:5" x14ac:dyDescent="0.25">
      <c r="A89" s="2">
        <v>88</v>
      </c>
      <c r="B89" s="2">
        <v>48</v>
      </c>
      <c r="C89" s="2">
        <v>8</v>
      </c>
      <c r="D89" s="22">
        <f t="shared" si="2"/>
        <v>6</v>
      </c>
      <c r="E89" s="19" t="str">
        <f t="shared" si="3"/>
        <v/>
      </c>
    </row>
    <row r="90" spans="1:5" x14ac:dyDescent="0.25">
      <c r="A90" s="2">
        <v>89</v>
      </c>
      <c r="B90" s="2">
        <v>1</v>
      </c>
      <c r="C90" s="2">
        <v>2</v>
      </c>
      <c r="D90" s="22">
        <f t="shared" si="2"/>
        <v>0.5</v>
      </c>
      <c r="E90" s="19" t="str">
        <f t="shared" si="3"/>
        <v>PRIME</v>
      </c>
    </row>
    <row r="91" spans="1:5" x14ac:dyDescent="0.25">
      <c r="A91" s="2">
        <v>90</v>
      </c>
      <c r="B91" s="2">
        <v>66</v>
      </c>
      <c r="C91" s="2">
        <v>12</v>
      </c>
      <c r="D91" s="22">
        <f t="shared" si="2"/>
        <v>5.5</v>
      </c>
      <c r="E91" s="19" t="str">
        <f t="shared" si="3"/>
        <v/>
      </c>
    </row>
    <row r="92" spans="1:5" x14ac:dyDescent="0.25">
      <c r="A92" s="2">
        <v>91</v>
      </c>
      <c r="B92" s="2">
        <v>19</v>
      </c>
      <c r="C92" s="2">
        <v>4</v>
      </c>
      <c r="D92" s="22">
        <f t="shared" si="2"/>
        <v>4.75</v>
      </c>
      <c r="E92" s="19" t="str">
        <f t="shared" si="3"/>
        <v/>
      </c>
    </row>
    <row r="93" spans="1:5" x14ac:dyDescent="0.25">
      <c r="A93" s="2">
        <v>92</v>
      </c>
      <c r="B93" s="2">
        <v>48</v>
      </c>
      <c r="C93" s="2">
        <v>6</v>
      </c>
      <c r="D93" s="22">
        <f t="shared" si="2"/>
        <v>8</v>
      </c>
      <c r="E93" s="19" t="str">
        <f t="shared" si="3"/>
        <v/>
      </c>
    </row>
    <row r="94" spans="1:5" x14ac:dyDescent="0.25">
      <c r="A94" s="2">
        <v>93</v>
      </c>
      <c r="B94" s="2">
        <v>33</v>
      </c>
      <c r="C94" s="2">
        <v>4</v>
      </c>
      <c r="D94" s="22">
        <f t="shared" si="2"/>
        <v>8.25</v>
      </c>
      <c r="E94" s="19" t="str">
        <f t="shared" si="3"/>
        <v/>
      </c>
    </row>
    <row r="95" spans="1:5" x14ac:dyDescent="0.25">
      <c r="A95" s="2">
        <v>94</v>
      </c>
      <c r="B95" s="2">
        <v>48</v>
      </c>
      <c r="C95" s="2">
        <v>4</v>
      </c>
      <c r="D95" s="22">
        <f t="shared" si="2"/>
        <v>12</v>
      </c>
      <c r="E95" s="19" t="str">
        <f t="shared" si="3"/>
        <v/>
      </c>
    </row>
    <row r="96" spans="1:5" x14ac:dyDescent="0.25">
      <c r="A96" s="2">
        <v>95</v>
      </c>
      <c r="B96" s="2">
        <v>23</v>
      </c>
      <c r="C96" s="2">
        <v>4</v>
      </c>
      <c r="D96" s="22">
        <f t="shared" si="2"/>
        <v>5.75</v>
      </c>
      <c r="E96" s="19" t="str">
        <f t="shared" si="3"/>
        <v/>
      </c>
    </row>
    <row r="97" spans="1:5" x14ac:dyDescent="0.25">
      <c r="A97" s="2">
        <v>96</v>
      </c>
      <c r="B97" s="2">
        <v>64</v>
      </c>
      <c r="C97" s="2">
        <v>12</v>
      </c>
      <c r="D97" s="22">
        <f t="shared" si="2"/>
        <v>5.333333333333333</v>
      </c>
      <c r="E97" s="19" t="str">
        <f t="shared" si="3"/>
        <v/>
      </c>
    </row>
    <row r="98" spans="1:5" x14ac:dyDescent="0.25">
      <c r="A98" s="2">
        <v>97</v>
      </c>
      <c r="B98" s="2">
        <v>1</v>
      </c>
      <c r="C98" s="2">
        <v>2</v>
      </c>
      <c r="D98" s="22">
        <f t="shared" si="2"/>
        <v>0.5</v>
      </c>
      <c r="E98" s="19" t="str">
        <f t="shared" si="3"/>
        <v>PRIME</v>
      </c>
    </row>
    <row r="99" spans="1:5" x14ac:dyDescent="0.25">
      <c r="A99" s="2">
        <v>98</v>
      </c>
      <c r="B99" s="2">
        <v>56</v>
      </c>
      <c r="C99" s="2">
        <v>6</v>
      </c>
      <c r="D99" s="22">
        <f t="shared" si="2"/>
        <v>9.3333333333333339</v>
      </c>
      <c r="E99" s="19" t="str">
        <f t="shared" si="3"/>
        <v/>
      </c>
    </row>
    <row r="100" spans="1:5" x14ac:dyDescent="0.25">
      <c r="A100" s="2">
        <v>99</v>
      </c>
      <c r="B100" s="2">
        <v>39</v>
      </c>
      <c r="C100" s="2">
        <v>6</v>
      </c>
      <c r="D100" s="22">
        <f t="shared" si="2"/>
        <v>6.5</v>
      </c>
      <c r="E100" s="19" t="str">
        <f t="shared" si="3"/>
        <v/>
      </c>
    </row>
    <row r="101" spans="1:5" x14ac:dyDescent="0.25">
      <c r="A101" s="2">
        <v>100</v>
      </c>
      <c r="B101" s="2">
        <v>60</v>
      </c>
      <c r="C101" s="2">
        <v>9</v>
      </c>
      <c r="D101" s="22">
        <f t="shared" si="2"/>
        <v>6.666666666666667</v>
      </c>
      <c r="E101" s="19" t="str">
        <f t="shared" si="3"/>
        <v/>
      </c>
    </row>
    <row r="102" spans="1:5" x14ac:dyDescent="0.25">
      <c r="A102" s="2">
        <v>101</v>
      </c>
      <c r="B102" s="2">
        <v>1</v>
      </c>
      <c r="C102" s="2">
        <v>2</v>
      </c>
      <c r="D102" s="22">
        <f t="shared" si="2"/>
        <v>0.5</v>
      </c>
      <c r="E102" s="19" t="str">
        <f t="shared" si="3"/>
        <v>PRIME</v>
      </c>
    </row>
    <row r="103" spans="1:5" x14ac:dyDescent="0.25">
      <c r="A103" s="2">
        <v>102</v>
      </c>
      <c r="B103" s="2">
        <v>70</v>
      </c>
      <c r="C103" s="2">
        <v>8</v>
      </c>
      <c r="D103" s="22">
        <f t="shared" si="2"/>
        <v>8.75</v>
      </c>
      <c r="E103" s="19" t="str">
        <f t="shared" si="3"/>
        <v/>
      </c>
    </row>
    <row r="104" spans="1:5" x14ac:dyDescent="0.25">
      <c r="A104" s="2">
        <v>103</v>
      </c>
      <c r="B104" s="2">
        <v>1</v>
      </c>
      <c r="C104" s="2">
        <v>2</v>
      </c>
      <c r="D104" s="22">
        <f t="shared" si="2"/>
        <v>0.5</v>
      </c>
      <c r="E104" s="19" t="str">
        <f t="shared" si="3"/>
        <v>PRIME</v>
      </c>
    </row>
    <row r="105" spans="1:5" x14ac:dyDescent="0.25">
      <c r="A105" s="2">
        <v>104</v>
      </c>
      <c r="B105" s="2">
        <v>56</v>
      </c>
      <c r="C105" s="2">
        <v>8</v>
      </c>
      <c r="D105" s="22">
        <f t="shared" si="2"/>
        <v>7</v>
      </c>
      <c r="E105" s="19" t="str">
        <f t="shared" si="3"/>
        <v/>
      </c>
    </row>
    <row r="106" spans="1:5" x14ac:dyDescent="0.25">
      <c r="A106" s="2">
        <v>105</v>
      </c>
      <c r="B106" s="2">
        <v>57</v>
      </c>
      <c r="C106" s="2">
        <v>8</v>
      </c>
      <c r="D106" s="22">
        <f t="shared" si="2"/>
        <v>7.125</v>
      </c>
      <c r="E106" s="19" t="str">
        <f t="shared" si="3"/>
        <v/>
      </c>
    </row>
    <row r="107" spans="1:5" x14ac:dyDescent="0.25">
      <c r="A107" s="2">
        <v>106</v>
      </c>
      <c r="B107" s="2">
        <v>54</v>
      </c>
      <c r="C107" s="2">
        <v>4</v>
      </c>
      <c r="D107" s="22">
        <f t="shared" si="2"/>
        <v>13.5</v>
      </c>
      <c r="E107" s="19" t="str">
        <f t="shared" si="3"/>
        <v/>
      </c>
    </row>
    <row r="108" spans="1:5" x14ac:dyDescent="0.25">
      <c r="A108" s="2">
        <v>107</v>
      </c>
      <c r="B108" s="2">
        <v>1</v>
      </c>
      <c r="C108" s="2">
        <v>2</v>
      </c>
      <c r="D108" s="22">
        <f t="shared" si="2"/>
        <v>0.5</v>
      </c>
      <c r="E108" s="19" t="str">
        <f t="shared" si="3"/>
        <v>PRIME</v>
      </c>
    </row>
    <row r="109" spans="1:5" x14ac:dyDescent="0.25">
      <c r="A109" s="2">
        <v>108</v>
      </c>
      <c r="B109" s="2">
        <v>72</v>
      </c>
      <c r="C109" s="2">
        <v>12</v>
      </c>
      <c r="D109" s="22">
        <f t="shared" si="2"/>
        <v>6</v>
      </c>
      <c r="E109" s="19" t="str">
        <f t="shared" si="3"/>
        <v/>
      </c>
    </row>
    <row r="110" spans="1:5" x14ac:dyDescent="0.25">
      <c r="A110" s="2">
        <v>109</v>
      </c>
      <c r="B110" s="2">
        <v>1</v>
      </c>
      <c r="C110" s="2">
        <v>2</v>
      </c>
      <c r="D110" s="22">
        <f t="shared" si="2"/>
        <v>0.5</v>
      </c>
      <c r="E110" s="19" t="str">
        <f t="shared" si="3"/>
        <v>PRIME</v>
      </c>
    </row>
    <row r="111" spans="1:5" x14ac:dyDescent="0.25">
      <c r="A111" s="2">
        <v>110</v>
      </c>
      <c r="B111" s="2">
        <v>70</v>
      </c>
      <c r="C111" s="2">
        <v>8</v>
      </c>
      <c r="D111" s="22">
        <f t="shared" si="2"/>
        <v>8.75</v>
      </c>
      <c r="E111" s="19" t="str">
        <f t="shared" si="3"/>
        <v/>
      </c>
    </row>
    <row r="112" spans="1:5" x14ac:dyDescent="0.25">
      <c r="A112" s="2">
        <v>111</v>
      </c>
      <c r="B112" s="2">
        <v>39</v>
      </c>
      <c r="C112" s="2">
        <v>4</v>
      </c>
      <c r="D112" s="22">
        <f t="shared" si="2"/>
        <v>9.75</v>
      </c>
      <c r="E112" s="19" t="str">
        <f t="shared" si="3"/>
        <v/>
      </c>
    </row>
    <row r="113" spans="1:5" x14ac:dyDescent="0.25">
      <c r="A113" s="2">
        <v>112</v>
      </c>
      <c r="B113" s="2">
        <v>64</v>
      </c>
      <c r="C113" s="2">
        <v>10</v>
      </c>
      <c r="D113" s="22">
        <f t="shared" si="2"/>
        <v>6.4</v>
      </c>
      <c r="E113" s="19" t="str">
        <f t="shared" si="3"/>
        <v/>
      </c>
    </row>
    <row r="114" spans="1:5" x14ac:dyDescent="0.25">
      <c r="A114" s="2">
        <v>113</v>
      </c>
      <c r="B114" s="2">
        <v>1</v>
      </c>
      <c r="C114" s="2">
        <v>2</v>
      </c>
      <c r="D114" s="22">
        <f t="shared" si="2"/>
        <v>0.5</v>
      </c>
      <c r="E114" s="19" t="str">
        <f t="shared" si="3"/>
        <v>PRIME</v>
      </c>
    </row>
    <row r="115" spans="1:5" x14ac:dyDescent="0.25">
      <c r="A115" s="2">
        <v>114</v>
      </c>
      <c r="B115" s="2">
        <v>78</v>
      </c>
      <c r="C115" s="2">
        <v>8</v>
      </c>
      <c r="D115" s="22">
        <f t="shared" si="2"/>
        <v>9.75</v>
      </c>
      <c r="E115" s="19" t="str">
        <f t="shared" si="3"/>
        <v/>
      </c>
    </row>
    <row r="116" spans="1:5" x14ac:dyDescent="0.25">
      <c r="A116" s="2">
        <v>115</v>
      </c>
      <c r="B116" s="2">
        <v>27</v>
      </c>
      <c r="C116" s="2">
        <v>4</v>
      </c>
      <c r="D116" s="22">
        <f t="shared" si="2"/>
        <v>6.75</v>
      </c>
      <c r="E116" s="19" t="str">
        <f t="shared" si="3"/>
        <v/>
      </c>
    </row>
    <row r="117" spans="1:5" x14ac:dyDescent="0.25">
      <c r="A117" s="2">
        <v>116</v>
      </c>
      <c r="B117" s="2">
        <v>60</v>
      </c>
      <c r="C117" s="2">
        <v>6</v>
      </c>
      <c r="D117" s="22">
        <f t="shared" si="2"/>
        <v>10</v>
      </c>
      <c r="E117" s="19" t="str">
        <f t="shared" si="3"/>
        <v/>
      </c>
    </row>
    <row r="118" spans="1:5" x14ac:dyDescent="0.25">
      <c r="A118" s="2">
        <v>117</v>
      </c>
      <c r="B118" s="2">
        <v>45</v>
      </c>
      <c r="C118" s="2">
        <v>6</v>
      </c>
      <c r="D118" s="22">
        <f t="shared" si="2"/>
        <v>7.5</v>
      </c>
      <c r="E118" s="19" t="str">
        <f t="shared" si="3"/>
        <v/>
      </c>
    </row>
    <row r="119" spans="1:5" x14ac:dyDescent="0.25">
      <c r="A119" s="2">
        <v>118</v>
      </c>
      <c r="B119" s="2">
        <v>60</v>
      </c>
      <c r="C119" s="2">
        <v>4</v>
      </c>
      <c r="D119" s="22">
        <f t="shared" si="2"/>
        <v>15</v>
      </c>
      <c r="E119" s="19" t="str">
        <f t="shared" si="3"/>
        <v/>
      </c>
    </row>
    <row r="120" spans="1:5" x14ac:dyDescent="0.25">
      <c r="A120" s="2">
        <v>119</v>
      </c>
      <c r="B120" s="2">
        <v>23</v>
      </c>
      <c r="C120" s="2">
        <v>4</v>
      </c>
      <c r="D120" s="22">
        <f t="shared" si="2"/>
        <v>5.75</v>
      </c>
      <c r="E120" s="19" t="str">
        <f t="shared" si="3"/>
        <v/>
      </c>
    </row>
    <row r="121" spans="1:5" x14ac:dyDescent="0.25">
      <c r="A121" s="2">
        <v>120</v>
      </c>
      <c r="B121" s="2">
        <v>88</v>
      </c>
      <c r="C121" s="2">
        <v>16</v>
      </c>
      <c r="D121" s="22">
        <f t="shared" si="2"/>
        <v>5.5</v>
      </c>
      <c r="E121" s="19" t="str">
        <f t="shared" si="3"/>
        <v/>
      </c>
    </row>
    <row r="122" spans="1:5" x14ac:dyDescent="0.25">
      <c r="A122" s="2">
        <v>121</v>
      </c>
      <c r="B122" s="2">
        <v>11</v>
      </c>
      <c r="C122" s="2">
        <v>3</v>
      </c>
      <c r="D122" s="22">
        <f t="shared" si="2"/>
        <v>3.6666666666666665</v>
      </c>
      <c r="E122" s="19" t="str">
        <f t="shared" si="3"/>
        <v/>
      </c>
    </row>
    <row r="123" spans="1:5" x14ac:dyDescent="0.25">
      <c r="A123" s="2">
        <v>122</v>
      </c>
      <c r="B123" s="2">
        <v>62</v>
      </c>
      <c r="C123" s="2">
        <v>4</v>
      </c>
      <c r="D123" s="22">
        <f t="shared" si="2"/>
        <v>15.5</v>
      </c>
      <c r="E123" s="19" t="str">
        <f t="shared" si="3"/>
        <v/>
      </c>
    </row>
    <row r="124" spans="1:5" x14ac:dyDescent="0.25">
      <c r="A124" s="2">
        <v>123</v>
      </c>
      <c r="B124" s="2">
        <v>43</v>
      </c>
      <c r="C124" s="2">
        <v>4</v>
      </c>
      <c r="D124" s="22">
        <f t="shared" si="2"/>
        <v>10.75</v>
      </c>
      <c r="E124" s="19" t="str">
        <f t="shared" si="3"/>
        <v/>
      </c>
    </row>
    <row r="125" spans="1:5" x14ac:dyDescent="0.25">
      <c r="A125" s="2">
        <v>124</v>
      </c>
      <c r="B125" s="2">
        <v>64</v>
      </c>
      <c r="C125" s="2">
        <v>6</v>
      </c>
      <c r="D125" s="22">
        <f t="shared" si="2"/>
        <v>10.666666666666666</v>
      </c>
      <c r="E125" s="19" t="str">
        <f t="shared" si="3"/>
        <v/>
      </c>
    </row>
    <row r="126" spans="1:5" x14ac:dyDescent="0.25">
      <c r="A126" s="2">
        <v>125</v>
      </c>
      <c r="B126" s="2">
        <v>25</v>
      </c>
      <c r="C126" s="2">
        <v>4</v>
      </c>
      <c r="D126" s="22">
        <f t="shared" si="2"/>
        <v>6.25</v>
      </c>
      <c r="E126" s="19" t="str">
        <f t="shared" si="3"/>
        <v/>
      </c>
    </row>
    <row r="127" spans="1:5" x14ac:dyDescent="0.25">
      <c r="A127" s="2">
        <v>126</v>
      </c>
      <c r="B127" s="2">
        <v>90</v>
      </c>
      <c r="C127" s="2">
        <v>12</v>
      </c>
      <c r="D127" s="22">
        <f t="shared" si="2"/>
        <v>7.5</v>
      </c>
      <c r="E127" s="19" t="str">
        <f t="shared" si="3"/>
        <v/>
      </c>
    </row>
    <row r="128" spans="1:5" x14ac:dyDescent="0.25">
      <c r="A128" s="2">
        <v>127</v>
      </c>
      <c r="B128" s="2">
        <v>1</v>
      </c>
      <c r="C128" s="2">
        <v>2</v>
      </c>
      <c r="D128" s="22">
        <f t="shared" si="2"/>
        <v>0.5</v>
      </c>
      <c r="E128" s="19" t="str">
        <f t="shared" si="3"/>
        <v>PRIME</v>
      </c>
    </row>
    <row r="129" spans="1:5" x14ac:dyDescent="0.25">
      <c r="A129" s="2">
        <v>128</v>
      </c>
      <c r="B129" s="2">
        <v>64</v>
      </c>
      <c r="C129" s="2">
        <v>8</v>
      </c>
      <c r="D129" s="22">
        <f t="shared" si="2"/>
        <v>8</v>
      </c>
      <c r="E129" s="19" t="str">
        <f t="shared" si="3"/>
        <v/>
      </c>
    </row>
    <row r="130" spans="1:5" x14ac:dyDescent="0.25">
      <c r="A130" s="2">
        <v>129</v>
      </c>
      <c r="B130" s="2">
        <v>45</v>
      </c>
      <c r="C130" s="2">
        <v>4</v>
      </c>
      <c r="D130" s="22">
        <f t="shared" si="2"/>
        <v>11.25</v>
      </c>
      <c r="E130" s="19" t="str">
        <f t="shared" si="3"/>
        <v/>
      </c>
    </row>
    <row r="131" spans="1:5" x14ac:dyDescent="0.25">
      <c r="A131" s="2">
        <v>130</v>
      </c>
      <c r="B131" s="2">
        <v>82</v>
      </c>
      <c r="C131" s="2">
        <v>8</v>
      </c>
      <c r="D131" s="22">
        <f t="shared" ref="D131:D194" si="4">B131/C131</f>
        <v>10.25</v>
      </c>
      <c r="E131" s="19" t="str">
        <f t="shared" ref="E131:E194" si="5">IF(C131=2,"PRIME","")</f>
        <v/>
      </c>
    </row>
    <row r="132" spans="1:5" x14ac:dyDescent="0.25">
      <c r="A132" s="2">
        <v>131</v>
      </c>
      <c r="B132" s="2">
        <v>1</v>
      </c>
      <c r="C132" s="2">
        <v>2</v>
      </c>
      <c r="D132" s="22">
        <f t="shared" si="4"/>
        <v>0.5</v>
      </c>
      <c r="E132" s="19" t="str">
        <f t="shared" si="5"/>
        <v>PRIME</v>
      </c>
    </row>
    <row r="133" spans="1:5" x14ac:dyDescent="0.25">
      <c r="A133" s="2">
        <v>132</v>
      </c>
      <c r="B133" s="2">
        <v>92</v>
      </c>
      <c r="C133" s="2">
        <v>12</v>
      </c>
      <c r="D133" s="22">
        <f t="shared" si="4"/>
        <v>7.666666666666667</v>
      </c>
      <c r="E133" s="19" t="str">
        <f t="shared" si="5"/>
        <v/>
      </c>
    </row>
    <row r="134" spans="1:5" x14ac:dyDescent="0.25">
      <c r="A134" s="2">
        <v>133</v>
      </c>
      <c r="B134" s="2">
        <v>25</v>
      </c>
      <c r="C134" s="2">
        <v>4</v>
      </c>
      <c r="D134" s="22">
        <f t="shared" si="4"/>
        <v>6.25</v>
      </c>
      <c r="E134" s="19" t="str">
        <f t="shared" si="5"/>
        <v/>
      </c>
    </row>
    <row r="135" spans="1:5" x14ac:dyDescent="0.25">
      <c r="A135" s="2">
        <v>134</v>
      </c>
      <c r="B135" s="2">
        <v>68</v>
      </c>
      <c r="C135" s="2">
        <v>4</v>
      </c>
      <c r="D135" s="22">
        <f t="shared" si="4"/>
        <v>17</v>
      </c>
      <c r="E135" s="19" t="str">
        <f t="shared" si="5"/>
        <v/>
      </c>
    </row>
    <row r="136" spans="1:5" x14ac:dyDescent="0.25">
      <c r="A136" s="2">
        <v>135</v>
      </c>
      <c r="B136" s="2">
        <v>63</v>
      </c>
      <c r="C136" s="2">
        <v>8</v>
      </c>
      <c r="D136" s="22">
        <f t="shared" si="4"/>
        <v>7.875</v>
      </c>
      <c r="E136" s="19" t="str">
        <f t="shared" si="5"/>
        <v/>
      </c>
    </row>
    <row r="137" spans="1:5" x14ac:dyDescent="0.25">
      <c r="A137" s="2">
        <v>136</v>
      </c>
      <c r="B137" s="2">
        <v>72</v>
      </c>
      <c r="C137" s="2">
        <v>8</v>
      </c>
      <c r="D137" s="22">
        <f t="shared" si="4"/>
        <v>9</v>
      </c>
      <c r="E137" s="19" t="str">
        <f t="shared" si="5"/>
        <v/>
      </c>
    </row>
    <row r="138" spans="1:5" x14ac:dyDescent="0.25">
      <c r="A138" s="2">
        <v>137</v>
      </c>
      <c r="B138" s="2">
        <v>1</v>
      </c>
      <c r="C138" s="2">
        <v>2</v>
      </c>
      <c r="D138" s="22">
        <f t="shared" si="4"/>
        <v>0.5</v>
      </c>
      <c r="E138" s="19" t="str">
        <f t="shared" si="5"/>
        <v>PRIME</v>
      </c>
    </row>
    <row r="139" spans="1:5" x14ac:dyDescent="0.25">
      <c r="A139" s="2">
        <v>138</v>
      </c>
      <c r="B139" s="2">
        <v>94</v>
      </c>
      <c r="C139" s="2">
        <v>8</v>
      </c>
      <c r="D139" s="22">
        <f t="shared" si="4"/>
        <v>11.75</v>
      </c>
      <c r="E139" s="19" t="str">
        <f t="shared" si="5"/>
        <v/>
      </c>
    </row>
    <row r="140" spans="1:5" x14ac:dyDescent="0.25">
      <c r="A140" s="2">
        <v>139</v>
      </c>
      <c r="B140" s="2">
        <v>1</v>
      </c>
      <c r="C140" s="2">
        <v>2</v>
      </c>
      <c r="D140" s="22">
        <f t="shared" si="4"/>
        <v>0.5</v>
      </c>
      <c r="E140" s="19" t="str">
        <f t="shared" si="5"/>
        <v>PRIME</v>
      </c>
    </row>
    <row r="141" spans="1:5" x14ac:dyDescent="0.25">
      <c r="A141" s="2">
        <v>140</v>
      </c>
      <c r="B141" s="2">
        <v>92</v>
      </c>
      <c r="C141" s="2">
        <v>12</v>
      </c>
      <c r="D141" s="22">
        <f t="shared" si="4"/>
        <v>7.666666666666667</v>
      </c>
      <c r="E141" s="19" t="str">
        <f t="shared" si="5"/>
        <v/>
      </c>
    </row>
    <row r="142" spans="1:5" x14ac:dyDescent="0.25">
      <c r="A142" s="2">
        <v>141</v>
      </c>
      <c r="B142" s="2">
        <v>49</v>
      </c>
      <c r="C142" s="2">
        <v>4</v>
      </c>
      <c r="D142" s="22">
        <f t="shared" si="4"/>
        <v>12.25</v>
      </c>
      <c r="E142" s="19" t="str">
        <f t="shared" si="5"/>
        <v/>
      </c>
    </row>
    <row r="143" spans="1:5" x14ac:dyDescent="0.25">
      <c r="A143" s="2">
        <v>142</v>
      </c>
      <c r="B143" s="2">
        <v>72</v>
      </c>
      <c r="C143" s="2">
        <v>4</v>
      </c>
      <c r="D143" s="22">
        <f t="shared" si="4"/>
        <v>18</v>
      </c>
      <c r="E143" s="19" t="str">
        <f t="shared" si="5"/>
        <v/>
      </c>
    </row>
    <row r="144" spans="1:5" x14ac:dyDescent="0.25">
      <c r="A144" s="2">
        <v>143</v>
      </c>
      <c r="B144" s="2">
        <v>23</v>
      </c>
      <c r="C144" s="2">
        <v>4</v>
      </c>
      <c r="D144" s="22">
        <f t="shared" si="4"/>
        <v>5.75</v>
      </c>
      <c r="E144" s="19" t="str">
        <f t="shared" si="5"/>
        <v/>
      </c>
    </row>
    <row r="145" spans="1:5" x14ac:dyDescent="0.25">
      <c r="A145" s="2">
        <v>144</v>
      </c>
      <c r="B145" s="2">
        <v>96</v>
      </c>
      <c r="C145" s="2">
        <v>15</v>
      </c>
      <c r="D145" s="22">
        <f t="shared" si="4"/>
        <v>6.4</v>
      </c>
      <c r="E145" s="19" t="str">
        <f t="shared" si="5"/>
        <v/>
      </c>
    </row>
    <row r="146" spans="1:5" x14ac:dyDescent="0.25">
      <c r="A146" s="2">
        <v>145</v>
      </c>
      <c r="B146" s="2">
        <v>33</v>
      </c>
      <c r="C146" s="2">
        <v>4</v>
      </c>
      <c r="D146" s="22">
        <f t="shared" si="4"/>
        <v>8.25</v>
      </c>
      <c r="E146" s="19" t="str">
        <f t="shared" si="5"/>
        <v/>
      </c>
    </row>
    <row r="147" spans="1:5" x14ac:dyDescent="0.25">
      <c r="A147" s="2">
        <v>146</v>
      </c>
      <c r="B147" s="2">
        <v>74</v>
      </c>
      <c r="C147" s="2">
        <v>4</v>
      </c>
      <c r="D147" s="22">
        <f t="shared" si="4"/>
        <v>18.5</v>
      </c>
      <c r="E147" s="19" t="str">
        <f t="shared" si="5"/>
        <v/>
      </c>
    </row>
    <row r="148" spans="1:5" x14ac:dyDescent="0.25">
      <c r="A148" s="2">
        <v>147</v>
      </c>
      <c r="B148" s="2">
        <v>63</v>
      </c>
      <c r="C148" s="2">
        <v>6</v>
      </c>
      <c r="D148" s="22">
        <f t="shared" si="4"/>
        <v>10.5</v>
      </c>
      <c r="E148" s="19" t="str">
        <f t="shared" si="5"/>
        <v/>
      </c>
    </row>
    <row r="149" spans="1:5" x14ac:dyDescent="0.25">
      <c r="A149" s="2">
        <v>148</v>
      </c>
      <c r="B149" s="2">
        <v>76</v>
      </c>
      <c r="C149" s="2">
        <v>6</v>
      </c>
      <c r="D149" s="22">
        <f t="shared" si="4"/>
        <v>12.666666666666666</v>
      </c>
      <c r="E149" s="19" t="str">
        <f t="shared" si="5"/>
        <v/>
      </c>
    </row>
    <row r="150" spans="1:5" x14ac:dyDescent="0.25">
      <c r="A150" s="2">
        <v>149</v>
      </c>
      <c r="B150" s="2">
        <v>1</v>
      </c>
      <c r="C150" s="2">
        <v>2</v>
      </c>
      <c r="D150" s="22">
        <f t="shared" si="4"/>
        <v>0.5</v>
      </c>
      <c r="E150" s="19" t="str">
        <f t="shared" si="5"/>
        <v>PRIME</v>
      </c>
    </row>
    <row r="151" spans="1:5" x14ac:dyDescent="0.25">
      <c r="A151" s="2">
        <v>150</v>
      </c>
      <c r="B151" s="2">
        <v>110</v>
      </c>
      <c r="C151" s="2">
        <v>12</v>
      </c>
      <c r="D151" s="22">
        <f t="shared" si="4"/>
        <v>9.1666666666666661</v>
      </c>
      <c r="E151" s="19" t="str">
        <f t="shared" si="5"/>
        <v/>
      </c>
    </row>
    <row r="152" spans="1:5" x14ac:dyDescent="0.25">
      <c r="A152" s="2">
        <v>151</v>
      </c>
      <c r="B152" s="2">
        <v>1</v>
      </c>
      <c r="C152" s="2">
        <v>2</v>
      </c>
      <c r="D152" s="22">
        <f t="shared" si="4"/>
        <v>0.5</v>
      </c>
      <c r="E152" s="19" t="str">
        <f t="shared" si="5"/>
        <v>PRIME</v>
      </c>
    </row>
    <row r="153" spans="1:5" x14ac:dyDescent="0.25">
      <c r="A153" s="2">
        <v>152</v>
      </c>
      <c r="B153" s="2">
        <v>80</v>
      </c>
      <c r="C153" s="2">
        <v>8</v>
      </c>
      <c r="D153" s="22">
        <f t="shared" si="4"/>
        <v>10</v>
      </c>
      <c r="E153" s="19" t="str">
        <f t="shared" si="5"/>
        <v/>
      </c>
    </row>
    <row r="154" spans="1:5" x14ac:dyDescent="0.25">
      <c r="A154" s="2">
        <v>153</v>
      </c>
      <c r="B154" s="2">
        <v>57</v>
      </c>
      <c r="C154" s="2">
        <v>6</v>
      </c>
      <c r="D154" s="22">
        <f t="shared" si="4"/>
        <v>9.5</v>
      </c>
      <c r="E154" s="19" t="str">
        <f t="shared" si="5"/>
        <v/>
      </c>
    </row>
    <row r="155" spans="1:5" x14ac:dyDescent="0.25">
      <c r="A155" s="2">
        <v>154</v>
      </c>
      <c r="B155" s="2">
        <v>94</v>
      </c>
      <c r="C155" s="2">
        <v>8</v>
      </c>
      <c r="D155" s="22">
        <f t="shared" si="4"/>
        <v>11.75</v>
      </c>
      <c r="E155" s="19" t="str">
        <f t="shared" si="5"/>
        <v/>
      </c>
    </row>
    <row r="156" spans="1:5" x14ac:dyDescent="0.25">
      <c r="A156" s="2">
        <v>155</v>
      </c>
      <c r="B156" s="2">
        <v>35</v>
      </c>
      <c r="C156" s="2">
        <v>4</v>
      </c>
      <c r="D156" s="22">
        <f t="shared" si="4"/>
        <v>8.75</v>
      </c>
      <c r="E156" s="19" t="str">
        <f t="shared" si="5"/>
        <v/>
      </c>
    </row>
    <row r="157" spans="1:5" x14ac:dyDescent="0.25">
      <c r="A157" s="2">
        <v>156</v>
      </c>
      <c r="B157" s="2">
        <v>108</v>
      </c>
      <c r="C157" s="2">
        <v>12</v>
      </c>
      <c r="D157" s="22">
        <f t="shared" si="4"/>
        <v>9</v>
      </c>
      <c r="E157" s="19" t="str">
        <f t="shared" si="5"/>
        <v/>
      </c>
    </row>
    <row r="158" spans="1:5" x14ac:dyDescent="0.25">
      <c r="A158" s="2">
        <v>157</v>
      </c>
      <c r="B158" s="2">
        <v>1</v>
      </c>
      <c r="C158" s="2">
        <v>2</v>
      </c>
      <c r="D158" s="22">
        <f t="shared" si="4"/>
        <v>0.5</v>
      </c>
      <c r="E158" s="19" t="str">
        <f t="shared" si="5"/>
        <v>PRIME</v>
      </c>
    </row>
    <row r="159" spans="1:5" x14ac:dyDescent="0.25">
      <c r="A159" s="2">
        <v>158</v>
      </c>
      <c r="B159" s="2">
        <v>80</v>
      </c>
      <c r="C159" s="2">
        <v>4</v>
      </c>
      <c r="D159" s="22">
        <f t="shared" si="4"/>
        <v>20</v>
      </c>
      <c r="E159" s="19" t="str">
        <f t="shared" si="5"/>
        <v/>
      </c>
    </row>
    <row r="160" spans="1:5" x14ac:dyDescent="0.25">
      <c r="A160" s="2">
        <v>159</v>
      </c>
      <c r="B160" s="2">
        <v>55</v>
      </c>
      <c r="C160" s="2">
        <v>4</v>
      </c>
      <c r="D160" s="22">
        <f t="shared" si="4"/>
        <v>13.75</v>
      </c>
      <c r="E160" s="19" t="str">
        <f t="shared" si="5"/>
        <v/>
      </c>
    </row>
    <row r="161" spans="1:5" x14ac:dyDescent="0.25">
      <c r="A161" s="2">
        <v>160</v>
      </c>
      <c r="B161" s="2">
        <v>96</v>
      </c>
      <c r="C161" s="2">
        <v>12</v>
      </c>
      <c r="D161" s="22">
        <f t="shared" si="4"/>
        <v>8</v>
      </c>
      <c r="E161" s="19" t="str">
        <f t="shared" si="5"/>
        <v/>
      </c>
    </row>
    <row r="162" spans="1:5" x14ac:dyDescent="0.25">
      <c r="A162" s="2">
        <v>161</v>
      </c>
      <c r="B162" s="2">
        <v>29</v>
      </c>
      <c r="C162" s="2">
        <v>4</v>
      </c>
      <c r="D162" s="22">
        <f t="shared" si="4"/>
        <v>7.25</v>
      </c>
      <c r="E162" s="19" t="str">
        <f t="shared" si="5"/>
        <v/>
      </c>
    </row>
    <row r="163" spans="1:5" x14ac:dyDescent="0.25">
      <c r="A163" s="2">
        <v>162</v>
      </c>
      <c r="B163" s="2">
        <v>108</v>
      </c>
      <c r="C163" s="2">
        <v>10</v>
      </c>
      <c r="D163" s="22">
        <f t="shared" si="4"/>
        <v>10.8</v>
      </c>
      <c r="E163" s="19" t="str">
        <f t="shared" si="5"/>
        <v/>
      </c>
    </row>
    <row r="164" spans="1:5" x14ac:dyDescent="0.25">
      <c r="A164" s="2">
        <v>163</v>
      </c>
      <c r="B164" s="2">
        <v>1</v>
      </c>
      <c r="C164" s="2">
        <v>2</v>
      </c>
      <c r="D164" s="22">
        <f t="shared" si="4"/>
        <v>0.5</v>
      </c>
      <c r="E164" s="19" t="str">
        <f t="shared" si="5"/>
        <v>PRIME</v>
      </c>
    </row>
    <row r="165" spans="1:5" x14ac:dyDescent="0.25">
      <c r="A165" s="2">
        <v>164</v>
      </c>
      <c r="B165" s="2">
        <v>84</v>
      </c>
      <c r="C165" s="2">
        <v>6</v>
      </c>
      <c r="D165" s="22">
        <f t="shared" si="4"/>
        <v>14</v>
      </c>
      <c r="E165" s="19" t="str">
        <f t="shared" si="5"/>
        <v/>
      </c>
    </row>
    <row r="166" spans="1:5" x14ac:dyDescent="0.25">
      <c r="A166" s="2">
        <v>165</v>
      </c>
      <c r="B166" s="2">
        <v>85</v>
      </c>
      <c r="C166" s="2">
        <v>8</v>
      </c>
      <c r="D166" s="22">
        <f t="shared" si="4"/>
        <v>10.625</v>
      </c>
      <c r="E166" s="19" t="str">
        <f t="shared" si="5"/>
        <v/>
      </c>
    </row>
    <row r="167" spans="1:5" x14ac:dyDescent="0.25">
      <c r="A167" s="2">
        <v>166</v>
      </c>
      <c r="B167" s="2">
        <v>84</v>
      </c>
      <c r="C167" s="2">
        <v>4</v>
      </c>
      <c r="D167" s="22">
        <f t="shared" si="4"/>
        <v>21</v>
      </c>
      <c r="E167" s="19" t="str">
        <f t="shared" si="5"/>
        <v/>
      </c>
    </row>
    <row r="168" spans="1:5" x14ac:dyDescent="0.25">
      <c r="A168" s="2">
        <v>167</v>
      </c>
      <c r="B168" s="2">
        <v>1</v>
      </c>
      <c r="C168" s="2">
        <v>2</v>
      </c>
      <c r="D168" s="22">
        <f t="shared" si="4"/>
        <v>0.5</v>
      </c>
      <c r="E168" s="19" t="str">
        <f t="shared" si="5"/>
        <v>PRIME</v>
      </c>
    </row>
    <row r="169" spans="1:5" x14ac:dyDescent="0.25">
      <c r="A169" s="2">
        <v>168</v>
      </c>
      <c r="B169" s="2">
        <v>120</v>
      </c>
      <c r="C169" s="2">
        <v>16</v>
      </c>
      <c r="D169" s="22">
        <f t="shared" si="4"/>
        <v>7.5</v>
      </c>
      <c r="E169" s="19" t="str">
        <f t="shared" si="5"/>
        <v/>
      </c>
    </row>
    <row r="170" spans="1:5" x14ac:dyDescent="0.25">
      <c r="A170" s="2">
        <v>169</v>
      </c>
      <c r="B170" s="2">
        <v>13</v>
      </c>
      <c r="C170" s="2">
        <v>3</v>
      </c>
      <c r="D170" s="22">
        <f t="shared" si="4"/>
        <v>4.333333333333333</v>
      </c>
      <c r="E170" s="19" t="str">
        <f t="shared" si="5"/>
        <v/>
      </c>
    </row>
    <row r="171" spans="1:5" x14ac:dyDescent="0.25">
      <c r="A171" s="2">
        <v>170</v>
      </c>
      <c r="B171" s="2">
        <v>106</v>
      </c>
      <c r="C171" s="2">
        <v>8</v>
      </c>
      <c r="D171" s="22">
        <f t="shared" si="4"/>
        <v>13.25</v>
      </c>
      <c r="E171" s="19" t="str">
        <f t="shared" si="5"/>
        <v/>
      </c>
    </row>
    <row r="172" spans="1:5" x14ac:dyDescent="0.25">
      <c r="A172" s="2">
        <v>171</v>
      </c>
      <c r="B172" s="2">
        <v>63</v>
      </c>
      <c r="C172" s="2">
        <v>6</v>
      </c>
      <c r="D172" s="22">
        <f t="shared" si="4"/>
        <v>10.5</v>
      </c>
      <c r="E172" s="19" t="str">
        <f t="shared" si="5"/>
        <v/>
      </c>
    </row>
    <row r="173" spans="1:5" x14ac:dyDescent="0.25">
      <c r="A173" s="2">
        <v>172</v>
      </c>
      <c r="B173" s="2">
        <v>88</v>
      </c>
      <c r="C173" s="2">
        <v>6</v>
      </c>
      <c r="D173" s="22">
        <f t="shared" si="4"/>
        <v>14.666666666666666</v>
      </c>
      <c r="E173" s="19" t="str">
        <f t="shared" si="5"/>
        <v/>
      </c>
    </row>
    <row r="174" spans="1:5" x14ac:dyDescent="0.25">
      <c r="A174" s="2">
        <v>173</v>
      </c>
      <c r="B174" s="2">
        <v>1</v>
      </c>
      <c r="C174" s="2">
        <v>2</v>
      </c>
      <c r="D174" s="22">
        <f t="shared" si="4"/>
        <v>0.5</v>
      </c>
      <c r="E174" s="19" t="str">
        <f t="shared" si="5"/>
        <v>PRIME</v>
      </c>
    </row>
    <row r="175" spans="1:5" x14ac:dyDescent="0.25">
      <c r="A175" s="2">
        <v>174</v>
      </c>
      <c r="B175" s="2">
        <v>118</v>
      </c>
      <c r="C175" s="2">
        <v>8</v>
      </c>
      <c r="D175" s="22">
        <f t="shared" si="4"/>
        <v>14.75</v>
      </c>
      <c r="E175" s="19" t="str">
        <f t="shared" si="5"/>
        <v/>
      </c>
    </row>
    <row r="176" spans="1:5" x14ac:dyDescent="0.25">
      <c r="A176" s="2">
        <v>175</v>
      </c>
      <c r="B176" s="2">
        <v>55</v>
      </c>
      <c r="C176" s="2">
        <v>6</v>
      </c>
      <c r="D176" s="22">
        <f t="shared" si="4"/>
        <v>9.1666666666666661</v>
      </c>
      <c r="E176" s="19" t="str">
        <f t="shared" si="5"/>
        <v/>
      </c>
    </row>
    <row r="177" spans="1:5" x14ac:dyDescent="0.25">
      <c r="A177" s="2">
        <v>176</v>
      </c>
      <c r="B177" s="2">
        <v>96</v>
      </c>
      <c r="C177" s="2">
        <v>10</v>
      </c>
      <c r="D177" s="22">
        <f t="shared" si="4"/>
        <v>9.6</v>
      </c>
      <c r="E177" s="19" t="str">
        <f t="shared" si="5"/>
        <v/>
      </c>
    </row>
    <row r="178" spans="1:5" x14ac:dyDescent="0.25">
      <c r="A178" s="2">
        <v>177</v>
      </c>
      <c r="B178" s="2">
        <v>61</v>
      </c>
      <c r="C178" s="2">
        <v>4</v>
      </c>
      <c r="D178" s="22">
        <f t="shared" si="4"/>
        <v>15.25</v>
      </c>
      <c r="E178" s="19" t="str">
        <f t="shared" si="5"/>
        <v/>
      </c>
    </row>
    <row r="179" spans="1:5" x14ac:dyDescent="0.25">
      <c r="A179" s="2">
        <v>178</v>
      </c>
      <c r="B179" s="2">
        <v>90</v>
      </c>
      <c r="C179" s="2">
        <v>4</v>
      </c>
      <c r="D179" s="22">
        <f t="shared" si="4"/>
        <v>22.5</v>
      </c>
      <c r="E179" s="19" t="str">
        <f t="shared" si="5"/>
        <v/>
      </c>
    </row>
    <row r="180" spans="1:5" x14ac:dyDescent="0.25">
      <c r="A180" s="2">
        <v>179</v>
      </c>
      <c r="B180" s="2">
        <v>1</v>
      </c>
      <c r="C180" s="2">
        <v>2</v>
      </c>
      <c r="D180" s="22">
        <f t="shared" si="4"/>
        <v>0.5</v>
      </c>
      <c r="E180" s="19" t="str">
        <f t="shared" si="5"/>
        <v>PRIME</v>
      </c>
    </row>
    <row r="181" spans="1:5" x14ac:dyDescent="0.25">
      <c r="A181" s="2">
        <v>180</v>
      </c>
      <c r="B181" s="2">
        <v>132</v>
      </c>
      <c r="C181" s="2">
        <v>18</v>
      </c>
      <c r="D181" s="22">
        <f t="shared" si="4"/>
        <v>7.333333333333333</v>
      </c>
      <c r="E181" s="19" t="str">
        <f t="shared" si="5"/>
        <v/>
      </c>
    </row>
    <row r="182" spans="1:5" x14ac:dyDescent="0.25">
      <c r="A182" s="2">
        <v>181</v>
      </c>
      <c r="B182" s="2">
        <v>1</v>
      </c>
      <c r="C182" s="2">
        <v>2</v>
      </c>
      <c r="D182" s="22">
        <f t="shared" si="4"/>
        <v>0.5</v>
      </c>
      <c r="E182" s="19" t="str">
        <f t="shared" si="5"/>
        <v>PRIME</v>
      </c>
    </row>
    <row r="183" spans="1:5" x14ac:dyDescent="0.25">
      <c r="A183" s="2">
        <v>182</v>
      </c>
      <c r="B183" s="2">
        <v>110</v>
      </c>
      <c r="C183" s="2">
        <v>8</v>
      </c>
      <c r="D183" s="22">
        <f t="shared" si="4"/>
        <v>13.75</v>
      </c>
      <c r="E183" s="19" t="str">
        <f t="shared" si="5"/>
        <v/>
      </c>
    </row>
    <row r="184" spans="1:5" x14ac:dyDescent="0.25">
      <c r="A184" s="2">
        <v>183</v>
      </c>
      <c r="B184" s="2">
        <v>63</v>
      </c>
      <c r="C184" s="2">
        <v>4</v>
      </c>
      <c r="D184" s="22">
        <f t="shared" si="4"/>
        <v>15.75</v>
      </c>
      <c r="E184" s="19" t="str">
        <f t="shared" si="5"/>
        <v/>
      </c>
    </row>
    <row r="185" spans="1:5" x14ac:dyDescent="0.25">
      <c r="A185" s="2">
        <v>184</v>
      </c>
      <c r="B185" s="2">
        <v>96</v>
      </c>
      <c r="C185" s="2">
        <v>8</v>
      </c>
      <c r="D185" s="22">
        <f t="shared" si="4"/>
        <v>12</v>
      </c>
      <c r="E185" s="19" t="str">
        <f t="shared" si="5"/>
        <v/>
      </c>
    </row>
    <row r="186" spans="1:5" x14ac:dyDescent="0.25">
      <c r="A186" s="2">
        <v>185</v>
      </c>
      <c r="B186" s="2">
        <v>41</v>
      </c>
      <c r="C186" s="2">
        <v>4</v>
      </c>
      <c r="D186" s="22">
        <f t="shared" si="4"/>
        <v>10.25</v>
      </c>
      <c r="E186" s="19" t="str">
        <f t="shared" si="5"/>
        <v/>
      </c>
    </row>
    <row r="187" spans="1:5" x14ac:dyDescent="0.25">
      <c r="A187" s="2">
        <v>186</v>
      </c>
      <c r="B187" s="2">
        <v>126</v>
      </c>
      <c r="C187" s="2">
        <v>8</v>
      </c>
      <c r="D187" s="22">
        <f t="shared" si="4"/>
        <v>15.75</v>
      </c>
      <c r="E187" s="19" t="str">
        <f t="shared" si="5"/>
        <v/>
      </c>
    </row>
    <row r="188" spans="1:5" x14ac:dyDescent="0.25">
      <c r="A188" s="2">
        <v>187</v>
      </c>
      <c r="B188" s="2">
        <v>27</v>
      </c>
      <c r="C188" s="2">
        <v>4</v>
      </c>
      <c r="D188" s="22">
        <f t="shared" si="4"/>
        <v>6.75</v>
      </c>
      <c r="E188" s="19" t="str">
        <f t="shared" si="5"/>
        <v/>
      </c>
    </row>
    <row r="189" spans="1:5" x14ac:dyDescent="0.25">
      <c r="A189" s="2">
        <v>188</v>
      </c>
      <c r="B189" s="2">
        <v>96</v>
      </c>
      <c r="C189" s="2">
        <v>6</v>
      </c>
      <c r="D189" s="22">
        <f t="shared" si="4"/>
        <v>16</v>
      </c>
      <c r="E189" s="19" t="str">
        <f t="shared" si="5"/>
        <v/>
      </c>
    </row>
    <row r="190" spans="1:5" x14ac:dyDescent="0.25">
      <c r="A190" s="2">
        <v>189</v>
      </c>
      <c r="B190" s="2">
        <v>81</v>
      </c>
      <c r="C190" s="2">
        <v>8</v>
      </c>
      <c r="D190" s="22">
        <f t="shared" si="4"/>
        <v>10.125</v>
      </c>
      <c r="E190" s="19" t="str">
        <f t="shared" si="5"/>
        <v/>
      </c>
    </row>
    <row r="191" spans="1:5" x14ac:dyDescent="0.25">
      <c r="A191" s="2">
        <v>190</v>
      </c>
      <c r="B191" s="2">
        <v>118</v>
      </c>
      <c r="C191" s="2">
        <v>8</v>
      </c>
      <c r="D191" s="22">
        <f t="shared" si="4"/>
        <v>14.75</v>
      </c>
      <c r="E191" s="19" t="str">
        <f t="shared" si="5"/>
        <v/>
      </c>
    </row>
    <row r="192" spans="1:5" x14ac:dyDescent="0.25">
      <c r="A192" s="2">
        <v>191</v>
      </c>
      <c r="B192" s="2">
        <v>1</v>
      </c>
      <c r="C192" s="2">
        <v>2</v>
      </c>
      <c r="D192" s="22">
        <f t="shared" si="4"/>
        <v>0.5</v>
      </c>
      <c r="E192" s="19" t="str">
        <f t="shared" si="5"/>
        <v>PRIME</v>
      </c>
    </row>
    <row r="193" spans="1:5" x14ac:dyDescent="0.25">
      <c r="A193" s="2">
        <v>192</v>
      </c>
      <c r="B193" s="2">
        <v>128</v>
      </c>
      <c r="C193" s="2">
        <v>14</v>
      </c>
      <c r="D193" s="22">
        <f t="shared" si="4"/>
        <v>9.1428571428571423</v>
      </c>
      <c r="E193" s="19" t="str">
        <f t="shared" si="5"/>
        <v/>
      </c>
    </row>
    <row r="194" spans="1:5" x14ac:dyDescent="0.25">
      <c r="A194" s="2">
        <v>193</v>
      </c>
      <c r="B194" s="2">
        <v>1</v>
      </c>
      <c r="C194" s="2">
        <v>2</v>
      </c>
      <c r="D194" s="22">
        <f t="shared" si="4"/>
        <v>0.5</v>
      </c>
      <c r="E194" s="19" t="str">
        <f t="shared" si="5"/>
        <v>PRIME</v>
      </c>
    </row>
    <row r="195" spans="1:5" x14ac:dyDescent="0.25">
      <c r="A195" s="2">
        <v>194</v>
      </c>
      <c r="B195" s="2">
        <v>98</v>
      </c>
      <c r="C195" s="2">
        <v>4</v>
      </c>
      <c r="D195" s="22">
        <f t="shared" ref="D195:D258" si="6">B195/C195</f>
        <v>24.5</v>
      </c>
      <c r="E195" s="19" t="str">
        <f t="shared" ref="E195:E258" si="7">IF(C195=2,"PRIME","")</f>
        <v/>
      </c>
    </row>
    <row r="196" spans="1:5" x14ac:dyDescent="0.25">
      <c r="A196" s="2">
        <v>195</v>
      </c>
      <c r="B196" s="2">
        <v>99</v>
      </c>
      <c r="C196" s="2">
        <v>8</v>
      </c>
      <c r="D196" s="22">
        <f t="shared" si="6"/>
        <v>12.375</v>
      </c>
      <c r="E196" s="19" t="str">
        <f t="shared" si="7"/>
        <v/>
      </c>
    </row>
    <row r="197" spans="1:5" x14ac:dyDescent="0.25">
      <c r="A197" s="2">
        <v>196</v>
      </c>
      <c r="B197" s="2">
        <v>112</v>
      </c>
      <c r="C197" s="2">
        <v>9</v>
      </c>
      <c r="D197" s="22">
        <f t="shared" si="6"/>
        <v>12.444444444444445</v>
      </c>
      <c r="E197" s="19" t="str">
        <f t="shared" si="7"/>
        <v/>
      </c>
    </row>
    <row r="198" spans="1:5" x14ac:dyDescent="0.25">
      <c r="A198" s="2">
        <v>197</v>
      </c>
      <c r="B198" s="2">
        <v>1</v>
      </c>
      <c r="C198" s="2">
        <v>2</v>
      </c>
      <c r="D198" s="22">
        <f t="shared" si="6"/>
        <v>0.5</v>
      </c>
      <c r="E198" s="19" t="str">
        <f t="shared" si="7"/>
        <v>PRIME</v>
      </c>
    </row>
    <row r="199" spans="1:5" x14ac:dyDescent="0.25">
      <c r="A199" s="2">
        <v>198</v>
      </c>
      <c r="B199" s="2">
        <v>138</v>
      </c>
      <c r="C199" s="2">
        <v>12</v>
      </c>
      <c r="D199" s="22">
        <f t="shared" si="6"/>
        <v>11.5</v>
      </c>
      <c r="E199" s="19" t="str">
        <f t="shared" si="7"/>
        <v/>
      </c>
    </row>
    <row r="200" spans="1:5" x14ac:dyDescent="0.25">
      <c r="A200" s="2">
        <v>199</v>
      </c>
      <c r="B200" s="2">
        <v>1</v>
      </c>
      <c r="C200" s="2">
        <v>2</v>
      </c>
      <c r="D200" s="22">
        <f t="shared" si="6"/>
        <v>0.5</v>
      </c>
      <c r="E200" s="19" t="str">
        <f t="shared" si="7"/>
        <v>PRIME</v>
      </c>
    </row>
    <row r="201" spans="1:5" x14ac:dyDescent="0.25">
      <c r="A201" s="2">
        <v>200</v>
      </c>
      <c r="B201" s="2">
        <v>120</v>
      </c>
      <c r="C201" s="2">
        <v>12</v>
      </c>
      <c r="D201" s="22">
        <f t="shared" si="6"/>
        <v>10</v>
      </c>
      <c r="E201" s="19" t="str">
        <f t="shared" si="7"/>
        <v/>
      </c>
    </row>
    <row r="202" spans="1:5" x14ac:dyDescent="0.25">
      <c r="A202" s="2">
        <v>201</v>
      </c>
      <c r="B202" s="2">
        <v>69</v>
      </c>
      <c r="C202" s="2">
        <v>4</v>
      </c>
      <c r="D202" s="22">
        <f t="shared" si="6"/>
        <v>17.25</v>
      </c>
      <c r="E202" s="19" t="str">
        <f t="shared" si="7"/>
        <v/>
      </c>
    </row>
    <row r="203" spans="1:5" x14ac:dyDescent="0.25">
      <c r="A203" s="2">
        <v>202</v>
      </c>
      <c r="B203" s="2">
        <v>102</v>
      </c>
      <c r="C203" s="2">
        <v>4</v>
      </c>
      <c r="D203" s="22">
        <f t="shared" si="6"/>
        <v>25.5</v>
      </c>
      <c r="E203" s="19" t="str">
        <f t="shared" si="7"/>
        <v/>
      </c>
    </row>
    <row r="204" spans="1:5" x14ac:dyDescent="0.25">
      <c r="A204" s="2">
        <v>203</v>
      </c>
      <c r="B204" s="2">
        <v>35</v>
      </c>
      <c r="C204" s="2">
        <v>4</v>
      </c>
      <c r="D204" s="22">
        <f t="shared" si="6"/>
        <v>8.75</v>
      </c>
      <c r="E204" s="19" t="str">
        <f t="shared" si="7"/>
        <v/>
      </c>
    </row>
    <row r="205" spans="1:5" x14ac:dyDescent="0.25">
      <c r="A205" s="2">
        <v>204</v>
      </c>
      <c r="B205" s="2">
        <v>140</v>
      </c>
      <c r="C205" s="2">
        <v>12</v>
      </c>
      <c r="D205" s="22">
        <f t="shared" si="6"/>
        <v>11.666666666666666</v>
      </c>
      <c r="E205" s="19" t="str">
        <f t="shared" si="7"/>
        <v/>
      </c>
    </row>
    <row r="206" spans="1:5" x14ac:dyDescent="0.25">
      <c r="A206" s="2">
        <v>205</v>
      </c>
      <c r="B206" s="2">
        <v>45</v>
      </c>
      <c r="C206" s="2">
        <v>4</v>
      </c>
      <c r="D206" s="22">
        <f t="shared" si="6"/>
        <v>11.25</v>
      </c>
      <c r="E206" s="19" t="str">
        <f t="shared" si="7"/>
        <v/>
      </c>
    </row>
    <row r="207" spans="1:5" x14ac:dyDescent="0.25">
      <c r="A207" s="2">
        <v>206</v>
      </c>
      <c r="B207" s="2">
        <v>104</v>
      </c>
      <c r="C207" s="2">
        <v>4</v>
      </c>
      <c r="D207" s="22">
        <f t="shared" si="6"/>
        <v>26</v>
      </c>
      <c r="E207" s="19" t="str">
        <f t="shared" si="7"/>
        <v/>
      </c>
    </row>
    <row r="208" spans="1:5" x14ac:dyDescent="0.25">
      <c r="A208" s="2">
        <v>207</v>
      </c>
      <c r="B208" s="2">
        <v>75</v>
      </c>
      <c r="C208" s="2">
        <v>6</v>
      </c>
      <c r="D208" s="22">
        <f t="shared" si="6"/>
        <v>12.5</v>
      </c>
      <c r="E208" s="19" t="str">
        <f t="shared" si="7"/>
        <v/>
      </c>
    </row>
    <row r="209" spans="1:5" x14ac:dyDescent="0.25">
      <c r="A209" s="2">
        <v>208</v>
      </c>
      <c r="B209" s="2">
        <v>112</v>
      </c>
      <c r="C209" s="2">
        <v>10</v>
      </c>
      <c r="D209" s="22">
        <f t="shared" si="6"/>
        <v>11.2</v>
      </c>
      <c r="E209" s="19" t="str">
        <f t="shared" si="7"/>
        <v/>
      </c>
    </row>
    <row r="210" spans="1:5" x14ac:dyDescent="0.25">
      <c r="A210" s="2">
        <v>209</v>
      </c>
      <c r="B210" s="2">
        <v>29</v>
      </c>
      <c r="C210" s="2">
        <v>4</v>
      </c>
      <c r="D210" s="22">
        <f t="shared" si="6"/>
        <v>7.25</v>
      </c>
      <c r="E210" s="19" t="str">
        <f t="shared" si="7"/>
        <v/>
      </c>
    </row>
    <row r="211" spans="1:5" x14ac:dyDescent="0.25">
      <c r="A211" s="2">
        <v>210</v>
      </c>
      <c r="B211" s="2">
        <v>162</v>
      </c>
      <c r="C211" s="2">
        <v>16</v>
      </c>
      <c r="D211" s="22">
        <f t="shared" si="6"/>
        <v>10.125</v>
      </c>
      <c r="E211" s="19" t="str">
        <f t="shared" si="7"/>
        <v/>
      </c>
    </row>
    <row r="212" spans="1:5" x14ac:dyDescent="0.25">
      <c r="A212" s="2">
        <v>211</v>
      </c>
      <c r="B212" s="2">
        <v>1</v>
      </c>
      <c r="C212" s="2">
        <v>2</v>
      </c>
      <c r="D212" s="22">
        <f t="shared" si="6"/>
        <v>0.5</v>
      </c>
      <c r="E212" s="19" t="str">
        <f t="shared" si="7"/>
        <v>PRIME</v>
      </c>
    </row>
    <row r="213" spans="1:5" x14ac:dyDescent="0.25">
      <c r="A213" s="2">
        <v>212</v>
      </c>
      <c r="B213" s="2">
        <v>108</v>
      </c>
      <c r="C213" s="2">
        <v>6</v>
      </c>
      <c r="D213" s="22">
        <f t="shared" si="6"/>
        <v>18</v>
      </c>
      <c r="E213" s="19" t="str">
        <f t="shared" si="7"/>
        <v/>
      </c>
    </row>
    <row r="214" spans="1:5" x14ac:dyDescent="0.25">
      <c r="A214" s="2">
        <v>213</v>
      </c>
      <c r="B214" s="2">
        <v>73</v>
      </c>
      <c r="C214" s="2">
        <v>4</v>
      </c>
      <c r="D214" s="22">
        <f t="shared" si="6"/>
        <v>18.25</v>
      </c>
      <c r="E214" s="19" t="str">
        <f t="shared" si="7"/>
        <v/>
      </c>
    </row>
    <row r="215" spans="1:5" x14ac:dyDescent="0.25">
      <c r="A215" s="2">
        <v>214</v>
      </c>
      <c r="B215" s="2">
        <v>108</v>
      </c>
      <c r="C215" s="2">
        <v>4</v>
      </c>
      <c r="D215" s="22">
        <f t="shared" si="6"/>
        <v>27</v>
      </c>
      <c r="E215" s="19" t="str">
        <f t="shared" si="7"/>
        <v/>
      </c>
    </row>
    <row r="216" spans="1:5" x14ac:dyDescent="0.25">
      <c r="A216" s="2">
        <v>215</v>
      </c>
      <c r="B216" s="2">
        <v>47</v>
      </c>
      <c r="C216" s="2">
        <v>4</v>
      </c>
      <c r="D216" s="22">
        <f t="shared" si="6"/>
        <v>11.75</v>
      </c>
      <c r="E216" s="19" t="str">
        <f t="shared" si="7"/>
        <v/>
      </c>
    </row>
    <row r="217" spans="1:5" x14ac:dyDescent="0.25">
      <c r="A217" s="2">
        <v>216</v>
      </c>
      <c r="B217" s="2">
        <v>144</v>
      </c>
      <c r="C217" s="2">
        <v>16</v>
      </c>
      <c r="D217" s="22">
        <f t="shared" si="6"/>
        <v>9</v>
      </c>
      <c r="E217" s="19" t="str">
        <f t="shared" si="7"/>
        <v/>
      </c>
    </row>
    <row r="218" spans="1:5" x14ac:dyDescent="0.25">
      <c r="A218" s="2">
        <v>217</v>
      </c>
      <c r="B218" s="2">
        <v>37</v>
      </c>
      <c r="C218" s="2">
        <v>4</v>
      </c>
      <c r="D218" s="22">
        <f t="shared" si="6"/>
        <v>9.25</v>
      </c>
      <c r="E218" s="19" t="str">
        <f t="shared" si="7"/>
        <v/>
      </c>
    </row>
    <row r="219" spans="1:5" x14ac:dyDescent="0.25">
      <c r="A219" s="2">
        <v>218</v>
      </c>
      <c r="B219" s="2">
        <v>110</v>
      </c>
      <c r="C219" s="2">
        <v>4</v>
      </c>
      <c r="D219" s="22">
        <f t="shared" si="6"/>
        <v>27.5</v>
      </c>
      <c r="E219" s="19" t="str">
        <f t="shared" si="7"/>
        <v/>
      </c>
    </row>
    <row r="220" spans="1:5" x14ac:dyDescent="0.25">
      <c r="A220" s="2">
        <v>219</v>
      </c>
      <c r="B220" s="2">
        <v>75</v>
      </c>
      <c r="C220" s="2">
        <v>4</v>
      </c>
      <c r="D220" s="22">
        <f t="shared" si="6"/>
        <v>18.75</v>
      </c>
      <c r="E220" s="19" t="str">
        <f t="shared" si="7"/>
        <v/>
      </c>
    </row>
    <row r="221" spans="1:5" x14ac:dyDescent="0.25">
      <c r="A221" s="2">
        <v>220</v>
      </c>
      <c r="B221" s="2">
        <v>140</v>
      </c>
      <c r="C221" s="2">
        <v>12</v>
      </c>
      <c r="D221" s="22">
        <f t="shared" si="6"/>
        <v>11.666666666666666</v>
      </c>
      <c r="E221" s="19" t="str">
        <f t="shared" si="7"/>
        <v/>
      </c>
    </row>
    <row r="222" spans="1:5" x14ac:dyDescent="0.25">
      <c r="A222" s="2">
        <v>221</v>
      </c>
      <c r="B222" s="2">
        <v>29</v>
      </c>
      <c r="C222" s="2">
        <v>4</v>
      </c>
      <c r="D222" s="22">
        <f t="shared" si="6"/>
        <v>7.25</v>
      </c>
      <c r="E222" s="19" t="str">
        <f t="shared" si="7"/>
        <v/>
      </c>
    </row>
    <row r="223" spans="1:5" x14ac:dyDescent="0.25">
      <c r="A223" s="2">
        <v>222</v>
      </c>
      <c r="B223" s="2">
        <v>150</v>
      </c>
      <c r="C223" s="2">
        <v>8</v>
      </c>
      <c r="D223" s="22">
        <f t="shared" si="6"/>
        <v>18.75</v>
      </c>
      <c r="E223" s="19" t="str">
        <f t="shared" si="7"/>
        <v/>
      </c>
    </row>
    <row r="224" spans="1:5" x14ac:dyDescent="0.25">
      <c r="A224" s="2">
        <v>223</v>
      </c>
      <c r="B224" s="2">
        <v>1</v>
      </c>
      <c r="C224" s="2">
        <v>2</v>
      </c>
      <c r="D224" s="22">
        <f t="shared" si="6"/>
        <v>0.5</v>
      </c>
      <c r="E224" s="19" t="str">
        <f t="shared" si="7"/>
        <v>PRIME</v>
      </c>
    </row>
    <row r="225" spans="1:5" x14ac:dyDescent="0.25">
      <c r="A225" s="2">
        <v>224</v>
      </c>
      <c r="B225" s="2">
        <v>128</v>
      </c>
      <c r="C225" s="2">
        <v>12</v>
      </c>
      <c r="D225" s="22">
        <f t="shared" si="6"/>
        <v>10.666666666666666</v>
      </c>
      <c r="E225" s="19" t="str">
        <f t="shared" si="7"/>
        <v/>
      </c>
    </row>
    <row r="226" spans="1:5" x14ac:dyDescent="0.25">
      <c r="A226" s="2">
        <v>225</v>
      </c>
      <c r="B226" s="2">
        <v>105</v>
      </c>
      <c r="C226" s="2">
        <v>9</v>
      </c>
      <c r="D226" s="22">
        <f t="shared" si="6"/>
        <v>11.666666666666666</v>
      </c>
      <c r="E226" s="19" t="str">
        <f t="shared" si="7"/>
        <v/>
      </c>
    </row>
    <row r="227" spans="1:5" x14ac:dyDescent="0.25">
      <c r="A227" s="2">
        <v>226</v>
      </c>
      <c r="B227" s="2">
        <v>114</v>
      </c>
      <c r="C227" s="2">
        <v>4</v>
      </c>
      <c r="D227" s="22">
        <f t="shared" si="6"/>
        <v>28.5</v>
      </c>
      <c r="E227" s="19" t="str">
        <f t="shared" si="7"/>
        <v/>
      </c>
    </row>
    <row r="228" spans="1:5" x14ac:dyDescent="0.25">
      <c r="A228" s="2">
        <v>227</v>
      </c>
      <c r="B228" s="2">
        <v>1</v>
      </c>
      <c r="C228" s="2">
        <v>2</v>
      </c>
      <c r="D228" s="22">
        <f t="shared" si="6"/>
        <v>0.5</v>
      </c>
      <c r="E228" s="19" t="str">
        <f t="shared" si="7"/>
        <v>PRIME</v>
      </c>
    </row>
    <row r="229" spans="1:5" x14ac:dyDescent="0.25">
      <c r="A229" s="2">
        <v>228</v>
      </c>
      <c r="B229" s="2">
        <v>156</v>
      </c>
      <c r="C229" s="2">
        <v>12</v>
      </c>
      <c r="D229" s="22">
        <f t="shared" si="6"/>
        <v>13</v>
      </c>
      <c r="E229" s="19" t="str">
        <f t="shared" si="7"/>
        <v/>
      </c>
    </row>
    <row r="230" spans="1:5" x14ac:dyDescent="0.25">
      <c r="A230" s="2">
        <v>229</v>
      </c>
      <c r="B230" s="2">
        <v>1</v>
      </c>
      <c r="C230" s="2">
        <v>2</v>
      </c>
      <c r="D230" s="22">
        <f t="shared" si="6"/>
        <v>0.5</v>
      </c>
      <c r="E230" s="19" t="str">
        <f t="shared" si="7"/>
        <v>PRIME</v>
      </c>
    </row>
    <row r="231" spans="1:5" x14ac:dyDescent="0.25">
      <c r="A231" s="2">
        <v>230</v>
      </c>
      <c r="B231" s="2">
        <v>142</v>
      </c>
      <c r="C231" s="2">
        <v>8</v>
      </c>
      <c r="D231" s="22">
        <f t="shared" si="6"/>
        <v>17.75</v>
      </c>
      <c r="E231" s="19" t="str">
        <f t="shared" si="7"/>
        <v/>
      </c>
    </row>
    <row r="232" spans="1:5" x14ac:dyDescent="0.25">
      <c r="A232" s="2">
        <v>231</v>
      </c>
      <c r="B232" s="2">
        <v>111</v>
      </c>
      <c r="C232" s="2">
        <v>8</v>
      </c>
      <c r="D232" s="22">
        <f t="shared" si="6"/>
        <v>13.875</v>
      </c>
      <c r="E232" s="19" t="str">
        <f t="shared" si="7"/>
        <v/>
      </c>
    </row>
    <row r="233" spans="1:5" x14ac:dyDescent="0.25">
      <c r="A233" s="2">
        <v>232</v>
      </c>
      <c r="B233" s="2">
        <v>120</v>
      </c>
      <c r="C233" s="2">
        <v>8</v>
      </c>
      <c r="D233" s="22">
        <f t="shared" si="6"/>
        <v>15</v>
      </c>
      <c r="E233" s="19" t="str">
        <f t="shared" si="7"/>
        <v/>
      </c>
    </row>
    <row r="234" spans="1:5" x14ac:dyDescent="0.25">
      <c r="A234" s="2">
        <v>233</v>
      </c>
      <c r="B234" s="2">
        <v>1</v>
      </c>
      <c r="C234" s="2">
        <v>2</v>
      </c>
      <c r="D234" s="22">
        <f t="shared" si="6"/>
        <v>0.5</v>
      </c>
      <c r="E234" s="19" t="str">
        <f t="shared" si="7"/>
        <v>PRIME</v>
      </c>
    </row>
    <row r="235" spans="1:5" x14ac:dyDescent="0.25">
      <c r="A235" s="2">
        <v>234</v>
      </c>
      <c r="B235" s="2">
        <v>162</v>
      </c>
      <c r="C235" s="2">
        <v>12</v>
      </c>
      <c r="D235" s="22">
        <f t="shared" si="6"/>
        <v>13.5</v>
      </c>
      <c r="E235" s="19" t="str">
        <f t="shared" si="7"/>
        <v/>
      </c>
    </row>
    <row r="236" spans="1:5" x14ac:dyDescent="0.25">
      <c r="A236" s="2">
        <v>235</v>
      </c>
      <c r="B236" s="2">
        <v>51</v>
      </c>
      <c r="C236" s="2">
        <v>4</v>
      </c>
      <c r="D236" s="22">
        <f t="shared" si="6"/>
        <v>12.75</v>
      </c>
      <c r="E236" s="19" t="str">
        <f t="shared" si="7"/>
        <v/>
      </c>
    </row>
    <row r="237" spans="1:5" x14ac:dyDescent="0.25">
      <c r="A237" s="2">
        <v>236</v>
      </c>
      <c r="B237" s="2">
        <v>120</v>
      </c>
      <c r="C237" s="2">
        <v>6</v>
      </c>
      <c r="D237" s="22">
        <f t="shared" si="6"/>
        <v>20</v>
      </c>
      <c r="E237" s="19" t="str">
        <f t="shared" si="7"/>
        <v/>
      </c>
    </row>
    <row r="238" spans="1:5" x14ac:dyDescent="0.25">
      <c r="A238" s="2">
        <v>237</v>
      </c>
      <c r="B238" s="2">
        <v>81</v>
      </c>
      <c r="C238" s="2">
        <v>4</v>
      </c>
      <c r="D238" s="22">
        <f t="shared" si="6"/>
        <v>20.25</v>
      </c>
      <c r="E238" s="19" t="str">
        <f t="shared" si="7"/>
        <v/>
      </c>
    </row>
    <row r="239" spans="1:5" x14ac:dyDescent="0.25">
      <c r="A239" s="2">
        <v>238</v>
      </c>
      <c r="B239" s="2">
        <v>142</v>
      </c>
      <c r="C239" s="2">
        <v>8</v>
      </c>
      <c r="D239" s="22">
        <f t="shared" si="6"/>
        <v>17.75</v>
      </c>
      <c r="E239" s="19" t="str">
        <f t="shared" si="7"/>
        <v/>
      </c>
    </row>
    <row r="240" spans="1:5" x14ac:dyDescent="0.25">
      <c r="A240" s="2">
        <v>239</v>
      </c>
      <c r="B240" s="2">
        <v>1</v>
      </c>
      <c r="C240" s="2">
        <v>2</v>
      </c>
      <c r="D240" s="22">
        <f t="shared" si="6"/>
        <v>0.5</v>
      </c>
      <c r="E240" s="19" t="str">
        <f t="shared" si="7"/>
        <v>PRIME</v>
      </c>
    </row>
    <row r="241" spans="1:5" x14ac:dyDescent="0.25">
      <c r="A241" s="2">
        <v>240</v>
      </c>
      <c r="B241" s="2">
        <v>176</v>
      </c>
      <c r="C241" s="2">
        <v>20</v>
      </c>
      <c r="D241" s="22">
        <f t="shared" si="6"/>
        <v>8.8000000000000007</v>
      </c>
      <c r="E241" s="19" t="str">
        <f t="shared" si="7"/>
        <v/>
      </c>
    </row>
    <row r="242" spans="1:5" x14ac:dyDescent="0.25">
      <c r="A242" s="2">
        <v>241</v>
      </c>
      <c r="B242" s="2">
        <v>1</v>
      </c>
      <c r="C242" s="2">
        <v>2</v>
      </c>
      <c r="D242" s="22">
        <f t="shared" si="6"/>
        <v>0.5</v>
      </c>
      <c r="E242" s="19" t="str">
        <f t="shared" si="7"/>
        <v>PRIME</v>
      </c>
    </row>
    <row r="243" spans="1:5" x14ac:dyDescent="0.25">
      <c r="A243" s="2">
        <v>242</v>
      </c>
      <c r="B243" s="2">
        <v>132</v>
      </c>
      <c r="C243" s="2">
        <v>6</v>
      </c>
      <c r="D243" s="22">
        <f t="shared" si="6"/>
        <v>22</v>
      </c>
      <c r="E243" s="19" t="str">
        <f t="shared" si="7"/>
        <v/>
      </c>
    </row>
    <row r="244" spans="1:5" x14ac:dyDescent="0.25">
      <c r="A244" s="2">
        <v>243</v>
      </c>
      <c r="B244" s="2">
        <v>81</v>
      </c>
      <c r="C244" s="2">
        <v>6</v>
      </c>
      <c r="D244" s="22">
        <f t="shared" si="6"/>
        <v>13.5</v>
      </c>
      <c r="E244" s="19" t="str">
        <f t="shared" si="7"/>
        <v/>
      </c>
    </row>
    <row r="245" spans="1:5" x14ac:dyDescent="0.25">
      <c r="A245" s="2">
        <v>244</v>
      </c>
      <c r="B245" s="2">
        <v>124</v>
      </c>
      <c r="C245" s="2">
        <v>6</v>
      </c>
      <c r="D245" s="22">
        <f t="shared" si="6"/>
        <v>20.666666666666668</v>
      </c>
      <c r="E245" s="19" t="str">
        <f t="shared" si="7"/>
        <v/>
      </c>
    </row>
    <row r="246" spans="1:5" x14ac:dyDescent="0.25">
      <c r="A246" s="2">
        <v>245</v>
      </c>
      <c r="B246" s="2">
        <v>77</v>
      </c>
      <c r="C246" s="2">
        <v>6</v>
      </c>
      <c r="D246" s="22">
        <f t="shared" si="6"/>
        <v>12.833333333333334</v>
      </c>
      <c r="E246" s="19" t="str">
        <f t="shared" si="7"/>
        <v/>
      </c>
    </row>
    <row r="247" spans="1:5" x14ac:dyDescent="0.25">
      <c r="A247" s="2">
        <v>246</v>
      </c>
      <c r="B247" s="2">
        <v>166</v>
      </c>
      <c r="C247" s="2">
        <v>8</v>
      </c>
      <c r="D247" s="22">
        <f t="shared" si="6"/>
        <v>20.75</v>
      </c>
      <c r="E247" s="19" t="str">
        <f t="shared" si="7"/>
        <v/>
      </c>
    </row>
    <row r="248" spans="1:5" x14ac:dyDescent="0.25">
      <c r="A248" s="2">
        <v>247</v>
      </c>
      <c r="B248" s="2">
        <v>31</v>
      </c>
      <c r="C248" s="2">
        <v>4</v>
      </c>
      <c r="D248" s="22">
        <f t="shared" si="6"/>
        <v>7.75</v>
      </c>
      <c r="E248" s="19" t="str">
        <f t="shared" si="7"/>
        <v/>
      </c>
    </row>
    <row r="249" spans="1:5" x14ac:dyDescent="0.25">
      <c r="A249" s="2">
        <v>248</v>
      </c>
      <c r="B249" s="2">
        <v>128</v>
      </c>
      <c r="C249" s="2">
        <v>8</v>
      </c>
      <c r="D249" s="22">
        <f t="shared" si="6"/>
        <v>16</v>
      </c>
      <c r="E249" s="19" t="str">
        <f t="shared" si="7"/>
        <v/>
      </c>
    </row>
    <row r="250" spans="1:5" x14ac:dyDescent="0.25">
      <c r="A250" s="2">
        <v>249</v>
      </c>
      <c r="B250" s="2">
        <v>85</v>
      </c>
      <c r="C250" s="2">
        <v>4</v>
      </c>
      <c r="D250" s="22">
        <f t="shared" si="6"/>
        <v>21.25</v>
      </c>
      <c r="E250" s="19" t="str">
        <f t="shared" si="7"/>
        <v/>
      </c>
    </row>
    <row r="251" spans="1:5" x14ac:dyDescent="0.25">
      <c r="A251" s="2">
        <v>250</v>
      </c>
      <c r="B251" s="2">
        <v>150</v>
      </c>
      <c r="C251" s="2">
        <v>8</v>
      </c>
      <c r="D251" s="22">
        <f t="shared" si="6"/>
        <v>18.75</v>
      </c>
      <c r="E251" s="19" t="str">
        <f t="shared" si="7"/>
        <v/>
      </c>
    </row>
    <row r="252" spans="1:5" x14ac:dyDescent="0.25">
      <c r="A252" s="2">
        <v>251</v>
      </c>
      <c r="B252" s="2">
        <v>1</v>
      </c>
      <c r="C252" s="2">
        <v>2</v>
      </c>
      <c r="D252" s="22">
        <f t="shared" si="6"/>
        <v>0.5</v>
      </c>
      <c r="E252" s="19" t="str">
        <f t="shared" si="7"/>
        <v>PRIME</v>
      </c>
    </row>
    <row r="253" spans="1:5" x14ac:dyDescent="0.25">
      <c r="A253" s="2">
        <v>252</v>
      </c>
      <c r="B253" s="2">
        <v>180</v>
      </c>
      <c r="C253" s="2">
        <v>18</v>
      </c>
      <c r="D253" s="22">
        <f t="shared" si="6"/>
        <v>10</v>
      </c>
      <c r="E253" s="19" t="str">
        <f t="shared" si="7"/>
        <v/>
      </c>
    </row>
    <row r="254" spans="1:5" x14ac:dyDescent="0.25">
      <c r="A254" s="2">
        <v>253</v>
      </c>
      <c r="B254" s="2">
        <v>33</v>
      </c>
      <c r="C254" s="2">
        <v>4</v>
      </c>
      <c r="D254" s="22">
        <f t="shared" si="6"/>
        <v>8.25</v>
      </c>
      <c r="E254" s="19" t="str">
        <f t="shared" si="7"/>
        <v/>
      </c>
    </row>
    <row r="255" spans="1:5" x14ac:dyDescent="0.25">
      <c r="A255" s="2">
        <v>254</v>
      </c>
      <c r="B255" s="2">
        <v>128</v>
      </c>
      <c r="C255" s="2">
        <v>4</v>
      </c>
      <c r="D255" s="22">
        <f t="shared" si="6"/>
        <v>32</v>
      </c>
      <c r="E255" s="19" t="str">
        <f t="shared" si="7"/>
        <v/>
      </c>
    </row>
    <row r="256" spans="1:5" x14ac:dyDescent="0.25">
      <c r="A256" s="2">
        <v>255</v>
      </c>
      <c r="B256" s="2">
        <v>127</v>
      </c>
      <c r="C256" s="2">
        <v>8</v>
      </c>
      <c r="D256" s="22">
        <f t="shared" si="6"/>
        <v>15.875</v>
      </c>
      <c r="E256" s="19" t="str">
        <f t="shared" si="7"/>
        <v/>
      </c>
    </row>
    <row r="257" spans="1:5" x14ac:dyDescent="0.25">
      <c r="A257" s="2">
        <v>256</v>
      </c>
      <c r="B257" s="2">
        <v>128</v>
      </c>
      <c r="C257" s="2">
        <v>9</v>
      </c>
      <c r="D257" s="22">
        <f t="shared" si="6"/>
        <v>14.222222222222221</v>
      </c>
      <c r="E257" s="19" t="str">
        <f t="shared" si="7"/>
        <v/>
      </c>
    </row>
    <row r="258" spans="1:5" x14ac:dyDescent="0.25">
      <c r="A258" s="2">
        <v>257</v>
      </c>
      <c r="B258" s="2">
        <v>1</v>
      </c>
      <c r="C258" s="2">
        <v>2</v>
      </c>
      <c r="D258" s="22">
        <f t="shared" si="6"/>
        <v>0.5</v>
      </c>
      <c r="E258" s="19" t="str">
        <f t="shared" si="7"/>
        <v>PRIME</v>
      </c>
    </row>
    <row r="259" spans="1:5" x14ac:dyDescent="0.25">
      <c r="A259" s="2">
        <v>258</v>
      </c>
      <c r="B259" s="2">
        <v>174</v>
      </c>
      <c r="C259" s="2">
        <v>8</v>
      </c>
      <c r="D259" s="22">
        <f t="shared" ref="D259:D322" si="8">B259/C259</f>
        <v>21.75</v>
      </c>
      <c r="E259" s="19" t="str">
        <f t="shared" ref="E259:E322" si="9">IF(C259=2,"PRIME","")</f>
        <v/>
      </c>
    </row>
    <row r="260" spans="1:5" x14ac:dyDescent="0.25">
      <c r="A260" s="2">
        <v>259</v>
      </c>
      <c r="B260" s="2">
        <v>43</v>
      </c>
      <c r="C260" s="2">
        <v>4</v>
      </c>
      <c r="D260" s="22">
        <f t="shared" si="8"/>
        <v>10.75</v>
      </c>
      <c r="E260" s="19" t="str">
        <f t="shared" si="9"/>
        <v/>
      </c>
    </row>
    <row r="261" spans="1:5" x14ac:dyDescent="0.25">
      <c r="A261" s="2">
        <v>260</v>
      </c>
      <c r="B261" s="2">
        <v>164</v>
      </c>
      <c r="C261" s="2">
        <v>12</v>
      </c>
      <c r="D261" s="22">
        <f t="shared" si="8"/>
        <v>13.666666666666666</v>
      </c>
      <c r="E261" s="19" t="str">
        <f t="shared" si="9"/>
        <v/>
      </c>
    </row>
    <row r="262" spans="1:5" x14ac:dyDescent="0.25">
      <c r="A262" s="2">
        <v>261</v>
      </c>
      <c r="B262" s="2">
        <v>93</v>
      </c>
      <c r="C262" s="2">
        <v>6</v>
      </c>
      <c r="D262" s="22">
        <f t="shared" si="8"/>
        <v>15.5</v>
      </c>
      <c r="E262" s="19" t="str">
        <f t="shared" si="9"/>
        <v/>
      </c>
    </row>
    <row r="263" spans="1:5" x14ac:dyDescent="0.25">
      <c r="A263" s="2">
        <v>262</v>
      </c>
      <c r="B263" s="2">
        <v>132</v>
      </c>
      <c r="C263" s="2">
        <v>4</v>
      </c>
      <c r="D263" s="22">
        <f t="shared" si="8"/>
        <v>33</v>
      </c>
      <c r="E263" s="19" t="str">
        <f t="shared" si="9"/>
        <v/>
      </c>
    </row>
    <row r="264" spans="1:5" x14ac:dyDescent="0.25">
      <c r="A264" s="2">
        <v>263</v>
      </c>
      <c r="B264" s="2">
        <v>1</v>
      </c>
      <c r="C264" s="2">
        <v>2</v>
      </c>
      <c r="D264" s="22">
        <f t="shared" si="8"/>
        <v>0.5</v>
      </c>
      <c r="E264" s="19" t="str">
        <f t="shared" si="9"/>
        <v>PRIME</v>
      </c>
    </row>
    <row r="265" spans="1:5" x14ac:dyDescent="0.25">
      <c r="A265" s="2">
        <v>264</v>
      </c>
      <c r="B265" s="2">
        <v>184</v>
      </c>
      <c r="C265" s="2">
        <v>16</v>
      </c>
      <c r="D265" s="22">
        <f t="shared" si="8"/>
        <v>11.5</v>
      </c>
      <c r="E265" s="19" t="str">
        <f t="shared" si="9"/>
        <v/>
      </c>
    </row>
    <row r="266" spans="1:5" x14ac:dyDescent="0.25">
      <c r="A266" s="2">
        <v>265</v>
      </c>
      <c r="B266" s="2">
        <v>57</v>
      </c>
      <c r="C266" s="2">
        <v>4</v>
      </c>
      <c r="D266" s="22">
        <f t="shared" si="8"/>
        <v>14.25</v>
      </c>
      <c r="E266" s="19" t="str">
        <f t="shared" si="9"/>
        <v/>
      </c>
    </row>
    <row r="267" spans="1:5" x14ac:dyDescent="0.25">
      <c r="A267" s="2">
        <v>266</v>
      </c>
      <c r="B267" s="2">
        <v>158</v>
      </c>
      <c r="C267" s="2">
        <v>8</v>
      </c>
      <c r="D267" s="22">
        <f t="shared" si="8"/>
        <v>19.75</v>
      </c>
      <c r="E267" s="19" t="str">
        <f t="shared" si="9"/>
        <v/>
      </c>
    </row>
    <row r="268" spans="1:5" x14ac:dyDescent="0.25">
      <c r="A268" s="2">
        <v>267</v>
      </c>
      <c r="B268" s="2">
        <v>91</v>
      </c>
      <c r="C268" s="2">
        <v>4</v>
      </c>
      <c r="D268" s="22">
        <f t="shared" si="8"/>
        <v>22.75</v>
      </c>
      <c r="E268" s="19" t="str">
        <f t="shared" si="9"/>
        <v/>
      </c>
    </row>
    <row r="269" spans="1:5" x14ac:dyDescent="0.25">
      <c r="A269" s="2">
        <v>268</v>
      </c>
      <c r="B269" s="2">
        <v>136</v>
      </c>
      <c r="C269" s="2">
        <v>6</v>
      </c>
      <c r="D269" s="22">
        <f t="shared" si="8"/>
        <v>22.666666666666668</v>
      </c>
      <c r="E269" s="19" t="str">
        <f t="shared" si="9"/>
        <v/>
      </c>
    </row>
    <row r="270" spans="1:5" x14ac:dyDescent="0.25">
      <c r="A270" s="2">
        <v>269</v>
      </c>
      <c r="B270" s="2">
        <v>1</v>
      </c>
      <c r="C270" s="2">
        <v>2</v>
      </c>
      <c r="D270" s="22">
        <f t="shared" si="8"/>
        <v>0.5</v>
      </c>
      <c r="E270" s="19" t="str">
        <f t="shared" si="9"/>
        <v>PRIME</v>
      </c>
    </row>
    <row r="271" spans="1:5" x14ac:dyDescent="0.25">
      <c r="A271" s="2">
        <v>270</v>
      </c>
      <c r="B271" s="2">
        <v>198</v>
      </c>
      <c r="C271" s="2">
        <v>16</v>
      </c>
      <c r="D271" s="22">
        <f t="shared" si="8"/>
        <v>12.375</v>
      </c>
      <c r="E271" s="19" t="str">
        <f t="shared" si="9"/>
        <v/>
      </c>
    </row>
    <row r="272" spans="1:5" x14ac:dyDescent="0.25">
      <c r="A272" s="2">
        <v>271</v>
      </c>
      <c r="B272" s="2">
        <v>1</v>
      </c>
      <c r="C272" s="2">
        <v>2</v>
      </c>
      <c r="D272" s="22">
        <f t="shared" si="8"/>
        <v>0.5</v>
      </c>
      <c r="E272" s="19" t="str">
        <f t="shared" si="9"/>
        <v>PRIME</v>
      </c>
    </row>
    <row r="273" spans="1:5" x14ac:dyDescent="0.25">
      <c r="A273" s="2">
        <v>272</v>
      </c>
      <c r="B273" s="2">
        <v>144</v>
      </c>
      <c r="C273" s="2">
        <v>10</v>
      </c>
      <c r="D273" s="22">
        <f t="shared" si="8"/>
        <v>14.4</v>
      </c>
      <c r="E273" s="19" t="str">
        <f t="shared" si="9"/>
        <v/>
      </c>
    </row>
    <row r="274" spans="1:5" x14ac:dyDescent="0.25">
      <c r="A274" s="2">
        <v>273</v>
      </c>
      <c r="B274" s="2">
        <v>129</v>
      </c>
      <c r="C274" s="2">
        <v>8</v>
      </c>
      <c r="D274" s="22">
        <f t="shared" si="8"/>
        <v>16.125</v>
      </c>
      <c r="E274" s="19" t="str">
        <f t="shared" si="9"/>
        <v/>
      </c>
    </row>
    <row r="275" spans="1:5" x14ac:dyDescent="0.25">
      <c r="A275" s="2">
        <v>274</v>
      </c>
      <c r="B275" s="2">
        <v>138</v>
      </c>
      <c r="C275" s="2">
        <v>4</v>
      </c>
      <c r="D275" s="22">
        <f t="shared" si="8"/>
        <v>34.5</v>
      </c>
      <c r="E275" s="19" t="str">
        <f t="shared" si="9"/>
        <v/>
      </c>
    </row>
    <row r="276" spans="1:5" x14ac:dyDescent="0.25">
      <c r="A276" s="2">
        <v>275</v>
      </c>
      <c r="B276" s="2">
        <v>75</v>
      </c>
      <c r="C276" s="2">
        <v>6</v>
      </c>
      <c r="D276" s="22">
        <f t="shared" si="8"/>
        <v>12.5</v>
      </c>
      <c r="E276" s="19" t="str">
        <f t="shared" si="9"/>
        <v/>
      </c>
    </row>
    <row r="277" spans="1:5" x14ac:dyDescent="0.25">
      <c r="A277" s="2">
        <v>276</v>
      </c>
      <c r="B277" s="2">
        <v>188</v>
      </c>
      <c r="C277" s="2">
        <v>12</v>
      </c>
      <c r="D277" s="22">
        <f t="shared" si="8"/>
        <v>15.666666666666666</v>
      </c>
      <c r="E277" s="19" t="str">
        <f t="shared" si="9"/>
        <v/>
      </c>
    </row>
    <row r="278" spans="1:5" x14ac:dyDescent="0.25">
      <c r="A278" s="2">
        <v>277</v>
      </c>
      <c r="B278" s="2">
        <v>1</v>
      </c>
      <c r="C278" s="2">
        <v>2</v>
      </c>
      <c r="D278" s="22">
        <f t="shared" si="8"/>
        <v>0.5</v>
      </c>
      <c r="E278" s="19" t="str">
        <f t="shared" si="9"/>
        <v>PRIME</v>
      </c>
    </row>
    <row r="279" spans="1:5" x14ac:dyDescent="0.25">
      <c r="A279" s="2">
        <v>278</v>
      </c>
      <c r="B279" s="2">
        <v>140</v>
      </c>
      <c r="C279" s="2">
        <v>4</v>
      </c>
      <c r="D279" s="22">
        <f t="shared" si="8"/>
        <v>35</v>
      </c>
      <c r="E279" s="19" t="str">
        <f t="shared" si="9"/>
        <v/>
      </c>
    </row>
    <row r="280" spans="1:5" x14ac:dyDescent="0.25">
      <c r="A280" s="2">
        <v>279</v>
      </c>
      <c r="B280" s="2">
        <v>99</v>
      </c>
      <c r="C280" s="2">
        <v>6</v>
      </c>
      <c r="D280" s="22">
        <f t="shared" si="8"/>
        <v>16.5</v>
      </c>
      <c r="E280" s="19" t="str">
        <f t="shared" si="9"/>
        <v/>
      </c>
    </row>
    <row r="281" spans="1:5" x14ac:dyDescent="0.25">
      <c r="A281" s="2">
        <v>280</v>
      </c>
      <c r="B281" s="2">
        <v>184</v>
      </c>
      <c r="C281" s="2">
        <v>16</v>
      </c>
      <c r="D281" s="22">
        <f t="shared" si="8"/>
        <v>11.5</v>
      </c>
      <c r="E281" s="19" t="str">
        <f t="shared" si="9"/>
        <v/>
      </c>
    </row>
    <row r="282" spans="1:5" x14ac:dyDescent="0.25">
      <c r="A282" s="2">
        <v>281</v>
      </c>
      <c r="B282" s="2">
        <v>1</v>
      </c>
      <c r="C282" s="2">
        <v>2</v>
      </c>
      <c r="D282" s="22">
        <f t="shared" si="8"/>
        <v>0.5</v>
      </c>
      <c r="E282" s="19" t="str">
        <f t="shared" si="9"/>
        <v>PRIME</v>
      </c>
    </row>
    <row r="283" spans="1:5" x14ac:dyDescent="0.25">
      <c r="A283" s="2">
        <v>282</v>
      </c>
      <c r="B283" s="2">
        <v>190</v>
      </c>
      <c r="C283" s="2">
        <v>8</v>
      </c>
      <c r="D283" s="22">
        <f t="shared" si="8"/>
        <v>23.75</v>
      </c>
      <c r="E283" s="19" t="str">
        <f t="shared" si="9"/>
        <v/>
      </c>
    </row>
    <row r="284" spans="1:5" x14ac:dyDescent="0.25">
      <c r="A284" s="2">
        <v>283</v>
      </c>
      <c r="B284" s="2">
        <v>1</v>
      </c>
      <c r="C284" s="2">
        <v>2</v>
      </c>
      <c r="D284" s="22">
        <f t="shared" si="8"/>
        <v>0.5</v>
      </c>
      <c r="E284" s="19" t="str">
        <f t="shared" si="9"/>
        <v>PRIME</v>
      </c>
    </row>
    <row r="285" spans="1:5" x14ac:dyDescent="0.25">
      <c r="A285" s="2">
        <v>284</v>
      </c>
      <c r="B285" s="2">
        <v>144</v>
      </c>
      <c r="C285" s="2">
        <v>6</v>
      </c>
      <c r="D285" s="22">
        <f t="shared" si="8"/>
        <v>24</v>
      </c>
      <c r="E285" s="19" t="str">
        <f t="shared" si="9"/>
        <v/>
      </c>
    </row>
    <row r="286" spans="1:5" x14ac:dyDescent="0.25">
      <c r="A286" s="2">
        <v>285</v>
      </c>
      <c r="B286" s="2">
        <v>141</v>
      </c>
      <c r="C286" s="2">
        <v>8</v>
      </c>
      <c r="D286" s="22">
        <f t="shared" si="8"/>
        <v>17.625</v>
      </c>
      <c r="E286" s="19" t="str">
        <f t="shared" si="9"/>
        <v/>
      </c>
    </row>
    <row r="287" spans="1:5" x14ac:dyDescent="0.25">
      <c r="A287" s="2">
        <v>286</v>
      </c>
      <c r="B287" s="2">
        <v>166</v>
      </c>
      <c r="C287" s="2">
        <v>8</v>
      </c>
      <c r="D287" s="22">
        <f t="shared" si="8"/>
        <v>20.75</v>
      </c>
      <c r="E287" s="19" t="str">
        <f t="shared" si="9"/>
        <v/>
      </c>
    </row>
    <row r="288" spans="1:5" x14ac:dyDescent="0.25">
      <c r="A288" s="2">
        <v>287</v>
      </c>
      <c r="B288" s="2">
        <v>47</v>
      </c>
      <c r="C288" s="2">
        <v>4</v>
      </c>
      <c r="D288" s="22">
        <f t="shared" si="8"/>
        <v>11.75</v>
      </c>
      <c r="E288" s="19" t="str">
        <f t="shared" si="9"/>
        <v/>
      </c>
    </row>
    <row r="289" spans="1:5" x14ac:dyDescent="0.25">
      <c r="A289" s="2">
        <v>288</v>
      </c>
      <c r="B289" s="2">
        <v>192</v>
      </c>
      <c r="C289" s="2">
        <v>18</v>
      </c>
      <c r="D289" s="22">
        <f t="shared" si="8"/>
        <v>10.666666666666666</v>
      </c>
      <c r="E289" s="19" t="str">
        <f t="shared" si="9"/>
        <v/>
      </c>
    </row>
    <row r="290" spans="1:5" x14ac:dyDescent="0.25">
      <c r="A290" s="2">
        <v>289</v>
      </c>
      <c r="B290" s="2">
        <v>17</v>
      </c>
      <c r="C290" s="2">
        <v>3</v>
      </c>
      <c r="D290" s="22">
        <f t="shared" si="8"/>
        <v>5.666666666666667</v>
      </c>
      <c r="E290" s="19" t="str">
        <f t="shared" si="9"/>
        <v/>
      </c>
    </row>
    <row r="291" spans="1:5" x14ac:dyDescent="0.25">
      <c r="A291" s="2">
        <v>290</v>
      </c>
      <c r="B291" s="2">
        <v>178</v>
      </c>
      <c r="C291" s="2">
        <v>8</v>
      </c>
      <c r="D291" s="22">
        <f t="shared" si="8"/>
        <v>22.25</v>
      </c>
      <c r="E291" s="19" t="str">
        <f t="shared" si="9"/>
        <v/>
      </c>
    </row>
    <row r="292" spans="1:5" x14ac:dyDescent="0.25">
      <c r="A292" s="2">
        <v>291</v>
      </c>
      <c r="B292" s="2">
        <v>99</v>
      </c>
      <c r="C292" s="2">
        <v>4</v>
      </c>
      <c r="D292" s="22">
        <f t="shared" si="8"/>
        <v>24.75</v>
      </c>
      <c r="E292" s="19" t="str">
        <f t="shared" si="9"/>
        <v/>
      </c>
    </row>
    <row r="293" spans="1:5" x14ac:dyDescent="0.25">
      <c r="A293" s="2">
        <v>292</v>
      </c>
      <c r="B293" s="2">
        <v>148</v>
      </c>
      <c r="C293" s="2">
        <v>6</v>
      </c>
      <c r="D293" s="22">
        <f t="shared" si="8"/>
        <v>24.666666666666668</v>
      </c>
      <c r="E293" s="19" t="str">
        <f t="shared" si="9"/>
        <v/>
      </c>
    </row>
    <row r="294" spans="1:5" x14ac:dyDescent="0.25">
      <c r="A294" s="2">
        <v>293</v>
      </c>
      <c r="B294" s="2">
        <v>1</v>
      </c>
      <c r="C294" s="2">
        <v>2</v>
      </c>
      <c r="D294" s="22">
        <f t="shared" si="8"/>
        <v>0.5</v>
      </c>
      <c r="E294" s="19" t="str">
        <f t="shared" si="9"/>
        <v>PRIME</v>
      </c>
    </row>
    <row r="295" spans="1:5" x14ac:dyDescent="0.25">
      <c r="A295" s="2">
        <v>294</v>
      </c>
      <c r="B295" s="2">
        <v>210</v>
      </c>
      <c r="C295" s="2">
        <v>12</v>
      </c>
      <c r="D295" s="22">
        <f t="shared" si="8"/>
        <v>17.5</v>
      </c>
      <c r="E295" s="19" t="str">
        <f t="shared" si="9"/>
        <v/>
      </c>
    </row>
    <row r="296" spans="1:5" x14ac:dyDescent="0.25">
      <c r="A296" s="2">
        <v>295</v>
      </c>
      <c r="B296" s="2">
        <v>63</v>
      </c>
      <c r="C296" s="2">
        <v>4</v>
      </c>
      <c r="D296" s="22">
        <f t="shared" si="8"/>
        <v>15.75</v>
      </c>
      <c r="E296" s="19" t="str">
        <f t="shared" si="9"/>
        <v/>
      </c>
    </row>
    <row r="297" spans="1:5" x14ac:dyDescent="0.25">
      <c r="A297" s="2">
        <v>296</v>
      </c>
      <c r="B297" s="2">
        <v>152</v>
      </c>
      <c r="C297" s="2">
        <v>8</v>
      </c>
      <c r="D297" s="22">
        <f t="shared" si="8"/>
        <v>19</v>
      </c>
      <c r="E297" s="19" t="str">
        <f t="shared" si="9"/>
        <v/>
      </c>
    </row>
    <row r="298" spans="1:5" x14ac:dyDescent="0.25">
      <c r="A298" s="2">
        <v>297</v>
      </c>
      <c r="B298" s="2">
        <v>117</v>
      </c>
      <c r="C298" s="2">
        <v>8</v>
      </c>
      <c r="D298" s="22">
        <f t="shared" si="8"/>
        <v>14.625</v>
      </c>
      <c r="E298" s="19" t="str">
        <f t="shared" si="9"/>
        <v/>
      </c>
    </row>
    <row r="299" spans="1:5" x14ac:dyDescent="0.25">
      <c r="A299" s="2">
        <v>298</v>
      </c>
      <c r="B299" s="2">
        <v>150</v>
      </c>
      <c r="C299" s="2">
        <v>4</v>
      </c>
      <c r="D299" s="22">
        <f t="shared" si="8"/>
        <v>37.5</v>
      </c>
      <c r="E299" s="19" t="str">
        <f t="shared" si="9"/>
        <v/>
      </c>
    </row>
    <row r="300" spans="1:5" x14ac:dyDescent="0.25">
      <c r="A300" s="2">
        <v>299</v>
      </c>
      <c r="B300" s="2">
        <v>35</v>
      </c>
      <c r="C300" s="2">
        <v>4</v>
      </c>
      <c r="D300" s="22">
        <f t="shared" si="8"/>
        <v>8.75</v>
      </c>
      <c r="E300" s="19" t="str">
        <f t="shared" si="9"/>
        <v/>
      </c>
    </row>
    <row r="301" spans="1:5" x14ac:dyDescent="0.25">
      <c r="A301" s="2">
        <v>300</v>
      </c>
      <c r="B301" s="2">
        <v>220</v>
      </c>
      <c r="C301" s="2">
        <v>18</v>
      </c>
      <c r="D301" s="22">
        <f t="shared" si="8"/>
        <v>12.222222222222221</v>
      </c>
      <c r="E301" s="19" t="str">
        <f t="shared" si="9"/>
        <v/>
      </c>
    </row>
    <row r="302" spans="1:5" x14ac:dyDescent="0.25">
      <c r="A302" s="2">
        <v>301</v>
      </c>
      <c r="B302" s="2">
        <v>49</v>
      </c>
      <c r="C302" s="2">
        <v>4</v>
      </c>
      <c r="D302" s="22">
        <f t="shared" si="8"/>
        <v>12.25</v>
      </c>
      <c r="E302" s="19" t="str">
        <f t="shared" si="9"/>
        <v/>
      </c>
    </row>
    <row r="303" spans="1:5" x14ac:dyDescent="0.25">
      <c r="A303" s="2">
        <v>302</v>
      </c>
      <c r="B303" s="2">
        <v>152</v>
      </c>
      <c r="C303" s="2">
        <v>4</v>
      </c>
      <c r="D303" s="22">
        <f t="shared" si="8"/>
        <v>38</v>
      </c>
      <c r="E303" s="19" t="str">
        <f t="shared" si="9"/>
        <v/>
      </c>
    </row>
    <row r="304" spans="1:5" x14ac:dyDescent="0.25">
      <c r="A304" s="2">
        <v>303</v>
      </c>
      <c r="B304" s="2">
        <v>103</v>
      </c>
      <c r="C304" s="2">
        <v>4</v>
      </c>
      <c r="D304" s="22">
        <f t="shared" si="8"/>
        <v>25.75</v>
      </c>
      <c r="E304" s="19" t="str">
        <f t="shared" si="9"/>
        <v/>
      </c>
    </row>
    <row r="305" spans="1:5" x14ac:dyDescent="0.25">
      <c r="A305" s="2">
        <v>304</v>
      </c>
      <c r="B305" s="2">
        <v>160</v>
      </c>
      <c r="C305" s="2">
        <v>10</v>
      </c>
      <c r="D305" s="22">
        <f t="shared" si="8"/>
        <v>16</v>
      </c>
      <c r="E305" s="19" t="str">
        <f t="shared" si="9"/>
        <v/>
      </c>
    </row>
    <row r="306" spans="1:5" x14ac:dyDescent="0.25">
      <c r="A306" s="2">
        <v>305</v>
      </c>
      <c r="B306" s="2">
        <v>65</v>
      </c>
      <c r="C306" s="2">
        <v>4</v>
      </c>
      <c r="D306" s="22">
        <f t="shared" si="8"/>
        <v>16.25</v>
      </c>
      <c r="E306" s="19" t="str">
        <f t="shared" si="9"/>
        <v/>
      </c>
    </row>
    <row r="307" spans="1:5" x14ac:dyDescent="0.25">
      <c r="A307" s="2">
        <v>306</v>
      </c>
      <c r="B307" s="2">
        <v>210</v>
      </c>
      <c r="C307" s="2">
        <v>12</v>
      </c>
      <c r="D307" s="22">
        <f t="shared" si="8"/>
        <v>17.5</v>
      </c>
      <c r="E307" s="19" t="str">
        <f t="shared" si="9"/>
        <v/>
      </c>
    </row>
    <row r="308" spans="1:5" x14ac:dyDescent="0.25">
      <c r="A308" s="2">
        <v>307</v>
      </c>
      <c r="B308" s="2">
        <v>1</v>
      </c>
      <c r="C308" s="2">
        <v>2</v>
      </c>
      <c r="D308" s="22">
        <f t="shared" si="8"/>
        <v>0.5</v>
      </c>
      <c r="E308" s="19" t="str">
        <f t="shared" si="9"/>
        <v>PRIME</v>
      </c>
    </row>
    <row r="309" spans="1:5" x14ac:dyDescent="0.25">
      <c r="A309" s="2">
        <v>308</v>
      </c>
      <c r="B309" s="2">
        <v>188</v>
      </c>
      <c r="C309" s="2">
        <v>12</v>
      </c>
      <c r="D309" s="22">
        <f t="shared" si="8"/>
        <v>15.666666666666666</v>
      </c>
      <c r="E309" s="19" t="str">
        <f t="shared" si="9"/>
        <v/>
      </c>
    </row>
    <row r="310" spans="1:5" x14ac:dyDescent="0.25">
      <c r="A310" s="2">
        <v>309</v>
      </c>
      <c r="B310" s="2">
        <v>105</v>
      </c>
      <c r="C310" s="2">
        <v>4</v>
      </c>
      <c r="D310" s="22">
        <f t="shared" si="8"/>
        <v>26.25</v>
      </c>
      <c r="E310" s="19" t="str">
        <f t="shared" si="9"/>
        <v/>
      </c>
    </row>
    <row r="311" spans="1:5" x14ac:dyDescent="0.25">
      <c r="A311" s="2">
        <v>310</v>
      </c>
      <c r="B311" s="2">
        <v>190</v>
      </c>
      <c r="C311" s="2">
        <v>8</v>
      </c>
      <c r="D311" s="22">
        <f t="shared" si="8"/>
        <v>23.75</v>
      </c>
      <c r="E311" s="19" t="str">
        <f t="shared" si="9"/>
        <v/>
      </c>
    </row>
    <row r="312" spans="1:5" x14ac:dyDescent="0.25">
      <c r="A312" s="2">
        <v>311</v>
      </c>
      <c r="B312" s="2">
        <v>1</v>
      </c>
      <c r="C312" s="2">
        <v>2</v>
      </c>
      <c r="D312" s="22">
        <f t="shared" si="8"/>
        <v>0.5</v>
      </c>
      <c r="E312" s="19" t="str">
        <f t="shared" si="9"/>
        <v>PRIME</v>
      </c>
    </row>
    <row r="313" spans="1:5" x14ac:dyDescent="0.25">
      <c r="A313" s="2">
        <v>312</v>
      </c>
      <c r="B313" s="2">
        <v>216</v>
      </c>
      <c r="C313" s="2">
        <v>16</v>
      </c>
      <c r="D313" s="22">
        <f t="shared" si="8"/>
        <v>13.5</v>
      </c>
      <c r="E313" s="19" t="str">
        <f t="shared" si="9"/>
        <v/>
      </c>
    </row>
    <row r="314" spans="1:5" x14ac:dyDescent="0.25">
      <c r="A314" s="2">
        <v>313</v>
      </c>
      <c r="B314" s="2">
        <v>1</v>
      </c>
      <c r="C314" s="2">
        <v>2</v>
      </c>
      <c r="D314" s="22">
        <f t="shared" si="8"/>
        <v>0.5</v>
      </c>
      <c r="E314" s="19" t="str">
        <f t="shared" si="9"/>
        <v>PRIME</v>
      </c>
    </row>
    <row r="315" spans="1:5" x14ac:dyDescent="0.25">
      <c r="A315" s="2">
        <v>314</v>
      </c>
      <c r="B315" s="2">
        <v>158</v>
      </c>
      <c r="C315" s="2">
        <v>4</v>
      </c>
      <c r="D315" s="22">
        <f t="shared" si="8"/>
        <v>39.5</v>
      </c>
      <c r="E315" s="19" t="str">
        <f t="shared" si="9"/>
        <v/>
      </c>
    </row>
    <row r="316" spans="1:5" x14ac:dyDescent="0.25">
      <c r="A316" s="2">
        <v>315</v>
      </c>
      <c r="B316" s="2">
        <v>171</v>
      </c>
      <c r="C316" s="2">
        <v>12</v>
      </c>
      <c r="D316" s="22">
        <f t="shared" si="8"/>
        <v>14.25</v>
      </c>
      <c r="E316" s="19" t="str">
        <f t="shared" si="9"/>
        <v/>
      </c>
    </row>
    <row r="317" spans="1:5" x14ac:dyDescent="0.25">
      <c r="A317" s="2">
        <v>316</v>
      </c>
      <c r="B317" s="2">
        <v>160</v>
      </c>
      <c r="C317" s="2">
        <v>6</v>
      </c>
      <c r="D317" s="22">
        <f t="shared" si="8"/>
        <v>26.666666666666668</v>
      </c>
      <c r="E317" s="19" t="str">
        <f t="shared" si="9"/>
        <v/>
      </c>
    </row>
    <row r="318" spans="1:5" x14ac:dyDescent="0.25">
      <c r="A318" s="2">
        <v>317</v>
      </c>
      <c r="B318" s="2">
        <v>1</v>
      </c>
      <c r="C318" s="2">
        <v>2</v>
      </c>
      <c r="D318" s="22">
        <f t="shared" si="8"/>
        <v>0.5</v>
      </c>
      <c r="E318" s="19" t="str">
        <f t="shared" si="9"/>
        <v>PRIME</v>
      </c>
    </row>
    <row r="319" spans="1:5" x14ac:dyDescent="0.25">
      <c r="A319" s="2">
        <v>318</v>
      </c>
      <c r="B319" s="2">
        <v>214</v>
      </c>
      <c r="C319" s="2">
        <v>8</v>
      </c>
      <c r="D319" s="22">
        <f t="shared" si="8"/>
        <v>26.75</v>
      </c>
      <c r="E319" s="19" t="str">
        <f t="shared" si="9"/>
        <v/>
      </c>
    </row>
    <row r="320" spans="1:5" x14ac:dyDescent="0.25">
      <c r="A320" s="2">
        <v>319</v>
      </c>
      <c r="B320" s="2">
        <v>39</v>
      </c>
      <c r="C320" s="2">
        <v>4</v>
      </c>
      <c r="D320" s="22">
        <f t="shared" si="8"/>
        <v>9.75</v>
      </c>
      <c r="E320" s="19" t="str">
        <f t="shared" si="9"/>
        <v/>
      </c>
    </row>
    <row r="321" spans="1:5" x14ac:dyDescent="0.25">
      <c r="A321" s="2">
        <v>320</v>
      </c>
      <c r="B321" s="2">
        <v>192</v>
      </c>
      <c r="C321" s="2">
        <v>14</v>
      </c>
      <c r="D321" s="22">
        <f t="shared" si="8"/>
        <v>13.714285714285714</v>
      </c>
      <c r="E321" s="19" t="str">
        <f t="shared" si="9"/>
        <v/>
      </c>
    </row>
    <row r="322" spans="1:5" x14ac:dyDescent="0.25">
      <c r="A322" s="2">
        <v>321</v>
      </c>
      <c r="B322" s="2">
        <v>109</v>
      </c>
      <c r="C322" s="2">
        <v>4</v>
      </c>
      <c r="D322" s="22">
        <f t="shared" si="8"/>
        <v>27.25</v>
      </c>
      <c r="E322" s="19" t="str">
        <f t="shared" si="9"/>
        <v/>
      </c>
    </row>
    <row r="323" spans="1:5" x14ac:dyDescent="0.25">
      <c r="A323" s="2">
        <v>322</v>
      </c>
      <c r="B323" s="2">
        <v>190</v>
      </c>
      <c r="C323" s="2">
        <v>8</v>
      </c>
      <c r="D323" s="22">
        <f t="shared" ref="D323:D386" si="10">B323/C323</f>
        <v>23.75</v>
      </c>
      <c r="E323" s="19" t="str">
        <f t="shared" ref="E323:E386" si="11">IF(C323=2,"PRIME","")</f>
        <v/>
      </c>
    </row>
    <row r="324" spans="1:5" x14ac:dyDescent="0.25">
      <c r="A324" s="2">
        <v>323</v>
      </c>
      <c r="B324" s="2">
        <v>35</v>
      </c>
      <c r="C324" s="2">
        <v>4</v>
      </c>
      <c r="D324" s="22">
        <f t="shared" si="10"/>
        <v>8.75</v>
      </c>
      <c r="E324" s="19" t="str">
        <f t="shared" si="11"/>
        <v/>
      </c>
    </row>
    <row r="325" spans="1:5" x14ac:dyDescent="0.25">
      <c r="A325" s="2">
        <v>324</v>
      </c>
      <c r="B325" s="2">
        <v>216</v>
      </c>
      <c r="C325" s="2">
        <v>15</v>
      </c>
      <c r="D325" s="22">
        <f t="shared" si="10"/>
        <v>14.4</v>
      </c>
      <c r="E325" s="19" t="str">
        <f t="shared" si="11"/>
        <v/>
      </c>
    </row>
    <row r="326" spans="1:5" x14ac:dyDescent="0.25">
      <c r="A326" s="2">
        <v>325</v>
      </c>
      <c r="B326" s="2">
        <v>85</v>
      </c>
      <c r="C326" s="2">
        <v>6</v>
      </c>
      <c r="D326" s="22">
        <f t="shared" si="10"/>
        <v>14.166666666666666</v>
      </c>
      <c r="E326" s="19" t="str">
        <f t="shared" si="11"/>
        <v/>
      </c>
    </row>
    <row r="327" spans="1:5" x14ac:dyDescent="0.25">
      <c r="A327" s="2">
        <v>326</v>
      </c>
      <c r="B327" s="2">
        <v>164</v>
      </c>
      <c r="C327" s="2">
        <v>4</v>
      </c>
      <c r="D327" s="22">
        <f t="shared" si="10"/>
        <v>41</v>
      </c>
      <c r="E327" s="19" t="str">
        <f t="shared" si="11"/>
        <v/>
      </c>
    </row>
    <row r="328" spans="1:5" x14ac:dyDescent="0.25">
      <c r="A328" s="2">
        <v>327</v>
      </c>
      <c r="B328" s="2">
        <v>111</v>
      </c>
      <c r="C328" s="2">
        <v>4</v>
      </c>
      <c r="D328" s="22">
        <f t="shared" si="10"/>
        <v>27.75</v>
      </c>
      <c r="E328" s="19" t="str">
        <f t="shared" si="11"/>
        <v/>
      </c>
    </row>
    <row r="329" spans="1:5" x14ac:dyDescent="0.25">
      <c r="A329" s="2">
        <v>328</v>
      </c>
      <c r="B329" s="2">
        <v>168</v>
      </c>
      <c r="C329" s="2">
        <v>8</v>
      </c>
      <c r="D329" s="22">
        <f t="shared" si="10"/>
        <v>21</v>
      </c>
      <c r="E329" s="19" t="str">
        <f t="shared" si="11"/>
        <v/>
      </c>
    </row>
    <row r="330" spans="1:5" x14ac:dyDescent="0.25">
      <c r="A330" s="2">
        <v>329</v>
      </c>
      <c r="B330" s="2">
        <v>53</v>
      </c>
      <c r="C330" s="2">
        <v>4</v>
      </c>
      <c r="D330" s="22">
        <f t="shared" si="10"/>
        <v>13.25</v>
      </c>
      <c r="E330" s="19" t="str">
        <f t="shared" si="11"/>
        <v/>
      </c>
    </row>
    <row r="331" spans="1:5" x14ac:dyDescent="0.25">
      <c r="A331" s="2">
        <v>330</v>
      </c>
      <c r="B331" s="2">
        <v>250</v>
      </c>
      <c r="C331" s="2">
        <v>16</v>
      </c>
      <c r="D331" s="22">
        <f t="shared" si="10"/>
        <v>15.625</v>
      </c>
      <c r="E331" s="19" t="str">
        <f t="shared" si="11"/>
        <v/>
      </c>
    </row>
    <row r="332" spans="1:5" x14ac:dyDescent="0.25">
      <c r="A332" s="2">
        <v>331</v>
      </c>
      <c r="B332" s="2">
        <v>1</v>
      </c>
      <c r="C332" s="2">
        <v>2</v>
      </c>
      <c r="D332" s="22">
        <f t="shared" si="10"/>
        <v>0.5</v>
      </c>
      <c r="E332" s="19" t="str">
        <f t="shared" si="11"/>
        <v>PRIME</v>
      </c>
    </row>
    <row r="333" spans="1:5" x14ac:dyDescent="0.25">
      <c r="A333" s="2">
        <v>332</v>
      </c>
      <c r="B333" s="2">
        <v>168</v>
      </c>
      <c r="C333" s="2">
        <v>6</v>
      </c>
      <c r="D333" s="22">
        <f t="shared" si="10"/>
        <v>28</v>
      </c>
      <c r="E333" s="19" t="str">
        <f t="shared" si="11"/>
        <v/>
      </c>
    </row>
    <row r="334" spans="1:5" x14ac:dyDescent="0.25">
      <c r="A334" s="2">
        <v>333</v>
      </c>
      <c r="B334" s="2">
        <v>117</v>
      </c>
      <c r="C334" s="2">
        <v>6</v>
      </c>
      <c r="D334" s="22">
        <f t="shared" si="10"/>
        <v>19.5</v>
      </c>
      <c r="E334" s="19" t="str">
        <f t="shared" si="11"/>
        <v/>
      </c>
    </row>
    <row r="335" spans="1:5" x14ac:dyDescent="0.25">
      <c r="A335" s="2">
        <v>334</v>
      </c>
      <c r="B335" s="2">
        <v>168</v>
      </c>
      <c r="C335" s="2">
        <v>4</v>
      </c>
      <c r="D335" s="22">
        <f t="shared" si="10"/>
        <v>42</v>
      </c>
      <c r="E335" s="19" t="str">
        <f t="shared" si="11"/>
        <v/>
      </c>
    </row>
    <row r="336" spans="1:5" x14ac:dyDescent="0.25">
      <c r="A336" s="2">
        <v>335</v>
      </c>
      <c r="B336" s="2">
        <v>71</v>
      </c>
      <c r="C336" s="2">
        <v>4</v>
      </c>
      <c r="D336" s="22">
        <f t="shared" si="10"/>
        <v>17.75</v>
      </c>
      <c r="E336" s="19" t="str">
        <f t="shared" si="11"/>
        <v/>
      </c>
    </row>
    <row r="337" spans="1:5" x14ac:dyDescent="0.25">
      <c r="A337" s="2">
        <v>336</v>
      </c>
      <c r="B337" s="2">
        <v>240</v>
      </c>
      <c r="C337" s="2">
        <v>20</v>
      </c>
      <c r="D337" s="22">
        <f t="shared" si="10"/>
        <v>12</v>
      </c>
      <c r="E337" s="19" t="str">
        <f t="shared" si="11"/>
        <v/>
      </c>
    </row>
    <row r="338" spans="1:5" x14ac:dyDescent="0.25">
      <c r="A338" s="2">
        <v>337</v>
      </c>
      <c r="B338" s="2">
        <v>1</v>
      </c>
      <c r="C338" s="2">
        <v>2</v>
      </c>
      <c r="D338" s="22">
        <f t="shared" si="10"/>
        <v>0.5</v>
      </c>
      <c r="E338" s="19" t="str">
        <f t="shared" si="11"/>
        <v>PRIME</v>
      </c>
    </row>
    <row r="339" spans="1:5" x14ac:dyDescent="0.25">
      <c r="A339" s="2">
        <v>338</v>
      </c>
      <c r="B339" s="2">
        <v>182</v>
      </c>
      <c r="C339" s="2">
        <v>6</v>
      </c>
      <c r="D339" s="22">
        <f t="shared" si="10"/>
        <v>30.333333333333332</v>
      </c>
      <c r="E339" s="19" t="str">
        <f t="shared" si="11"/>
        <v/>
      </c>
    </row>
    <row r="340" spans="1:5" x14ac:dyDescent="0.25">
      <c r="A340" s="2">
        <v>339</v>
      </c>
      <c r="B340" s="2">
        <v>115</v>
      </c>
      <c r="C340" s="2">
        <v>4</v>
      </c>
      <c r="D340" s="22">
        <f t="shared" si="10"/>
        <v>28.75</v>
      </c>
      <c r="E340" s="19" t="str">
        <f t="shared" si="11"/>
        <v/>
      </c>
    </row>
    <row r="341" spans="1:5" x14ac:dyDescent="0.25">
      <c r="A341" s="2">
        <v>340</v>
      </c>
      <c r="B341" s="2">
        <v>212</v>
      </c>
      <c r="C341" s="2">
        <v>12</v>
      </c>
      <c r="D341" s="22">
        <f t="shared" si="10"/>
        <v>17.666666666666668</v>
      </c>
      <c r="E341" s="19" t="str">
        <f t="shared" si="11"/>
        <v/>
      </c>
    </row>
    <row r="342" spans="1:5" x14ac:dyDescent="0.25">
      <c r="A342" s="2">
        <v>341</v>
      </c>
      <c r="B342" s="2">
        <v>41</v>
      </c>
      <c r="C342" s="2">
        <v>4</v>
      </c>
      <c r="D342" s="22">
        <f t="shared" si="10"/>
        <v>10.25</v>
      </c>
      <c r="E342" s="19" t="str">
        <f t="shared" si="11"/>
        <v/>
      </c>
    </row>
    <row r="343" spans="1:5" x14ac:dyDescent="0.25">
      <c r="A343" s="2">
        <v>342</v>
      </c>
      <c r="B343" s="2">
        <v>234</v>
      </c>
      <c r="C343" s="2">
        <v>12</v>
      </c>
      <c r="D343" s="22">
        <f t="shared" si="10"/>
        <v>19.5</v>
      </c>
      <c r="E343" s="19" t="str">
        <f t="shared" si="11"/>
        <v/>
      </c>
    </row>
    <row r="344" spans="1:5" x14ac:dyDescent="0.25">
      <c r="A344" s="2">
        <v>343</v>
      </c>
      <c r="B344" s="2">
        <v>49</v>
      </c>
      <c r="C344" s="2">
        <v>4</v>
      </c>
      <c r="D344" s="22">
        <f t="shared" si="10"/>
        <v>12.25</v>
      </c>
      <c r="E344" s="19" t="str">
        <f t="shared" si="11"/>
        <v/>
      </c>
    </row>
    <row r="345" spans="1:5" x14ac:dyDescent="0.25">
      <c r="A345" s="2">
        <v>344</v>
      </c>
      <c r="B345" s="2">
        <v>176</v>
      </c>
      <c r="C345" s="2">
        <v>8</v>
      </c>
      <c r="D345" s="22">
        <f t="shared" si="10"/>
        <v>22</v>
      </c>
      <c r="E345" s="19" t="str">
        <f t="shared" si="11"/>
        <v/>
      </c>
    </row>
    <row r="346" spans="1:5" x14ac:dyDescent="0.25">
      <c r="A346" s="2">
        <v>345</v>
      </c>
      <c r="B346" s="2">
        <v>169</v>
      </c>
      <c r="C346" s="2">
        <v>8</v>
      </c>
      <c r="D346" s="22">
        <f t="shared" si="10"/>
        <v>21.125</v>
      </c>
      <c r="E346" s="19" t="str">
        <f t="shared" si="11"/>
        <v/>
      </c>
    </row>
    <row r="347" spans="1:5" x14ac:dyDescent="0.25">
      <c r="A347" s="2">
        <v>346</v>
      </c>
      <c r="B347" s="2">
        <v>174</v>
      </c>
      <c r="C347" s="2">
        <v>4</v>
      </c>
      <c r="D347" s="22">
        <f t="shared" si="10"/>
        <v>43.5</v>
      </c>
      <c r="E347" s="19" t="str">
        <f t="shared" si="11"/>
        <v/>
      </c>
    </row>
    <row r="348" spans="1:5" x14ac:dyDescent="0.25">
      <c r="A348" s="2">
        <v>347</v>
      </c>
      <c r="B348" s="2">
        <v>1</v>
      </c>
      <c r="C348" s="2">
        <v>2</v>
      </c>
      <c r="D348" s="22">
        <f t="shared" si="10"/>
        <v>0.5</v>
      </c>
      <c r="E348" s="19" t="str">
        <f t="shared" si="11"/>
        <v>PRIME</v>
      </c>
    </row>
    <row r="349" spans="1:5" x14ac:dyDescent="0.25">
      <c r="A349" s="2">
        <v>348</v>
      </c>
      <c r="B349" s="2">
        <v>236</v>
      </c>
      <c r="C349" s="2">
        <v>12</v>
      </c>
      <c r="D349" s="22">
        <f t="shared" si="10"/>
        <v>19.666666666666668</v>
      </c>
      <c r="E349" s="19" t="str">
        <f t="shared" si="11"/>
        <v/>
      </c>
    </row>
    <row r="350" spans="1:5" x14ac:dyDescent="0.25">
      <c r="A350" s="2">
        <v>349</v>
      </c>
      <c r="B350" s="2">
        <v>1</v>
      </c>
      <c r="C350" s="2">
        <v>2</v>
      </c>
      <c r="D350" s="22">
        <f t="shared" si="10"/>
        <v>0.5</v>
      </c>
      <c r="E350" s="19" t="str">
        <f t="shared" si="11"/>
        <v>PRIME</v>
      </c>
    </row>
    <row r="351" spans="1:5" x14ac:dyDescent="0.25">
      <c r="A351" s="2">
        <v>350</v>
      </c>
      <c r="B351" s="2">
        <v>230</v>
      </c>
      <c r="C351" s="2">
        <v>12</v>
      </c>
      <c r="D351" s="22">
        <f t="shared" si="10"/>
        <v>19.166666666666668</v>
      </c>
      <c r="E351" s="19" t="str">
        <f t="shared" si="11"/>
        <v/>
      </c>
    </row>
    <row r="352" spans="1:5" x14ac:dyDescent="0.25">
      <c r="A352" s="2">
        <v>351</v>
      </c>
      <c r="B352" s="2">
        <v>135</v>
      </c>
      <c r="C352" s="2">
        <v>8</v>
      </c>
      <c r="D352" s="22">
        <f t="shared" si="10"/>
        <v>16.875</v>
      </c>
      <c r="E352" s="19" t="str">
        <f t="shared" si="11"/>
        <v/>
      </c>
    </row>
    <row r="353" spans="1:5" x14ac:dyDescent="0.25">
      <c r="A353" s="2">
        <v>352</v>
      </c>
      <c r="B353" s="2">
        <v>192</v>
      </c>
      <c r="C353" s="2">
        <v>12</v>
      </c>
      <c r="D353" s="22">
        <f t="shared" si="10"/>
        <v>16</v>
      </c>
      <c r="E353" s="19" t="str">
        <f t="shared" si="11"/>
        <v/>
      </c>
    </row>
    <row r="354" spans="1:5" x14ac:dyDescent="0.25">
      <c r="A354" s="2">
        <v>353</v>
      </c>
      <c r="B354" s="2">
        <v>1</v>
      </c>
      <c r="C354" s="2">
        <v>2</v>
      </c>
      <c r="D354" s="22">
        <f t="shared" si="10"/>
        <v>0.5</v>
      </c>
      <c r="E354" s="19" t="str">
        <f t="shared" si="11"/>
        <v>PRIME</v>
      </c>
    </row>
    <row r="355" spans="1:5" x14ac:dyDescent="0.25">
      <c r="A355" s="2">
        <v>354</v>
      </c>
      <c r="B355" s="2">
        <v>238</v>
      </c>
      <c r="C355" s="2">
        <v>8</v>
      </c>
      <c r="D355" s="22">
        <f t="shared" si="10"/>
        <v>29.75</v>
      </c>
      <c r="E355" s="19" t="str">
        <f t="shared" si="11"/>
        <v/>
      </c>
    </row>
    <row r="356" spans="1:5" x14ac:dyDescent="0.25">
      <c r="A356" s="2">
        <v>355</v>
      </c>
      <c r="B356" s="2">
        <v>75</v>
      </c>
      <c r="C356" s="2">
        <v>4</v>
      </c>
      <c r="D356" s="22">
        <f t="shared" si="10"/>
        <v>18.75</v>
      </c>
      <c r="E356" s="19" t="str">
        <f t="shared" si="11"/>
        <v/>
      </c>
    </row>
    <row r="357" spans="1:5" x14ac:dyDescent="0.25">
      <c r="A357" s="2">
        <v>356</v>
      </c>
      <c r="B357" s="2">
        <v>180</v>
      </c>
      <c r="C357" s="2">
        <v>6</v>
      </c>
      <c r="D357" s="22">
        <f t="shared" si="10"/>
        <v>30</v>
      </c>
      <c r="E357" s="19" t="str">
        <f t="shared" si="11"/>
        <v/>
      </c>
    </row>
    <row r="358" spans="1:5" x14ac:dyDescent="0.25">
      <c r="A358" s="2">
        <v>357</v>
      </c>
      <c r="B358" s="2">
        <v>165</v>
      </c>
      <c r="C358" s="2">
        <v>8</v>
      </c>
      <c r="D358" s="22">
        <f t="shared" si="10"/>
        <v>20.625</v>
      </c>
      <c r="E358" s="19" t="str">
        <f t="shared" si="11"/>
        <v/>
      </c>
    </row>
    <row r="359" spans="1:5" x14ac:dyDescent="0.25">
      <c r="A359" s="2">
        <v>358</v>
      </c>
      <c r="B359" s="2">
        <v>180</v>
      </c>
      <c r="C359" s="2">
        <v>4</v>
      </c>
      <c r="D359" s="22">
        <f t="shared" si="10"/>
        <v>45</v>
      </c>
      <c r="E359" s="19" t="str">
        <f t="shared" si="11"/>
        <v/>
      </c>
    </row>
    <row r="360" spans="1:5" x14ac:dyDescent="0.25">
      <c r="A360" s="2">
        <v>359</v>
      </c>
      <c r="B360" s="2">
        <v>1</v>
      </c>
      <c r="C360" s="2">
        <v>2</v>
      </c>
      <c r="D360" s="22">
        <f t="shared" si="10"/>
        <v>0.5</v>
      </c>
      <c r="E360" s="19" t="str">
        <f t="shared" si="11"/>
        <v>PRIME</v>
      </c>
    </row>
    <row r="361" spans="1:5" x14ac:dyDescent="0.25">
      <c r="A361" s="2">
        <v>360</v>
      </c>
      <c r="B361" s="2">
        <v>264</v>
      </c>
      <c r="C361" s="2">
        <v>24</v>
      </c>
      <c r="D361" s="22">
        <f t="shared" si="10"/>
        <v>11</v>
      </c>
      <c r="E361" s="19" t="str">
        <f t="shared" si="11"/>
        <v/>
      </c>
    </row>
    <row r="362" spans="1:5" x14ac:dyDescent="0.25">
      <c r="A362" s="2">
        <v>361</v>
      </c>
      <c r="B362" s="2">
        <v>19</v>
      </c>
      <c r="C362" s="2">
        <v>3</v>
      </c>
      <c r="D362" s="22">
        <f t="shared" si="10"/>
        <v>6.333333333333333</v>
      </c>
      <c r="E362" s="19" t="str">
        <f t="shared" si="11"/>
        <v/>
      </c>
    </row>
    <row r="363" spans="1:5" x14ac:dyDescent="0.25">
      <c r="A363" s="2">
        <v>362</v>
      </c>
      <c r="B363" s="2">
        <v>182</v>
      </c>
      <c r="C363" s="2">
        <v>4</v>
      </c>
      <c r="D363" s="22">
        <f t="shared" si="10"/>
        <v>45.5</v>
      </c>
      <c r="E363" s="19" t="str">
        <f t="shared" si="11"/>
        <v/>
      </c>
    </row>
    <row r="364" spans="1:5" x14ac:dyDescent="0.25">
      <c r="A364" s="2">
        <v>363</v>
      </c>
      <c r="B364" s="2">
        <v>143</v>
      </c>
      <c r="C364" s="2">
        <v>6</v>
      </c>
      <c r="D364" s="22">
        <f t="shared" si="10"/>
        <v>23.833333333333332</v>
      </c>
      <c r="E364" s="19" t="str">
        <f t="shared" si="11"/>
        <v/>
      </c>
    </row>
    <row r="365" spans="1:5" x14ac:dyDescent="0.25">
      <c r="A365" s="2">
        <v>364</v>
      </c>
      <c r="B365" s="2">
        <v>220</v>
      </c>
      <c r="C365" s="2">
        <v>12</v>
      </c>
      <c r="D365" s="22">
        <f t="shared" si="10"/>
        <v>18.333333333333332</v>
      </c>
      <c r="E365" s="19" t="str">
        <f t="shared" si="11"/>
        <v/>
      </c>
    </row>
    <row r="366" spans="1:5" x14ac:dyDescent="0.25">
      <c r="A366" s="2">
        <v>365</v>
      </c>
      <c r="B366" s="2">
        <v>77</v>
      </c>
      <c r="C366" s="2">
        <v>4</v>
      </c>
      <c r="D366" s="22">
        <f t="shared" si="10"/>
        <v>19.25</v>
      </c>
      <c r="E366" s="19" t="str">
        <f t="shared" si="11"/>
        <v/>
      </c>
    </row>
    <row r="367" spans="1:5" x14ac:dyDescent="0.25">
      <c r="A367" s="2">
        <v>366</v>
      </c>
      <c r="B367" s="2">
        <v>246</v>
      </c>
      <c r="C367" s="2">
        <v>8</v>
      </c>
      <c r="D367" s="22">
        <f t="shared" si="10"/>
        <v>30.75</v>
      </c>
      <c r="E367" s="19" t="str">
        <f t="shared" si="11"/>
        <v/>
      </c>
    </row>
    <row r="368" spans="1:5" x14ac:dyDescent="0.25">
      <c r="A368" s="2">
        <v>367</v>
      </c>
      <c r="B368" s="2">
        <v>1</v>
      </c>
      <c r="C368" s="2">
        <v>2</v>
      </c>
      <c r="D368" s="22">
        <f t="shared" si="10"/>
        <v>0.5</v>
      </c>
      <c r="E368" s="19" t="str">
        <f t="shared" si="11"/>
        <v>PRIME</v>
      </c>
    </row>
    <row r="369" spans="1:5" x14ac:dyDescent="0.25">
      <c r="A369" s="2">
        <v>368</v>
      </c>
      <c r="B369" s="2">
        <v>192</v>
      </c>
      <c r="C369" s="2">
        <v>10</v>
      </c>
      <c r="D369" s="22">
        <f t="shared" si="10"/>
        <v>19.2</v>
      </c>
      <c r="E369" s="19" t="str">
        <f t="shared" si="11"/>
        <v/>
      </c>
    </row>
    <row r="370" spans="1:5" x14ac:dyDescent="0.25">
      <c r="A370" s="2">
        <v>369</v>
      </c>
      <c r="B370" s="2">
        <v>129</v>
      </c>
      <c r="C370" s="2">
        <v>6</v>
      </c>
      <c r="D370" s="22">
        <f t="shared" si="10"/>
        <v>21.5</v>
      </c>
      <c r="E370" s="19" t="str">
        <f t="shared" si="11"/>
        <v/>
      </c>
    </row>
    <row r="371" spans="1:5" x14ac:dyDescent="0.25">
      <c r="A371" s="2">
        <v>370</v>
      </c>
      <c r="B371" s="2">
        <v>226</v>
      </c>
      <c r="C371" s="2">
        <v>8</v>
      </c>
      <c r="D371" s="22">
        <f t="shared" si="10"/>
        <v>28.25</v>
      </c>
      <c r="E371" s="19" t="str">
        <f t="shared" si="11"/>
        <v/>
      </c>
    </row>
    <row r="372" spans="1:5" x14ac:dyDescent="0.25">
      <c r="A372" s="2">
        <v>371</v>
      </c>
      <c r="B372" s="2">
        <v>59</v>
      </c>
      <c r="C372" s="2">
        <v>4</v>
      </c>
      <c r="D372" s="22">
        <f t="shared" si="10"/>
        <v>14.75</v>
      </c>
      <c r="E372" s="19" t="str">
        <f t="shared" si="11"/>
        <v/>
      </c>
    </row>
    <row r="373" spans="1:5" x14ac:dyDescent="0.25">
      <c r="A373" s="2">
        <v>372</v>
      </c>
      <c r="B373" s="2">
        <v>252</v>
      </c>
      <c r="C373" s="2">
        <v>12</v>
      </c>
      <c r="D373" s="22">
        <f t="shared" si="10"/>
        <v>21</v>
      </c>
      <c r="E373" s="19" t="str">
        <f t="shared" si="11"/>
        <v/>
      </c>
    </row>
    <row r="374" spans="1:5" x14ac:dyDescent="0.25">
      <c r="A374" s="2">
        <v>373</v>
      </c>
      <c r="B374" s="2">
        <v>1</v>
      </c>
      <c r="C374" s="2">
        <v>2</v>
      </c>
      <c r="D374" s="22">
        <f t="shared" si="10"/>
        <v>0.5</v>
      </c>
      <c r="E374" s="19" t="str">
        <f t="shared" si="11"/>
        <v>PRIME</v>
      </c>
    </row>
    <row r="375" spans="1:5" x14ac:dyDescent="0.25">
      <c r="A375" s="2">
        <v>374</v>
      </c>
      <c r="B375" s="2">
        <v>214</v>
      </c>
      <c r="C375" s="2">
        <v>8</v>
      </c>
      <c r="D375" s="22">
        <f t="shared" si="10"/>
        <v>26.75</v>
      </c>
      <c r="E375" s="19" t="str">
        <f t="shared" si="11"/>
        <v/>
      </c>
    </row>
    <row r="376" spans="1:5" x14ac:dyDescent="0.25">
      <c r="A376" s="2">
        <v>375</v>
      </c>
      <c r="B376" s="2">
        <v>175</v>
      </c>
      <c r="C376" s="2">
        <v>8</v>
      </c>
      <c r="D376" s="22">
        <f t="shared" si="10"/>
        <v>21.875</v>
      </c>
      <c r="E376" s="19" t="str">
        <f t="shared" si="11"/>
        <v/>
      </c>
    </row>
    <row r="377" spans="1:5" x14ac:dyDescent="0.25">
      <c r="A377" s="2">
        <v>376</v>
      </c>
      <c r="B377" s="2">
        <v>192</v>
      </c>
      <c r="C377" s="2">
        <v>8</v>
      </c>
      <c r="D377" s="22">
        <f t="shared" si="10"/>
        <v>24</v>
      </c>
      <c r="E377" s="19" t="str">
        <f t="shared" si="11"/>
        <v/>
      </c>
    </row>
    <row r="378" spans="1:5" x14ac:dyDescent="0.25">
      <c r="A378" s="2">
        <v>377</v>
      </c>
      <c r="B378" s="2">
        <v>41</v>
      </c>
      <c r="C378" s="2">
        <v>4</v>
      </c>
      <c r="D378" s="22">
        <f t="shared" si="10"/>
        <v>10.25</v>
      </c>
      <c r="E378" s="19" t="str">
        <f t="shared" si="11"/>
        <v/>
      </c>
    </row>
    <row r="379" spans="1:5" x14ac:dyDescent="0.25">
      <c r="A379" s="2">
        <v>378</v>
      </c>
      <c r="B379" s="2">
        <v>270</v>
      </c>
      <c r="C379" s="2">
        <v>16</v>
      </c>
      <c r="D379" s="22">
        <f t="shared" si="10"/>
        <v>16.875</v>
      </c>
      <c r="E379" s="19" t="str">
        <f t="shared" si="11"/>
        <v/>
      </c>
    </row>
    <row r="380" spans="1:5" x14ac:dyDescent="0.25">
      <c r="A380" s="2">
        <v>379</v>
      </c>
      <c r="B380" s="2">
        <v>1</v>
      </c>
      <c r="C380" s="2">
        <v>2</v>
      </c>
      <c r="D380" s="22">
        <f t="shared" si="10"/>
        <v>0.5</v>
      </c>
      <c r="E380" s="19" t="str">
        <f t="shared" si="11"/>
        <v>PRIME</v>
      </c>
    </row>
    <row r="381" spans="1:5" x14ac:dyDescent="0.25">
      <c r="A381" s="2">
        <v>380</v>
      </c>
      <c r="B381" s="2">
        <v>236</v>
      </c>
      <c r="C381" s="2">
        <v>12</v>
      </c>
      <c r="D381" s="22">
        <f t="shared" si="10"/>
        <v>19.666666666666668</v>
      </c>
      <c r="E381" s="19" t="str">
        <f t="shared" si="11"/>
        <v/>
      </c>
    </row>
    <row r="382" spans="1:5" x14ac:dyDescent="0.25">
      <c r="A382" s="2">
        <v>381</v>
      </c>
      <c r="B382" s="2">
        <v>129</v>
      </c>
      <c r="C382" s="2">
        <v>4</v>
      </c>
      <c r="D382" s="22">
        <f t="shared" si="10"/>
        <v>32.25</v>
      </c>
      <c r="E382" s="19" t="str">
        <f t="shared" si="11"/>
        <v/>
      </c>
    </row>
    <row r="383" spans="1:5" x14ac:dyDescent="0.25">
      <c r="A383" s="2">
        <v>382</v>
      </c>
      <c r="B383" s="2">
        <v>192</v>
      </c>
      <c r="C383" s="2">
        <v>4</v>
      </c>
      <c r="D383" s="22">
        <f t="shared" si="10"/>
        <v>48</v>
      </c>
      <c r="E383" s="19" t="str">
        <f t="shared" si="11"/>
        <v/>
      </c>
    </row>
    <row r="384" spans="1:5" x14ac:dyDescent="0.25">
      <c r="A384" s="2">
        <v>383</v>
      </c>
      <c r="B384" s="2">
        <v>1</v>
      </c>
      <c r="C384" s="2">
        <v>2</v>
      </c>
      <c r="D384" s="22">
        <f t="shared" si="10"/>
        <v>0.5</v>
      </c>
      <c r="E384" s="19" t="str">
        <f t="shared" si="11"/>
        <v>PRIME</v>
      </c>
    </row>
    <row r="385" spans="1:5" x14ac:dyDescent="0.25">
      <c r="A385" s="2">
        <v>384</v>
      </c>
      <c r="B385" s="2">
        <v>256</v>
      </c>
      <c r="C385" s="2">
        <v>16</v>
      </c>
      <c r="D385" s="22">
        <f t="shared" si="10"/>
        <v>16</v>
      </c>
      <c r="E385" s="19" t="str">
        <f t="shared" si="11"/>
        <v/>
      </c>
    </row>
    <row r="386" spans="1:5" x14ac:dyDescent="0.25">
      <c r="A386" s="2">
        <v>385</v>
      </c>
      <c r="B386" s="2">
        <v>145</v>
      </c>
      <c r="C386" s="2">
        <v>8</v>
      </c>
      <c r="D386" s="22">
        <f t="shared" si="10"/>
        <v>18.125</v>
      </c>
      <c r="E386" s="19" t="str">
        <f t="shared" si="11"/>
        <v/>
      </c>
    </row>
    <row r="387" spans="1:5" x14ac:dyDescent="0.25">
      <c r="A387" s="2">
        <v>386</v>
      </c>
      <c r="B387" s="2">
        <v>194</v>
      </c>
      <c r="C387" s="2">
        <v>4</v>
      </c>
      <c r="D387" s="22">
        <f t="shared" ref="D387:D450" si="12">B387/C387</f>
        <v>48.5</v>
      </c>
      <c r="E387" s="19" t="str">
        <f t="shared" ref="E387:E450" si="13">IF(C387=2,"PRIME","")</f>
        <v/>
      </c>
    </row>
    <row r="388" spans="1:5" x14ac:dyDescent="0.25">
      <c r="A388" s="2">
        <v>387</v>
      </c>
      <c r="B388" s="2">
        <v>135</v>
      </c>
      <c r="C388" s="2">
        <v>6</v>
      </c>
      <c r="D388" s="22">
        <f t="shared" si="12"/>
        <v>22.5</v>
      </c>
      <c r="E388" s="19" t="str">
        <f t="shared" si="13"/>
        <v/>
      </c>
    </row>
    <row r="389" spans="1:5" x14ac:dyDescent="0.25">
      <c r="A389" s="2">
        <v>388</v>
      </c>
      <c r="B389" s="2">
        <v>196</v>
      </c>
      <c r="C389" s="2">
        <v>6</v>
      </c>
      <c r="D389" s="22">
        <f t="shared" si="12"/>
        <v>32.666666666666664</v>
      </c>
      <c r="E389" s="19" t="str">
        <f t="shared" si="13"/>
        <v/>
      </c>
    </row>
    <row r="390" spans="1:5" x14ac:dyDescent="0.25">
      <c r="A390" s="2">
        <v>389</v>
      </c>
      <c r="B390" s="2">
        <v>1</v>
      </c>
      <c r="C390" s="2">
        <v>2</v>
      </c>
      <c r="D390" s="22">
        <f t="shared" si="12"/>
        <v>0.5</v>
      </c>
      <c r="E390" s="19" t="str">
        <f t="shared" si="13"/>
        <v>PRIME</v>
      </c>
    </row>
    <row r="391" spans="1:5" x14ac:dyDescent="0.25">
      <c r="A391" s="2">
        <v>390</v>
      </c>
      <c r="B391" s="2">
        <v>294</v>
      </c>
      <c r="C391" s="2">
        <v>16</v>
      </c>
      <c r="D391" s="22">
        <f t="shared" si="12"/>
        <v>18.375</v>
      </c>
      <c r="E391" s="19" t="str">
        <f t="shared" si="13"/>
        <v/>
      </c>
    </row>
    <row r="392" spans="1:5" x14ac:dyDescent="0.25">
      <c r="A392" s="2">
        <v>391</v>
      </c>
      <c r="B392" s="2">
        <v>39</v>
      </c>
      <c r="C392" s="2">
        <v>4</v>
      </c>
      <c r="D392" s="22">
        <f t="shared" si="12"/>
        <v>9.75</v>
      </c>
      <c r="E392" s="19" t="str">
        <f t="shared" si="13"/>
        <v/>
      </c>
    </row>
    <row r="393" spans="1:5" x14ac:dyDescent="0.25">
      <c r="A393" s="2">
        <v>392</v>
      </c>
      <c r="B393" s="2">
        <v>224</v>
      </c>
      <c r="C393" s="2">
        <v>12</v>
      </c>
      <c r="D393" s="22">
        <f t="shared" si="12"/>
        <v>18.666666666666668</v>
      </c>
      <c r="E393" s="19" t="str">
        <f t="shared" si="13"/>
        <v/>
      </c>
    </row>
    <row r="394" spans="1:5" x14ac:dyDescent="0.25">
      <c r="A394" s="2">
        <v>393</v>
      </c>
      <c r="B394" s="2">
        <v>133</v>
      </c>
      <c r="C394" s="2">
        <v>4</v>
      </c>
      <c r="D394" s="22">
        <f t="shared" si="12"/>
        <v>33.25</v>
      </c>
      <c r="E394" s="19" t="str">
        <f t="shared" si="13"/>
        <v/>
      </c>
    </row>
    <row r="395" spans="1:5" x14ac:dyDescent="0.25">
      <c r="A395" s="2">
        <v>394</v>
      </c>
      <c r="B395" s="2">
        <v>198</v>
      </c>
      <c r="C395" s="2">
        <v>4</v>
      </c>
      <c r="D395" s="22">
        <f t="shared" si="12"/>
        <v>49.5</v>
      </c>
      <c r="E395" s="19" t="str">
        <f t="shared" si="13"/>
        <v/>
      </c>
    </row>
    <row r="396" spans="1:5" x14ac:dyDescent="0.25">
      <c r="A396" s="2">
        <v>395</v>
      </c>
      <c r="B396" s="2">
        <v>83</v>
      </c>
      <c r="C396" s="2">
        <v>4</v>
      </c>
      <c r="D396" s="22">
        <f t="shared" si="12"/>
        <v>20.75</v>
      </c>
      <c r="E396" s="19" t="str">
        <f t="shared" si="13"/>
        <v/>
      </c>
    </row>
    <row r="397" spans="1:5" x14ac:dyDescent="0.25">
      <c r="A397" s="2">
        <v>396</v>
      </c>
      <c r="B397" s="2">
        <v>276</v>
      </c>
      <c r="C397" s="2">
        <v>18</v>
      </c>
      <c r="D397" s="22">
        <f t="shared" si="12"/>
        <v>15.333333333333334</v>
      </c>
      <c r="E397" s="19" t="str">
        <f t="shared" si="13"/>
        <v/>
      </c>
    </row>
    <row r="398" spans="1:5" x14ac:dyDescent="0.25">
      <c r="A398" s="2">
        <v>397</v>
      </c>
      <c r="B398" s="2">
        <v>1</v>
      </c>
      <c r="C398" s="2">
        <v>2</v>
      </c>
      <c r="D398" s="22">
        <f t="shared" si="12"/>
        <v>0.5</v>
      </c>
      <c r="E398" s="19" t="str">
        <f t="shared" si="13"/>
        <v>PRIME</v>
      </c>
    </row>
    <row r="399" spans="1:5" x14ac:dyDescent="0.25">
      <c r="A399" s="2">
        <v>398</v>
      </c>
      <c r="B399" s="2">
        <v>200</v>
      </c>
      <c r="C399" s="2">
        <v>4</v>
      </c>
      <c r="D399" s="22">
        <f t="shared" si="12"/>
        <v>50</v>
      </c>
      <c r="E399" s="19" t="str">
        <f t="shared" si="13"/>
        <v/>
      </c>
    </row>
    <row r="400" spans="1:5" x14ac:dyDescent="0.25">
      <c r="A400" s="2">
        <v>399</v>
      </c>
      <c r="B400" s="2">
        <v>183</v>
      </c>
      <c r="C400" s="2">
        <v>8</v>
      </c>
      <c r="D400" s="22">
        <f t="shared" si="12"/>
        <v>22.875</v>
      </c>
      <c r="E400" s="19" t="str">
        <f t="shared" si="13"/>
        <v/>
      </c>
    </row>
    <row r="401" spans="1:5" x14ac:dyDescent="0.25">
      <c r="A401" s="2">
        <v>400</v>
      </c>
      <c r="B401" s="2">
        <v>240</v>
      </c>
      <c r="C401" s="2">
        <v>15</v>
      </c>
      <c r="D401" s="22">
        <f t="shared" si="12"/>
        <v>16</v>
      </c>
      <c r="E401" s="19" t="str">
        <f t="shared" si="13"/>
        <v/>
      </c>
    </row>
    <row r="402" spans="1:5" x14ac:dyDescent="0.25">
      <c r="A402" s="2">
        <v>401</v>
      </c>
      <c r="B402" s="2">
        <v>1</v>
      </c>
      <c r="C402" s="2">
        <v>2</v>
      </c>
      <c r="D402" s="22">
        <f t="shared" si="12"/>
        <v>0.5</v>
      </c>
      <c r="E402" s="19" t="str">
        <f t="shared" si="13"/>
        <v>PRIME</v>
      </c>
    </row>
    <row r="403" spans="1:5" x14ac:dyDescent="0.25">
      <c r="A403" s="2">
        <v>402</v>
      </c>
      <c r="B403" s="2">
        <v>270</v>
      </c>
      <c r="C403" s="2">
        <v>8</v>
      </c>
      <c r="D403" s="22">
        <f t="shared" si="12"/>
        <v>33.75</v>
      </c>
      <c r="E403" s="19" t="str">
        <f t="shared" si="13"/>
        <v/>
      </c>
    </row>
    <row r="404" spans="1:5" x14ac:dyDescent="0.25">
      <c r="A404" s="2">
        <v>403</v>
      </c>
      <c r="B404" s="2">
        <v>43</v>
      </c>
      <c r="C404" s="2">
        <v>4</v>
      </c>
      <c r="D404" s="22">
        <f t="shared" si="12"/>
        <v>10.75</v>
      </c>
      <c r="E404" s="19" t="str">
        <f t="shared" si="13"/>
        <v/>
      </c>
    </row>
    <row r="405" spans="1:5" x14ac:dyDescent="0.25">
      <c r="A405" s="2">
        <v>404</v>
      </c>
      <c r="B405" s="2">
        <v>204</v>
      </c>
      <c r="C405" s="2">
        <v>6</v>
      </c>
      <c r="D405" s="22">
        <f t="shared" si="12"/>
        <v>34</v>
      </c>
      <c r="E405" s="19" t="str">
        <f t="shared" si="13"/>
        <v/>
      </c>
    </row>
    <row r="406" spans="1:5" x14ac:dyDescent="0.25">
      <c r="A406" s="2">
        <v>405</v>
      </c>
      <c r="B406" s="2">
        <v>189</v>
      </c>
      <c r="C406" s="2">
        <v>10</v>
      </c>
      <c r="D406" s="22">
        <f t="shared" si="12"/>
        <v>18.899999999999999</v>
      </c>
      <c r="E406" s="19" t="str">
        <f t="shared" si="13"/>
        <v/>
      </c>
    </row>
    <row r="407" spans="1:5" x14ac:dyDescent="0.25">
      <c r="A407" s="2">
        <v>406</v>
      </c>
      <c r="B407" s="2">
        <v>238</v>
      </c>
      <c r="C407" s="2">
        <v>8</v>
      </c>
      <c r="D407" s="22">
        <f t="shared" si="12"/>
        <v>29.75</v>
      </c>
      <c r="E407" s="19" t="str">
        <f t="shared" si="13"/>
        <v/>
      </c>
    </row>
    <row r="408" spans="1:5" x14ac:dyDescent="0.25">
      <c r="A408" s="2">
        <v>407</v>
      </c>
      <c r="B408" s="2">
        <v>47</v>
      </c>
      <c r="C408" s="2">
        <v>4</v>
      </c>
      <c r="D408" s="22">
        <f t="shared" si="12"/>
        <v>11.75</v>
      </c>
      <c r="E408" s="19" t="str">
        <f t="shared" si="13"/>
        <v/>
      </c>
    </row>
    <row r="409" spans="1:5" x14ac:dyDescent="0.25">
      <c r="A409" s="2">
        <v>408</v>
      </c>
      <c r="B409" s="2">
        <v>280</v>
      </c>
      <c r="C409" s="2">
        <v>16</v>
      </c>
      <c r="D409" s="22">
        <f t="shared" si="12"/>
        <v>17.5</v>
      </c>
      <c r="E409" s="19" t="str">
        <f t="shared" si="13"/>
        <v/>
      </c>
    </row>
    <row r="410" spans="1:5" x14ac:dyDescent="0.25">
      <c r="A410" s="2">
        <v>409</v>
      </c>
      <c r="B410" s="2">
        <v>1</v>
      </c>
      <c r="C410" s="2">
        <v>2</v>
      </c>
      <c r="D410" s="22">
        <f t="shared" si="12"/>
        <v>0.5</v>
      </c>
      <c r="E410" s="19" t="str">
        <f t="shared" si="13"/>
        <v>PRIME</v>
      </c>
    </row>
    <row r="411" spans="1:5" x14ac:dyDescent="0.25">
      <c r="A411" s="2">
        <v>410</v>
      </c>
      <c r="B411" s="2">
        <v>250</v>
      </c>
      <c r="C411" s="2">
        <v>8</v>
      </c>
      <c r="D411" s="22">
        <f t="shared" si="12"/>
        <v>31.25</v>
      </c>
      <c r="E411" s="19" t="str">
        <f t="shared" si="13"/>
        <v/>
      </c>
    </row>
    <row r="412" spans="1:5" x14ac:dyDescent="0.25">
      <c r="A412" s="2">
        <v>411</v>
      </c>
      <c r="B412" s="2">
        <v>139</v>
      </c>
      <c r="C412" s="2">
        <v>4</v>
      </c>
      <c r="D412" s="22">
        <f t="shared" si="12"/>
        <v>34.75</v>
      </c>
      <c r="E412" s="19" t="str">
        <f t="shared" si="13"/>
        <v/>
      </c>
    </row>
    <row r="413" spans="1:5" x14ac:dyDescent="0.25">
      <c r="A413" s="2">
        <v>412</v>
      </c>
      <c r="B413" s="2">
        <v>208</v>
      </c>
      <c r="C413" s="2">
        <v>6</v>
      </c>
      <c r="D413" s="22">
        <f t="shared" si="12"/>
        <v>34.666666666666664</v>
      </c>
      <c r="E413" s="19" t="str">
        <f t="shared" si="13"/>
        <v/>
      </c>
    </row>
    <row r="414" spans="1:5" x14ac:dyDescent="0.25">
      <c r="A414" s="2">
        <v>413</v>
      </c>
      <c r="B414" s="2">
        <v>65</v>
      </c>
      <c r="C414" s="2">
        <v>4</v>
      </c>
      <c r="D414" s="22">
        <f t="shared" si="12"/>
        <v>16.25</v>
      </c>
      <c r="E414" s="19" t="str">
        <f t="shared" si="13"/>
        <v/>
      </c>
    </row>
    <row r="415" spans="1:5" x14ac:dyDescent="0.25">
      <c r="A415" s="2">
        <v>414</v>
      </c>
      <c r="B415" s="2">
        <v>282</v>
      </c>
      <c r="C415" s="2">
        <v>12</v>
      </c>
      <c r="D415" s="22">
        <f t="shared" si="12"/>
        <v>23.5</v>
      </c>
      <c r="E415" s="19" t="str">
        <f t="shared" si="13"/>
        <v/>
      </c>
    </row>
    <row r="416" spans="1:5" x14ac:dyDescent="0.25">
      <c r="A416" s="2">
        <v>415</v>
      </c>
      <c r="B416" s="2">
        <v>87</v>
      </c>
      <c r="C416" s="2">
        <v>4</v>
      </c>
      <c r="D416" s="22">
        <f t="shared" si="12"/>
        <v>21.75</v>
      </c>
      <c r="E416" s="19" t="str">
        <f t="shared" si="13"/>
        <v/>
      </c>
    </row>
    <row r="417" spans="1:5" x14ac:dyDescent="0.25">
      <c r="A417" s="2">
        <v>416</v>
      </c>
      <c r="B417" s="2">
        <v>224</v>
      </c>
      <c r="C417" s="2">
        <v>12</v>
      </c>
      <c r="D417" s="22">
        <f t="shared" si="12"/>
        <v>18.666666666666668</v>
      </c>
      <c r="E417" s="19" t="str">
        <f t="shared" si="13"/>
        <v/>
      </c>
    </row>
    <row r="418" spans="1:5" x14ac:dyDescent="0.25">
      <c r="A418" s="2">
        <v>417</v>
      </c>
      <c r="B418" s="2">
        <v>141</v>
      </c>
      <c r="C418" s="2">
        <v>4</v>
      </c>
      <c r="D418" s="22">
        <f t="shared" si="12"/>
        <v>35.25</v>
      </c>
      <c r="E418" s="19" t="str">
        <f t="shared" si="13"/>
        <v/>
      </c>
    </row>
    <row r="419" spans="1:5" x14ac:dyDescent="0.25">
      <c r="A419" s="2">
        <v>418</v>
      </c>
      <c r="B419" s="2">
        <v>238</v>
      </c>
      <c r="C419" s="2">
        <v>8</v>
      </c>
      <c r="D419" s="22">
        <f t="shared" si="12"/>
        <v>29.75</v>
      </c>
      <c r="E419" s="19" t="str">
        <f t="shared" si="13"/>
        <v/>
      </c>
    </row>
    <row r="420" spans="1:5" x14ac:dyDescent="0.25">
      <c r="A420" s="2">
        <v>419</v>
      </c>
      <c r="B420" s="2">
        <v>1</v>
      </c>
      <c r="C420" s="2">
        <v>2</v>
      </c>
      <c r="D420" s="22">
        <f t="shared" si="12"/>
        <v>0.5</v>
      </c>
      <c r="E420" s="19" t="str">
        <f t="shared" si="13"/>
        <v>PRIME</v>
      </c>
    </row>
    <row r="421" spans="1:5" x14ac:dyDescent="0.25">
      <c r="A421" s="2">
        <v>420</v>
      </c>
      <c r="B421" s="2">
        <v>324</v>
      </c>
      <c r="C421" s="2">
        <v>24</v>
      </c>
      <c r="D421" s="22">
        <f t="shared" si="12"/>
        <v>13.5</v>
      </c>
      <c r="E421" s="19" t="str">
        <f t="shared" si="13"/>
        <v/>
      </c>
    </row>
    <row r="422" spans="1:5" x14ac:dyDescent="0.25">
      <c r="A422" s="2">
        <v>421</v>
      </c>
      <c r="B422" s="2">
        <v>1</v>
      </c>
      <c r="C422" s="2">
        <v>2</v>
      </c>
      <c r="D422" s="22">
        <f t="shared" si="12"/>
        <v>0.5</v>
      </c>
      <c r="E422" s="19" t="str">
        <f t="shared" si="13"/>
        <v>PRIME</v>
      </c>
    </row>
    <row r="423" spans="1:5" x14ac:dyDescent="0.25">
      <c r="A423" s="2">
        <v>422</v>
      </c>
      <c r="B423" s="2">
        <v>212</v>
      </c>
      <c r="C423" s="2">
        <v>4</v>
      </c>
      <c r="D423" s="22">
        <f t="shared" si="12"/>
        <v>53</v>
      </c>
      <c r="E423" s="19" t="str">
        <f t="shared" si="13"/>
        <v/>
      </c>
    </row>
    <row r="424" spans="1:5" x14ac:dyDescent="0.25">
      <c r="A424" s="2">
        <v>423</v>
      </c>
      <c r="B424" s="2">
        <v>147</v>
      </c>
      <c r="C424" s="2">
        <v>6</v>
      </c>
      <c r="D424" s="22">
        <f t="shared" si="12"/>
        <v>24.5</v>
      </c>
      <c r="E424" s="19" t="str">
        <f t="shared" si="13"/>
        <v/>
      </c>
    </row>
    <row r="425" spans="1:5" x14ac:dyDescent="0.25">
      <c r="A425" s="2">
        <v>424</v>
      </c>
      <c r="B425" s="2">
        <v>216</v>
      </c>
      <c r="C425" s="2">
        <v>8</v>
      </c>
      <c r="D425" s="22">
        <f t="shared" si="12"/>
        <v>27</v>
      </c>
      <c r="E425" s="19" t="str">
        <f t="shared" si="13"/>
        <v/>
      </c>
    </row>
    <row r="426" spans="1:5" x14ac:dyDescent="0.25">
      <c r="A426" s="2">
        <v>425</v>
      </c>
      <c r="B426" s="2">
        <v>105</v>
      </c>
      <c r="C426" s="2">
        <v>6</v>
      </c>
      <c r="D426" s="22">
        <f t="shared" si="12"/>
        <v>17.5</v>
      </c>
      <c r="E426" s="19" t="str">
        <f t="shared" si="13"/>
        <v/>
      </c>
    </row>
    <row r="427" spans="1:5" x14ac:dyDescent="0.25">
      <c r="A427" s="2">
        <v>426</v>
      </c>
      <c r="B427" s="2">
        <v>286</v>
      </c>
      <c r="C427" s="2">
        <v>8</v>
      </c>
      <c r="D427" s="22">
        <f t="shared" si="12"/>
        <v>35.75</v>
      </c>
      <c r="E427" s="19" t="str">
        <f t="shared" si="13"/>
        <v/>
      </c>
    </row>
    <row r="428" spans="1:5" x14ac:dyDescent="0.25">
      <c r="A428" s="2">
        <v>427</v>
      </c>
      <c r="B428" s="2">
        <v>67</v>
      </c>
      <c r="C428" s="2">
        <v>4</v>
      </c>
      <c r="D428" s="22">
        <f t="shared" si="12"/>
        <v>16.75</v>
      </c>
      <c r="E428" s="19" t="str">
        <f t="shared" si="13"/>
        <v/>
      </c>
    </row>
    <row r="429" spans="1:5" x14ac:dyDescent="0.25">
      <c r="A429" s="2">
        <v>428</v>
      </c>
      <c r="B429" s="2">
        <v>216</v>
      </c>
      <c r="C429" s="2">
        <v>6</v>
      </c>
      <c r="D429" s="22">
        <f t="shared" si="12"/>
        <v>36</v>
      </c>
      <c r="E429" s="19" t="str">
        <f t="shared" si="13"/>
        <v/>
      </c>
    </row>
    <row r="430" spans="1:5" x14ac:dyDescent="0.25">
      <c r="A430" s="2">
        <v>429</v>
      </c>
      <c r="B430" s="2">
        <v>189</v>
      </c>
      <c r="C430" s="2">
        <v>8</v>
      </c>
      <c r="D430" s="22">
        <f t="shared" si="12"/>
        <v>23.625</v>
      </c>
      <c r="E430" s="19" t="str">
        <f t="shared" si="13"/>
        <v/>
      </c>
    </row>
    <row r="431" spans="1:5" x14ac:dyDescent="0.25">
      <c r="A431" s="2">
        <v>430</v>
      </c>
      <c r="B431" s="2">
        <v>262</v>
      </c>
      <c r="C431" s="2">
        <v>8</v>
      </c>
      <c r="D431" s="22">
        <f t="shared" si="12"/>
        <v>32.75</v>
      </c>
      <c r="E431" s="19" t="str">
        <f t="shared" si="13"/>
        <v/>
      </c>
    </row>
    <row r="432" spans="1:5" x14ac:dyDescent="0.25">
      <c r="A432" s="2">
        <v>431</v>
      </c>
      <c r="B432" s="2">
        <v>1</v>
      </c>
      <c r="C432" s="2">
        <v>2</v>
      </c>
      <c r="D432" s="22">
        <f t="shared" si="12"/>
        <v>0.5</v>
      </c>
      <c r="E432" s="19" t="str">
        <f t="shared" si="13"/>
        <v>PRIME</v>
      </c>
    </row>
    <row r="433" spans="1:5" x14ac:dyDescent="0.25">
      <c r="A433" s="2">
        <v>432</v>
      </c>
      <c r="B433" s="2">
        <v>288</v>
      </c>
      <c r="C433" s="2">
        <v>20</v>
      </c>
      <c r="D433" s="22">
        <f t="shared" si="12"/>
        <v>14.4</v>
      </c>
      <c r="E433" s="19" t="str">
        <f t="shared" si="13"/>
        <v/>
      </c>
    </row>
    <row r="434" spans="1:5" x14ac:dyDescent="0.25">
      <c r="A434" s="2">
        <v>433</v>
      </c>
      <c r="B434" s="2">
        <v>1</v>
      </c>
      <c r="C434" s="2">
        <v>2</v>
      </c>
      <c r="D434" s="22">
        <f t="shared" si="12"/>
        <v>0.5</v>
      </c>
      <c r="E434" s="19" t="str">
        <f t="shared" si="13"/>
        <v>PRIME</v>
      </c>
    </row>
    <row r="435" spans="1:5" x14ac:dyDescent="0.25">
      <c r="A435" s="2">
        <v>434</v>
      </c>
      <c r="B435" s="2">
        <v>254</v>
      </c>
      <c r="C435" s="2">
        <v>8</v>
      </c>
      <c r="D435" s="22">
        <f t="shared" si="12"/>
        <v>31.75</v>
      </c>
      <c r="E435" s="19" t="str">
        <f t="shared" si="13"/>
        <v/>
      </c>
    </row>
    <row r="436" spans="1:5" x14ac:dyDescent="0.25">
      <c r="A436" s="2">
        <v>435</v>
      </c>
      <c r="B436" s="2">
        <v>211</v>
      </c>
      <c r="C436" s="2">
        <v>8</v>
      </c>
      <c r="D436" s="22">
        <f t="shared" si="12"/>
        <v>26.375</v>
      </c>
      <c r="E436" s="19" t="str">
        <f t="shared" si="13"/>
        <v/>
      </c>
    </row>
    <row r="437" spans="1:5" x14ac:dyDescent="0.25">
      <c r="A437" s="2">
        <v>436</v>
      </c>
      <c r="B437" s="2">
        <v>220</v>
      </c>
      <c r="C437" s="2">
        <v>6</v>
      </c>
      <c r="D437" s="22">
        <f t="shared" si="12"/>
        <v>36.666666666666664</v>
      </c>
      <c r="E437" s="19" t="str">
        <f t="shared" si="13"/>
        <v/>
      </c>
    </row>
    <row r="438" spans="1:5" x14ac:dyDescent="0.25">
      <c r="A438" s="2">
        <v>437</v>
      </c>
      <c r="B438" s="2">
        <v>41</v>
      </c>
      <c r="C438" s="2">
        <v>4</v>
      </c>
      <c r="D438" s="22">
        <f t="shared" si="12"/>
        <v>10.25</v>
      </c>
      <c r="E438" s="19" t="str">
        <f t="shared" si="13"/>
        <v/>
      </c>
    </row>
    <row r="439" spans="1:5" x14ac:dyDescent="0.25">
      <c r="A439" s="2">
        <v>438</v>
      </c>
      <c r="B439" s="2">
        <v>294</v>
      </c>
      <c r="C439" s="2">
        <v>8</v>
      </c>
      <c r="D439" s="22">
        <f t="shared" si="12"/>
        <v>36.75</v>
      </c>
      <c r="E439" s="19" t="str">
        <f t="shared" si="13"/>
        <v/>
      </c>
    </row>
    <row r="440" spans="1:5" x14ac:dyDescent="0.25">
      <c r="A440" s="2">
        <v>439</v>
      </c>
      <c r="B440" s="2">
        <v>1</v>
      </c>
      <c r="C440" s="2">
        <v>2</v>
      </c>
      <c r="D440" s="22">
        <f t="shared" si="12"/>
        <v>0.5</v>
      </c>
      <c r="E440" s="19" t="str">
        <f t="shared" si="13"/>
        <v>PRIME</v>
      </c>
    </row>
    <row r="441" spans="1:5" x14ac:dyDescent="0.25">
      <c r="A441" s="2">
        <v>440</v>
      </c>
      <c r="B441" s="2">
        <v>280</v>
      </c>
      <c r="C441" s="2">
        <v>16</v>
      </c>
      <c r="D441" s="22">
        <f t="shared" si="12"/>
        <v>17.5</v>
      </c>
      <c r="E441" s="19" t="str">
        <f t="shared" si="13"/>
        <v/>
      </c>
    </row>
    <row r="442" spans="1:5" x14ac:dyDescent="0.25">
      <c r="A442" s="2">
        <v>441</v>
      </c>
      <c r="B442" s="2">
        <v>189</v>
      </c>
      <c r="C442" s="2">
        <v>9</v>
      </c>
      <c r="D442" s="22">
        <f t="shared" si="12"/>
        <v>21</v>
      </c>
      <c r="E442" s="19" t="str">
        <f t="shared" si="13"/>
        <v/>
      </c>
    </row>
    <row r="443" spans="1:5" x14ac:dyDescent="0.25">
      <c r="A443" s="2">
        <v>442</v>
      </c>
      <c r="B443" s="2">
        <v>250</v>
      </c>
      <c r="C443" s="2">
        <v>8</v>
      </c>
      <c r="D443" s="22">
        <f t="shared" si="12"/>
        <v>31.25</v>
      </c>
      <c r="E443" s="19" t="str">
        <f t="shared" si="13"/>
        <v/>
      </c>
    </row>
    <row r="444" spans="1:5" x14ac:dyDescent="0.25">
      <c r="A444" s="2">
        <v>443</v>
      </c>
      <c r="B444" s="2">
        <v>1</v>
      </c>
      <c r="C444" s="2">
        <v>2</v>
      </c>
      <c r="D444" s="22">
        <f t="shared" si="12"/>
        <v>0.5</v>
      </c>
      <c r="E444" s="19" t="str">
        <f t="shared" si="13"/>
        <v>PRIME</v>
      </c>
    </row>
    <row r="445" spans="1:5" x14ac:dyDescent="0.25">
      <c r="A445" s="2">
        <v>444</v>
      </c>
      <c r="B445" s="2">
        <v>300</v>
      </c>
      <c r="C445" s="2">
        <v>12</v>
      </c>
      <c r="D445" s="22">
        <f t="shared" si="12"/>
        <v>25</v>
      </c>
      <c r="E445" s="19" t="str">
        <f t="shared" si="13"/>
        <v/>
      </c>
    </row>
    <row r="446" spans="1:5" x14ac:dyDescent="0.25">
      <c r="A446" s="2">
        <v>445</v>
      </c>
      <c r="B446" s="2">
        <v>93</v>
      </c>
      <c r="C446" s="2">
        <v>4</v>
      </c>
      <c r="D446" s="22">
        <f t="shared" si="12"/>
        <v>23.25</v>
      </c>
      <c r="E446" s="19" t="str">
        <f t="shared" si="13"/>
        <v/>
      </c>
    </row>
    <row r="447" spans="1:5" x14ac:dyDescent="0.25">
      <c r="A447" s="2">
        <v>446</v>
      </c>
      <c r="B447" s="2">
        <v>224</v>
      </c>
      <c r="C447" s="2">
        <v>4</v>
      </c>
      <c r="D447" s="22">
        <f t="shared" si="12"/>
        <v>56</v>
      </c>
      <c r="E447" s="19" t="str">
        <f t="shared" si="13"/>
        <v/>
      </c>
    </row>
    <row r="448" spans="1:5" x14ac:dyDescent="0.25">
      <c r="A448" s="2">
        <v>447</v>
      </c>
      <c r="B448" s="2">
        <v>151</v>
      </c>
      <c r="C448" s="2">
        <v>4</v>
      </c>
      <c r="D448" s="22">
        <f t="shared" si="12"/>
        <v>37.75</v>
      </c>
      <c r="E448" s="19" t="str">
        <f t="shared" si="13"/>
        <v/>
      </c>
    </row>
    <row r="449" spans="1:5" x14ac:dyDescent="0.25">
      <c r="A449" s="2">
        <v>448</v>
      </c>
      <c r="B449" s="2">
        <v>256</v>
      </c>
      <c r="C449" s="2">
        <v>14</v>
      </c>
      <c r="D449" s="22">
        <f t="shared" si="12"/>
        <v>18.285714285714285</v>
      </c>
      <c r="E449" s="19" t="str">
        <f t="shared" si="13"/>
        <v/>
      </c>
    </row>
    <row r="450" spans="1:5" x14ac:dyDescent="0.25">
      <c r="A450" s="2">
        <v>449</v>
      </c>
      <c r="B450" s="2">
        <v>1</v>
      </c>
      <c r="C450" s="2">
        <v>2</v>
      </c>
      <c r="D450" s="22">
        <f t="shared" si="12"/>
        <v>0.5</v>
      </c>
      <c r="E450" s="19" t="str">
        <f t="shared" si="13"/>
        <v>PRIME</v>
      </c>
    </row>
    <row r="451" spans="1:5" x14ac:dyDescent="0.25">
      <c r="A451" s="2">
        <v>450</v>
      </c>
      <c r="B451" s="2">
        <v>330</v>
      </c>
      <c r="C451" s="2">
        <v>18</v>
      </c>
      <c r="D451" s="22">
        <f t="shared" ref="D451:D514" si="14">B451/C451</f>
        <v>18.333333333333332</v>
      </c>
      <c r="E451" s="19" t="str">
        <f t="shared" ref="E451:E501" si="15">IF(C451=2,"PRIME","")</f>
        <v/>
      </c>
    </row>
    <row r="452" spans="1:5" x14ac:dyDescent="0.25">
      <c r="A452" s="2">
        <v>451</v>
      </c>
      <c r="B452" s="2">
        <v>51</v>
      </c>
      <c r="C452" s="2">
        <v>4</v>
      </c>
      <c r="D452" s="22">
        <f t="shared" si="14"/>
        <v>12.75</v>
      </c>
      <c r="E452" s="19" t="str">
        <f t="shared" si="15"/>
        <v/>
      </c>
    </row>
    <row r="453" spans="1:5" x14ac:dyDescent="0.25">
      <c r="A453" s="2">
        <v>452</v>
      </c>
      <c r="B453" s="2">
        <v>228</v>
      </c>
      <c r="C453" s="2">
        <v>6</v>
      </c>
      <c r="D453" s="22">
        <f t="shared" si="14"/>
        <v>38</v>
      </c>
      <c r="E453" s="19" t="str">
        <f t="shared" si="15"/>
        <v/>
      </c>
    </row>
    <row r="454" spans="1:5" x14ac:dyDescent="0.25">
      <c r="A454" s="2">
        <v>453</v>
      </c>
      <c r="B454" s="2">
        <v>153</v>
      </c>
      <c r="C454" s="2">
        <v>4</v>
      </c>
      <c r="D454" s="22">
        <f t="shared" si="14"/>
        <v>38.25</v>
      </c>
      <c r="E454" s="19" t="str">
        <f t="shared" si="15"/>
        <v/>
      </c>
    </row>
    <row r="455" spans="1:5" x14ac:dyDescent="0.25">
      <c r="A455" s="2">
        <v>454</v>
      </c>
      <c r="B455" s="2">
        <v>228</v>
      </c>
      <c r="C455" s="2">
        <v>4</v>
      </c>
      <c r="D455" s="22">
        <f t="shared" si="14"/>
        <v>57</v>
      </c>
      <c r="E455" s="19" t="str">
        <f t="shared" si="15"/>
        <v/>
      </c>
    </row>
    <row r="456" spans="1:5" x14ac:dyDescent="0.25">
      <c r="A456" s="2">
        <v>455</v>
      </c>
      <c r="B456" s="2">
        <v>167</v>
      </c>
      <c r="C456" s="2">
        <v>8</v>
      </c>
      <c r="D456" s="22">
        <f t="shared" si="14"/>
        <v>20.875</v>
      </c>
      <c r="E456" s="19" t="str">
        <f t="shared" si="15"/>
        <v/>
      </c>
    </row>
    <row r="457" spans="1:5" x14ac:dyDescent="0.25">
      <c r="A457" s="2">
        <v>456</v>
      </c>
      <c r="B457" s="2">
        <v>312</v>
      </c>
      <c r="C457" s="2">
        <v>16</v>
      </c>
      <c r="D457" s="22">
        <f t="shared" si="14"/>
        <v>19.5</v>
      </c>
      <c r="E457" s="19" t="str">
        <f t="shared" si="15"/>
        <v/>
      </c>
    </row>
    <row r="458" spans="1:5" x14ac:dyDescent="0.25">
      <c r="A458" s="2">
        <v>457</v>
      </c>
      <c r="B458" s="2">
        <v>1</v>
      </c>
      <c r="C458" s="2">
        <v>2</v>
      </c>
      <c r="D458" s="22">
        <f t="shared" si="14"/>
        <v>0.5</v>
      </c>
      <c r="E458" s="19" t="str">
        <f t="shared" si="15"/>
        <v>PRIME</v>
      </c>
    </row>
    <row r="459" spans="1:5" x14ac:dyDescent="0.25">
      <c r="A459" s="2">
        <v>458</v>
      </c>
      <c r="B459" s="2">
        <v>230</v>
      </c>
      <c r="C459" s="2">
        <v>4</v>
      </c>
      <c r="D459" s="22">
        <f t="shared" si="14"/>
        <v>57.5</v>
      </c>
      <c r="E459" s="19" t="str">
        <f t="shared" si="15"/>
        <v/>
      </c>
    </row>
    <row r="460" spans="1:5" x14ac:dyDescent="0.25">
      <c r="A460" s="2">
        <v>459</v>
      </c>
      <c r="B460" s="2">
        <v>171</v>
      </c>
      <c r="C460" s="2">
        <v>8</v>
      </c>
      <c r="D460" s="22">
        <f t="shared" si="14"/>
        <v>21.375</v>
      </c>
      <c r="E460" s="19" t="str">
        <f t="shared" si="15"/>
        <v/>
      </c>
    </row>
    <row r="461" spans="1:5" x14ac:dyDescent="0.25">
      <c r="A461" s="2">
        <v>460</v>
      </c>
      <c r="B461" s="2">
        <v>284</v>
      </c>
      <c r="C461" s="2">
        <v>12</v>
      </c>
      <c r="D461" s="22">
        <f t="shared" si="14"/>
        <v>23.666666666666668</v>
      </c>
      <c r="E461" s="19" t="str">
        <f t="shared" si="15"/>
        <v/>
      </c>
    </row>
    <row r="462" spans="1:5" x14ac:dyDescent="0.25">
      <c r="A462" s="2">
        <v>461</v>
      </c>
      <c r="B462" s="2">
        <v>1</v>
      </c>
      <c r="C462" s="2">
        <v>2</v>
      </c>
      <c r="D462" s="22">
        <f t="shared" si="14"/>
        <v>0.5</v>
      </c>
      <c r="E462" s="19" t="str">
        <f t="shared" si="15"/>
        <v>PRIME</v>
      </c>
    </row>
    <row r="463" spans="1:5" x14ac:dyDescent="0.25">
      <c r="A463" s="2">
        <v>462</v>
      </c>
      <c r="B463" s="2">
        <v>342</v>
      </c>
      <c r="C463" s="2">
        <v>16</v>
      </c>
      <c r="D463" s="22">
        <f t="shared" si="14"/>
        <v>21.375</v>
      </c>
      <c r="E463" s="19" t="str">
        <f t="shared" si="15"/>
        <v/>
      </c>
    </row>
    <row r="464" spans="1:5" x14ac:dyDescent="0.25">
      <c r="A464" s="2">
        <v>463</v>
      </c>
      <c r="B464" s="2">
        <v>1</v>
      </c>
      <c r="C464" s="2">
        <v>2</v>
      </c>
      <c r="D464" s="22">
        <f t="shared" si="14"/>
        <v>0.5</v>
      </c>
      <c r="E464" s="19" t="str">
        <f t="shared" si="15"/>
        <v>PRIME</v>
      </c>
    </row>
    <row r="465" spans="1:5" x14ac:dyDescent="0.25">
      <c r="A465" s="2">
        <v>464</v>
      </c>
      <c r="B465" s="2">
        <v>240</v>
      </c>
      <c r="C465" s="2">
        <v>10</v>
      </c>
      <c r="D465" s="22">
        <f t="shared" si="14"/>
        <v>24</v>
      </c>
      <c r="E465" s="19" t="str">
        <f t="shared" si="15"/>
        <v/>
      </c>
    </row>
    <row r="466" spans="1:5" x14ac:dyDescent="0.25">
      <c r="A466" s="2">
        <v>465</v>
      </c>
      <c r="B466" s="2">
        <v>225</v>
      </c>
      <c r="C466" s="2">
        <v>8</v>
      </c>
      <c r="D466" s="22">
        <f t="shared" si="14"/>
        <v>28.125</v>
      </c>
      <c r="E466" s="19" t="str">
        <f t="shared" si="15"/>
        <v/>
      </c>
    </row>
    <row r="467" spans="1:5" x14ac:dyDescent="0.25">
      <c r="A467" s="2">
        <v>466</v>
      </c>
      <c r="B467" s="2">
        <v>234</v>
      </c>
      <c r="C467" s="2">
        <v>4</v>
      </c>
      <c r="D467" s="22">
        <f t="shared" si="14"/>
        <v>58.5</v>
      </c>
      <c r="E467" s="19" t="str">
        <f t="shared" si="15"/>
        <v/>
      </c>
    </row>
    <row r="468" spans="1:5" x14ac:dyDescent="0.25">
      <c r="A468" s="2">
        <v>467</v>
      </c>
      <c r="B468" s="2">
        <v>1</v>
      </c>
      <c r="C468" s="2">
        <v>2</v>
      </c>
      <c r="D468" s="22">
        <f t="shared" si="14"/>
        <v>0.5</v>
      </c>
      <c r="E468" s="19" t="str">
        <f t="shared" si="15"/>
        <v>PRIME</v>
      </c>
    </row>
    <row r="469" spans="1:5" x14ac:dyDescent="0.25">
      <c r="A469" s="2">
        <v>468</v>
      </c>
      <c r="B469" s="2">
        <v>324</v>
      </c>
      <c r="C469" s="2">
        <v>18</v>
      </c>
      <c r="D469" s="22">
        <f t="shared" si="14"/>
        <v>18</v>
      </c>
      <c r="E469" s="19" t="str">
        <f t="shared" si="15"/>
        <v/>
      </c>
    </row>
    <row r="470" spans="1:5" x14ac:dyDescent="0.25">
      <c r="A470" s="2">
        <v>469</v>
      </c>
      <c r="B470" s="2">
        <v>73</v>
      </c>
      <c r="C470" s="2">
        <v>4</v>
      </c>
      <c r="D470" s="22">
        <f t="shared" si="14"/>
        <v>18.25</v>
      </c>
      <c r="E470" s="19" t="str">
        <f t="shared" si="15"/>
        <v/>
      </c>
    </row>
    <row r="471" spans="1:5" x14ac:dyDescent="0.25">
      <c r="A471" s="2">
        <v>470</v>
      </c>
      <c r="B471" s="2">
        <v>286</v>
      </c>
      <c r="C471" s="2">
        <v>8</v>
      </c>
      <c r="D471" s="22">
        <f t="shared" si="14"/>
        <v>35.75</v>
      </c>
      <c r="E471" s="19" t="str">
        <f t="shared" si="15"/>
        <v/>
      </c>
    </row>
    <row r="472" spans="1:5" x14ac:dyDescent="0.25">
      <c r="A472" s="2">
        <v>471</v>
      </c>
      <c r="B472" s="2">
        <v>159</v>
      </c>
      <c r="C472" s="2">
        <v>4</v>
      </c>
      <c r="D472" s="22">
        <f t="shared" si="14"/>
        <v>39.75</v>
      </c>
      <c r="E472" s="19" t="str">
        <f t="shared" si="15"/>
        <v/>
      </c>
    </row>
    <row r="473" spans="1:5" x14ac:dyDescent="0.25">
      <c r="A473" s="2">
        <v>472</v>
      </c>
      <c r="B473" s="2">
        <v>240</v>
      </c>
      <c r="C473" s="2">
        <v>8</v>
      </c>
      <c r="D473" s="22">
        <f t="shared" si="14"/>
        <v>30</v>
      </c>
      <c r="E473" s="19" t="str">
        <f t="shared" si="15"/>
        <v/>
      </c>
    </row>
    <row r="474" spans="1:5" x14ac:dyDescent="0.25">
      <c r="A474" s="2">
        <v>473</v>
      </c>
      <c r="B474" s="2">
        <v>53</v>
      </c>
      <c r="C474" s="2">
        <v>4</v>
      </c>
      <c r="D474" s="22">
        <f t="shared" si="14"/>
        <v>13.25</v>
      </c>
      <c r="E474" s="19" t="str">
        <f t="shared" si="15"/>
        <v/>
      </c>
    </row>
    <row r="475" spans="1:5" x14ac:dyDescent="0.25">
      <c r="A475" s="2">
        <v>474</v>
      </c>
      <c r="B475" s="2">
        <v>318</v>
      </c>
      <c r="C475" s="2">
        <v>8</v>
      </c>
      <c r="D475" s="22">
        <f t="shared" si="14"/>
        <v>39.75</v>
      </c>
      <c r="E475" s="19" t="str">
        <f t="shared" si="15"/>
        <v/>
      </c>
    </row>
    <row r="476" spans="1:5" x14ac:dyDescent="0.25">
      <c r="A476" s="2">
        <v>475</v>
      </c>
      <c r="B476" s="2">
        <v>115</v>
      </c>
      <c r="C476" s="2">
        <v>6</v>
      </c>
      <c r="D476" s="22">
        <f t="shared" si="14"/>
        <v>19.166666666666668</v>
      </c>
      <c r="E476" s="19" t="str">
        <f t="shared" si="15"/>
        <v/>
      </c>
    </row>
    <row r="477" spans="1:5" x14ac:dyDescent="0.25">
      <c r="A477" s="2">
        <v>476</v>
      </c>
      <c r="B477" s="2">
        <v>284</v>
      </c>
      <c r="C477" s="2">
        <v>12</v>
      </c>
      <c r="D477" s="22">
        <f t="shared" si="14"/>
        <v>23.666666666666668</v>
      </c>
      <c r="E477" s="19" t="str">
        <f t="shared" si="15"/>
        <v/>
      </c>
    </row>
    <row r="478" spans="1:5" x14ac:dyDescent="0.25">
      <c r="A478" s="2">
        <v>477</v>
      </c>
      <c r="B478" s="2">
        <v>165</v>
      </c>
      <c r="C478" s="2">
        <v>6</v>
      </c>
      <c r="D478" s="22">
        <f t="shared" si="14"/>
        <v>27.5</v>
      </c>
      <c r="E478" s="19" t="str">
        <f t="shared" si="15"/>
        <v/>
      </c>
    </row>
    <row r="479" spans="1:5" x14ac:dyDescent="0.25">
      <c r="A479" s="2">
        <v>478</v>
      </c>
      <c r="B479" s="2">
        <v>240</v>
      </c>
      <c r="C479" s="2">
        <v>4</v>
      </c>
      <c r="D479" s="22">
        <f t="shared" si="14"/>
        <v>60</v>
      </c>
      <c r="E479" s="19" t="str">
        <f t="shared" si="15"/>
        <v/>
      </c>
    </row>
    <row r="480" spans="1:5" x14ac:dyDescent="0.25">
      <c r="A480" s="2">
        <v>479</v>
      </c>
      <c r="B480" s="2">
        <v>1</v>
      </c>
      <c r="C480" s="2">
        <v>2</v>
      </c>
      <c r="D480" s="22">
        <f t="shared" si="14"/>
        <v>0.5</v>
      </c>
      <c r="E480" s="19" t="str">
        <f t="shared" si="15"/>
        <v>PRIME</v>
      </c>
    </row>
    <row r="481" spans="1:5" x14ac:dyDescent="0.25">
      <c r="A481" s="2">
        <v>480</v>
      </c>
      <c r="B481" s="2">
        <v>352</v>
      </c>
      <c r="C481" s="2">
        <v>24</v>
      </c>
      <c r="D481" s="22">
        <f t="shared" si="14"/>
        <v>14.666666666666666</v>
      </c>
      <c r="E481" s="19" t="str">
        <f t="shared" si="15"/>
        <v/>
      </c>
    </row>
    <row r="482" spans="1:5" x14ac:dyDescent="0.25">
      <c r="A482" s="2">
        <v>481</v>
      </c>
      <c r="B482" s="2">
        <v>49</v>
      </c>
      <c r="C482" s="2">
        <v>4</v>
      </c>
      <c r="D482" s="22">
        <f t="shared" si="14"/>
        <v>12.25</v>
      </c>
      <c r="E482" s="19" t="str">
        <f t="shared" si="15"/>
        <v/>
      </c>
    </row>
    <row r="483" spans="1:5" x14ac:dyDescent="0.25">
      <c r="A483" s="2">
        <v>482</v>
      </c>
      <c r="B483" s="2">
        <v>242</v>
      </c>
      <c r="C483" s="2">
        <v>4</v>
      </c>
      <c r="D483" s="22">
        <f t="shared" si="14"/>
        <v>60.5</v>
      </c>
      <c r="E483" s="19" t="str">
        <f t="shared" si="15"/>
        <v/>
      </c>
    </row>
    <row r="484" spans="1:5" x14ac:dyDescent="0.25">
      <c r="A484" s="2">
        <v>483</v>
      </c>
      <c r="B484" s="2">
        <v>219</v>
      </c>
      <c r="C484" s="2">
        <v>8</v>
      </c>
      <c r="D484" s="22">
        <f t="shared" si="14"/>
        <v>27.375</v>
      </c>
      <c r="E484" s="19" t="str">
        <f t="shared" si="15"/>
        <v/>
      </c>
    </row>
    <row r="485" spans="1:5" x14ac:dyDescent="0.25">
      <c r="A485" s="2">
        <v>484</v>
      </c>
      <c r="B485" s="2">
        <v>264</v>
      </c>
      <c r="C485" s="2">
        <v>9</v>
      </c>
      <c r="D485" s="22">
        <f t="shared" si="14"/>
        <v>29.333333333333332</v>
      </c>
      <c r="E485" s="19" t="str">
        <f t="shared" si="15"/>
        <v/>
      </c>
    </row>
    <row r="486" spans="1:5" x14ac:dyDescent="0.25">
      <c r="A486" s="2">
        <v>485</v>
      </c>
      <c r="B486" s="2">
        <v>101</v>
      </c>
      <c r="C486" s="2">
        <v>4</v>
      </c>
      <c r="D486" s="22">
        <f t="shared" si="14"/>
        <v>25.25</v>
      </c>
      <c r="E486" s="19" t="str">
        <f t="shared" si="15"/>
        <v/>
      </c>
    </row>
    <row r="487" spans="1:5" x14ac:dyDescent="0.25">
      <c r="A487" s="2">
        <v>486</v>
      </c>
      <c r="B487" s="2">
        <v>324</v>
      </c>
      <c r="C487" s="2">
        <v>12</v>
      </c>
      <c r="D487" s="22">
        <f t="shared" si="14"/>
        <v>27</v>
      </c>
      <c r="E487" s="19" t="str">
        <f t="shared" si="15"/>
        <v/>
      </c>
    </row>
    <row r="488" spans="1:5" x14ac:dyDescent="0.25">
      <c r="A488" s="2">
        <v>487</v>
      </c>
      <c r="B488" s="2">
        <v>1</v>
      </c>
      <c r="C488" s="2">
        <v>2</v>
      </c>
      <c r="D488" s="22">
        <f t="shared" si="14"/>
        <v>0.5</v>
      </c>
      <c r="E488" s="19" t="str">
        <f t="shared" si="15"/>
        <v>PRIME</v>
      </c>
    </row>
    <row r="489" spans="1:5" x14ac:dyDescent="0.25">
      <c r="A489" s="2">
        <v>488</v>
      </c>
      <c r="B489" s="2">
        <v>248</v>
      </c>
      <c r="C489" s="2">
        <v>8</v>
      </c>
      <c r="D489" s="22">
        <f t="shared" si="14"/>
        <v>31</v>
      </c>
      <c r="E489" s="19" t="str">
        <f t="shared" si="15"/>
        <v/>
      </c>
    </row>
    <row r="490" spans="1:5" x14ac:dyDescent="0.25">
      <c r="A490" s="2">
        <v>489</v>
      </c>
      <c r="B490" s="2">
        <v>165</v>
      </c>
      <c r="C490" s="2">
        <v>4</v>
      </c>
      <c r="D490" s="22">
        <f t="shared" si="14"/>
        <v>41.25</v>
      </c>
      <c r="E490" s="19" t="str">
        <f t="shared" si="15"/>
        <v/>
      </c>
    </row>
    <row r="491" spans="1:5" x14ac:dyDescent="0.25">
      <c r="A491" s="2">
        <v>490</v>
      </c>
      <c r="B491" s="2">
        <v>322</v>
      </c>
      <c r="C491" s="2">
        <v>12</v>
      </c>
      <c r="D491" s="22">
        <f t="shared" si="14"/>
        <v>26.833333333333332</v>
      </c>
      <c r="E491" s="19" t="str">
        <f t="shared" si="15"/>
        <v/>
      </c>
    </row>
    <row r="492" spans="1:5" x14ac:dyDescent="0.25">
      <c r="A492" s="2">
        <v>491</v>
      </c>
      <c r="B492" s="2">
        <v>1</v>
      </c>
      <c r="C492" s="2">
        <v>2</v>
      </c>
      <c r="D492" s="22">
        <f t="shared" si="14"/>
        <v>0.5</v>
      </c>
      <c r="E492" s="19" t="str">
        <f t="shared" si="15"/>
        <v>PRIME</v>
      </c>
    </row>
    <row r="493" spans="1:5" x14ac:dyDescent="0.25">
      <c r="A493" s="2">
        <v>492</v>
      </c>
      <c r="B493" s="2">
        <v>332</v>
      </c>
      <c r="C493" s="2">
        <v>12</v>
      </c>
      <c r="D493" s="22">
        <f t="shared" si="14"/>
        <v>27.666666666666668</v>
      </c>
      <c r="E493" s="19" t="str">
        <f t="shared" si="15"/>
        <v/>
      </c>
    </row>
    <row r="494" spans="1:5" x14ac:dyDescent="0.25">
      <c r="A494" s="2">
        <v>493</v>
      </c>
      <c r="B494" s="2">
        <v>45</v>
      </c>
      <c r="C494" s="2">
        <v>4</v>
      </c>
      <c r="D494" s="22">
        <f t="shared" si="14"/>
        <v>11.25</v>
      </c>
      <c r="E494" s="19" t="str">
        <f t="shared" si="15"/>
        <v/>
      </c>
    </row>
    <row r="495" spans="1:5" x14ac:dyDescent="0.25">
      <c r="A495" s="2">
        <v>494</v>
      </c>
      <c r="B495" s="2">
        <v>278</v>
      </c>
      <c r="C495" s="2">
        <v>8</v>
      </c>
      <c r="D495" s="22">
        <f t="shared" si="14"/>
        <v>34.75</v>
      </c>
      <c r="E495" s="19" t="str">
        <f t="shared" si="15"/>
        <v/>
      </c>
    </row>
    <row r="496" spans="1:5" x14ac:dyDescent="0.25">
      <c r="A496" s="2">
        <v>495</v>
      </c>
      <c r="B496" s="2">
        <v>255</v>
      </c>
      <c r="C496" s="2">
        <v>12</v>
      </c>
      <c r="D496" s="22">
        <f t="shared" si="14"/>
        <v>21.25</v>
      </c>
      <c r="E496" s="19" t="str">
        <f t="shared" si="15"/>
        <v/>
      </c>
    </row>
    <row r="497" spans="1:5" x14ac:dyDescent="0.25">
      <c r="A497" s="2">
        <v>496</v>
      </c>
      <c r="B497" s="2">
        <v>256</v>
      </c>
      <c r="C497" s="2">
        <v>10</v>
      </c>
      <c r="D497" s="22">
        <f t="shared" si="14"/>
        <v>25.6</v>
      </c>
      <c r="E497" s="19" t="str">
        <f t="shared" si="15"/>
        <v/>
      </c>
    </row>
    <row r="498" spans="1:5" x14ac:dyDescent="0.25">
      <c r="A498" s="2">
        <v>497</v>
      </c>
      <c r="B498" s="2">
        <v>77</v>
      </c>
      <c r="C498" s="2">
        <v>4</v>
      </c>
      <c r="D498" s="22">
        <f t="shared" si="14"/>
        <v>19.25</v>
      </c>
      <c r="E498" s="19" t="str">
        <f t="shared" si="15"/>
        <v/>
      </c>
    </row>
    <row r="499" spans="1:5" x14ac:dyDescent="0.25">
      <c r="A499" s="2">
        <v>498</v>
      </c>
      <c r="B499" s="2">
        <v>334</v>
      </c>
      <c r="C499" s="2">
        <v>8</v>
      </c>
      <c r="D499" s="22">
        <f t="shared" si="14"/>
        <v>41.75</v>
      </c>
      <c r="E499" s="19" t="str">
        <f t="shared" si="15"/>
        <v/>
      </c>
    </row>
    <row r="500" spans="1:5" x14ac:dyDescent="0.25">
      <c r="A500" s="2">
        <v>499</v>
      </c>
      <c r="B500" s="2">
        <v>1</v>
      </c>
      <c r="C500" s="2">
        <v>2</v>
      </c>
      <c r="D500" s="22">
        <f t="shared" si="14"/>
        <v>0.5</v>
      </c>
      <c r="E500" s="19" t="str">
        <f t="shared" si="15"/>
        <v>PRIME</v>
      </c>
    </row>
    <row r="501" spans="1:5" x14ac:dyDescent="0.25">
      <c r="A501" s="2">
        <v>500</v>
      </c>
      <c r="B501" s="2">
        <v>300</v>
      </c>
      <c r="C501" s="2">
        <v>12</v>
      </c>
      <c r="D501" s="22">
        <f t="shared" si="14"/>
        <v>25</v>
      </c>
      <c r="E501" s="19" t="str">
        <f t="shared" si="15"/>
        <v/>
      </c>
    </row>
    <row r="505" spans="1:5" ht="16.5" x14ac:dyDescent="0.25">
      <c r="A505" s="6" t="s">
        <v>127</v>
      </c>
    </row>
    <row r="506" spans="1:5" x14ac:dyDescent="0.25">
      <c r="A506" s="15" t="s">
        <v>128</v>
      </c>
      <c r="B506" s="7">
        <f>MIN(D3:D502)</f>
        <v>0.5</v>
      </c>
    </row>
    <row r="507" spans="1:5" x14ac:dyDescent="0.25">
      <c r="A507" s="15" t="s">
        <v>129</v>
      </c>
      <c r="B507" s="7">
        <f>COUNTIF(D3:D502,0.5)</f>
        <v>95</v>
      </c>
    </row>
    <row r="508" spans="1:5" x14ac:dyDescent="0.25">
      <c r="A508" s="15" t="s">
        <v>130</v>
      </c>
      <c r="B508" s="7">
        <f>COUNTIF(E3:E502,"PRIME")</f>
        <v>95</v>
      </c>
    </row>
    <row r="509" spans="1:5" x14ac:dyDescent="0.25">
      <c r="A509" s="15" t="s">
        <v>131</v>
      </c>
      <c r="B509" s="9" t="str">
        <f>IF(AND(B506=0.5,B507=B508),"PROVEN: r(n)=1/2 iff n prime","DISPROVEN")</f>
        <v>PROVEN: r(n)=1/2 iff n prime</v>
      </c>
    </row>
  </sheetData>
  <mergeCells count="1">
    <mergeCell ref="A1:E1"/>
  </mergeCells>
  <conditionalFormatting sqref="D3:D502">
    <cfRule type="cellIs" dxfId="6" priority="1" operator="equal">
      <formula>0.5</formula>
    </cfRule>
  </conditionalFormatting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C05621"/>
  </sheetPr>
  <dimension ref="A1:F218"/>
  <sheetViews>
    <sheetView workbookViewId="0">
      <selection sqref="A1:F1"/>
    </sheetView>
  </sheetViews>
  <sheetFormatPr defaultRowHeight="15" x14ac:dyDescent="0.25"/>
  <cols>
    <col min="1" max="1" width="14" customWidth="1"/>
    <col min="2" max="2" width="18" customWidth="1"/>
    <col min="3" max="4" width="14" customWidth="1"/>
    <col min="5" max="5" width="18" customWidth="1"/>
    <col min="6" max="6" width="8" customWidth="1"/>
  </cols>
  <sheetData>
    <row r="1" spans="1:6" ht="20.25" x14ac:dyDescent="0.25">
      <c r="A1" s="52" t="s">
        <v>132</v>
      </c>
      <c r="B1" s="53"/>
      <c r="C1" s="53"/>
      <c r="D1" s="53"/>
      <c r="E1" s="53"/>
      <c r="F1" s="53"/>
    </row>
    <row r="3" spans="1:6" ht="16.5" x14ac:dyDescent="0.25">
      <c r="A3" s="6" t="s">
        <v>133</v>
      </c>
    </row>
    <row r="4" spans="1:6" x14ac:dyDescent="0.25">
      <c r="A4" s="15" t="s">
        <v>134</v>
      </c>
      <c r="B4" s="23">
        <f>(1+SQRT(5))/2</f>
        <v>1.6180339887498949</v>
      </c>
    </row>
    <row r="5" spans="1:6" x14ac:dyDescent="0.25">
      <c r="A5" s="15" t="s">
        <v>135</v>
      </c>
      <c r="B5" s="23">
        <f>ACOS(1/SQRT(B4))</f>
        <v>0.66623943249251527</v>
      </c>
    </row>
    <row r="6" spans="1:6" x14ac:dyDescent="0.25">
      <c r="A6" s="15" t="s">
        <v>136</v>
      </c>
      <c r="B6" s="23">
        <f>DEGREES(B5)</f>
        <v>38.172707627012251</v>
      </c>
    </row>
    <row r="7" spans="1:6" x14ac:dyDescent="0.25">
      <c r="A7" s="15" t="s">
        <v>137</v>
      </c>
      <c r="B7" s="23">
        <f>COS(B5)^2</f>
        <v>0.61803398874989479</v>
      </c>
    </row>
    <row r="8" spans="1:6" x14ac:dyDescent="0.25">
      <c r="A8" s="15" t="s">
        <v>138</v>
      </c>
      <c r="B8" s="23">
        <f>1/B4</f>
        <v>0.61803398874989479</v>
      </c>
    </row>
    <row r="9" spans="1:6" x14ac:dyDescent="0.25">
      <c r="A9" s="15" t="s">
        <v>139</v>
      </c>
      <c r="B9" s="23">
        <f>ABS(B7-B8)</f>
        <v>0</v>
      </c>
    </row>
    <row r="10" spans="1:6" x14ac:dyDescent="0.25">
      <c r="A10" s="15" t="s">
        <v>140</v>
      </c>
      <c r="B10" s="23" t="str">
        <f>IF(B9&lt;0.0000000001,"PROVEN: cos^2(theta*)=1/phi to machine precision","FAILED")</f>
        <v>PROVEN: cos^2(theta*)=1/phi to machine precision</v>
      </c>
    </row>
    <row r="13" spans="1:6" ht="16.5" x14ac:dyDescent="0.25">
      <c r="A13" s="6" t="s">
        <v>141</v>
      </c>
    </row>
    <row r="14" spans="1:6" x14ac:dyDescent="0.25">
      <c r="A14" s="24" t="s">
        <v>142</v>
      </c>
    </row>
    <row r="15" spans="1:6" ht="25.5" x14ac:dyDescent="0.25">
      <c r="A15" s="1" t="s">
        <v>143</v>
      </c>
      <c r="B15" s="1" t="s">
        <v>144</v>
      </c>
      <c r="C15" s="1" t="s">
        <v>1</v>
      </c>
      <c r="D15" s="1" t="s">
        <v>145</v>
      </c>
      <c r="E15" s="1" t="s">
        <v>146</v>
      </c>
      <c r="F15" s="1" t="s">
        <v>64</v>
      </c>
    </row>
    <row r="16" spans="1:6" x14ac:dyDescent="0.25">
      <c r="A16" s="2">
        <v>328</v>
      </c>
      <c r="B16" s="2">
        <v>58</v>
      </c>
      <c r="C16" s="2">
        <v>13</v>
      </c>
      <c r="D16" s="3">
        <f t="shared" ref="D16:D47" si="0">GCD(A16*B16,C16)</f>
        <v>1</v>
      </c>
      <c r="E16" s="3">
        <f t="shared" ref="E16:E47" si="1">GCD(GCD(A16,C16)*GCD(B16,C16),C16)</f>
        <v>1</v>
      </c>
      <c r="F16" s="3" t="str">
        <f t="shared" ref="F16:F47" si="2">IF(D16=E16,"pass","FAIL")</f>
        <v>pass</v>
      </c>
    </row>
    <row r="17" spans="1:6" x14ac:dyDescent="0.25">
      <c r="A17" s="2">
        <v>380</v>
      </c>
      <c r="B17" s="2">
        <v>141</v>
      </c>
      <c r="C17" s="2">
        <v>126</v>
      </c>
      <c r="D17" s="3">
        <f t="shared" si="0"/>
        <v>6</v>
      </c>
      <c r="E17" s="3">
        <f t="shared" si="1"/>
        <v>6</v>
      </c>
      <c r="F17" s="3" t="str">
        <f t="shared" si="2"/>
        <v>pass</v>
      </c>
    </row>
    <row r="18" spans="1:6" x14ac:dyDescent="0.25">
      <c r="A18" s="2">
        <v>115</v>
      </c>
      <c r="B18" s="2">
        <v>72</v>
      </c>
      <c r="C18" s="2">
        <v>378</v>
      </c>
      <c r="D18" s="3">
        <f t="shared" si="0"/>
        <v>18</v>
      </c>
      <c r="E18" s="3">
        <f t="shared" si="1"/>
        <v>18</v>
      </c>
      <c r="F18" s="3" t="str">
        <f t="shared" si="2"/>
        <v>pass</v>
      </c>
    </row>
    <row r="19" spans="1:6" x14ac:dyDescent="0.25">
      <c r="A19" s="2">
        <v>53</v>
      </c>
      <c r="B19" s="2">
        <v>347</v>
      </c>
      <c r="C19" s="2">
        <v>380</v>
      </c>
      <c r="D19" s="3">
        <f t="shared" si="0"/>
        <v>1</v>
      </c>
      <c r="E19" s="3">
        <f t="shared" si="1"/>
        <v>1</v>
      </c>
      <c r="F19" s="3" t="str">
        <f t="shared" si="2"/>
        <v>pass</v>
      </c>
    </row>
    <row r="20" spans="1:6" x14ac:dyDescent="0.25">
      <c r="A20" s="2">
        <v>457</v>
      </c>
      <c r="B20" s="2">
        <v>280</v>
      </c>
      <c r="C20" s="2">
        <v>45</v>
      </c>
      <c r="D20" s="3">
        <f t="shared" si="0"/>
        <v>5</v>
      </c>
      <c r="E20" s="3">
        <f t="shared" si="1"/>
        <v>5</v>
      </c>
      <c r="F20" s="3" t="str">
        <f t="shared" si="2"/>
        <v>pass</v>
      </c>
    </row>
    <row r="21" spans="1:6" x14ac:dyDescent="0.25">
      <c r="A21" s="2">
        <v>303</v>
      </c>
      <c r="B21" s="2">
        <v>217</v>
      </c>
      <c r="C21" s="2">
        <v>17</v>
      </c>
      <c r="D21" s="3">
        <f t="shared" si="0"/>
        <v>1</v>
      </c>
      <c r="E21" s="3">
        <f t="shared" si="1"/>
        <v>1</v>
      </c>
      <c r="F21" s="3" t="str">
        <f t="shared" si="2"/>
        <v>pass</v>
      </c>
    </row>
    <row r="22" spans="1:6" x14ac:dyDescent="0.25">
      <c r="A22" s="2">
        <v>16</v>
      </c>
      <c r="B22" s="2">
        <v>48</v>
      </c>
      <c r="C22" s="2">
        <v>112</v>
      </c>
      <c r="D22" s="3">
        <f t="shared" si="0"/>
        <v>16</v>
      </c>
      <c r="E22" s="3">
        <f t="shared" si="1"/>
        <v>16</v>
      </c>
      <c r="F22" s="3" t="str">
        <f t="shared" si="2"/>
        <v>pass</v>
      </c>
    </row>
    <row r="23" spans="1:6" x14ac:dyDescent="0.25">
      <c r="A23" s="2">
        <v>120</v>
      </c>
      <c r="B23" s="2">
        <v>259</v>
      </c>
      <c r="C23" s="2">
        <v>309</v>
      </c>
      <c r="D23" s="3">
        <f t="shared" si="0"/>
        <v>3</v>
      </c>
      <c r="E23" s="3">
        <f t="shared" si="1"/>
        <v>3</v>
      </c>
      <c r="F23" s="3" t="str">
        <f t="shared" si="2"/>
        <v>pass</v>
      </c>
    </row>
    <row r="24" spans="1:6" x14ac:dyDescent="0.25">
      <c r="A24" s="2">
        <v>14</v>
      </c>
      <c r="B24" s="2">
        <v>288</v>
      </c>
      <c r="C24" s="2">
        <v>102</v>
      </c>
      <c r="D24" s="3">
        <f t="shared" si="0"/>
        <v>6</v>
      </c>
      <c r="E24" s="3">
        <f t="shared" si="1"/>
        <v>6</v>
      </c>
      <c r="F24" s="3" t="str">
        <f t="shared" si="2"/>
        <v>pass</v>
      </c>
    </row>
    <row r="25" spans="1:6" x14ac:dyDescent="0.25">
      <c r="A25" s="2">
        <v>367</v>
      </c>
      <c r="B25" s="2">
        <v>333</v>
      </c>
      <c r="C25" s="2">
        <v>360</v>
      </c>
      <c r="D25" s="3">
        <f t="shared" si="0"/>
        <v>9</v>
      </c>
      <c r="E25" s="3">
        <f t="shared" si="1"/>
        <v>9</v>
      </c>
      <c r="F25" s="3" t="str">
        <f t="shared" si="2"/>
        <v>pass</v>
      </c>
    </row>
    <row r="26" spans="1:6" x14ac:dyDescent="0.25">
      <c r="A26" s="2">
        <v>280</v>
      </c>
      <c r="B26" s="2">
        <v>215</v>
      </c>
      <c r="C26" s="2">
        <v>113</v>
      </c>
      <c r="D26" s="3">
        <f t="shared" si="0"/>
        <v>1</v>
      </c>
      <c r="E26" s="3">
        <f t="shared" si="1"/>
        <v>1</v>
      </c>
      <c r="F26" s="3" t="str">
        <f t="shared" si="2"/>
        <v>pass</v>
      </c>
    </row>
    <row r="27" spans="1:6" x14ac:dyDescent="0.25">
      <c r="A27" s="2">
        <v>230</v>
      </c>
      <c r="B27" s="2">
        <v>302</v>
      </c>
      <c r="C27" s="2">
        <v>143</v>
      </c>
      <c r="D27" s="3">
        <f t="shared" si="0"/>
        <v>1</v>
      </c>
      <c r="E27" s="3">
        <f t="shared" si="1"/>
        <v>1</v>
      </c>
      <c r="F27" s="3" t="str">
        <f t="shared" si="2"/>
        <v>pass</v>
      </c>
    </row>
    <row r="28" spans="1:6" x14ac:dyDescent="0.25">
      <c r="A28" s="2">
        <v>415</v>
      </c>
      <c r="B28" s="2">
        <v>446</v>
      </c>
      <c r="C28" s="2">
        <v>4</v>
      </c>
      <c r="D28" s="3">
        <f t="shared" si="0"/>
        <v>2</v>
      </c>
      <c r="E28" s="3">
        <f t="shared" si="1"/>
        <v>2</v>
      </c>
      <c r="F28" s="3" t="str">
        <f t="shared" si="2"/>
        <v>pass</v>
      </c>
    </row>
    <row r="29" spans="1:6" x14ac:dyDescent="0.25">
      <c r="A29" s="2">
        <v>389</v>
      </c>
      <c r="B29" s="2">
        <v>413</v>
      </c>
      <c r="C29" s="2">
        <v>82</v>
      </c>
      <c r="D29" s="3">
        <f t="shared" si="0"/>
        <v>1</v>
      </c>
      <c r="E29" s="3">
        <f t="shared" si="1"/>
        <v>1</v>
      </c>
      <c r="F29" s="3" t="str">
        <f t="shared" si="2"/>
        <v>pass</v>
      </c>
    </row>
    <row r="30" spans="1:6" x14ac:dyDescent="0.25">
      <c r="A30" s="2">
        <v>358</v>
      </c>
      <c r="B30" s="2">
        <v>217</v>
      </c>
      <c r="C30" s="2">
        <v>175</v>
      </c>
      <c r="D30" s="3">
        <f t="shared" si="0"/>
        <v>7</v>
      </c>
      <c r="E30" s="3">
        <f t="shared" si="1"/>
        <v>7</v>
      </c>
      <c r="F30" s="3" t="str">
        <f t="shared" si="2"/>
        <v>pass</v>
      </c>
    </row>
    <row r="31" spans="1:6" x14ac:dyDescent="0.25">
      <c r="A31" s="2">
        <v>143</v>
      </c>
      <c r="B31" s="2">
        <v>80</v>
      </c>
      <c r="C31" s="2">
        <v>111</v>
      </c>
      <c r="D31" s="3">
        <f t="shared" si="0"/>
        <v>1</v>
      </c>
      <c r="E31" s="3">
        <f t="shared" si="1"/>
        <v>1</v>
      </c>
      <c r="F31" s="3" t="str">
        <f t="shared" si="2"/>
        <v>pass</v>
      </c>
    </row>
    <row r="32" spans="1:6" x14ac:dyDescent="0.25">
      <c r="A32" s="2">
        <v>491</v>
      </c>
      <c r="B32" s="2">
        <v>391</v>
      </c>
      <c r="C32" s="2">
        <v>173</v>
      </c>
      <c r="D32" s="3">
        <f t="shared" si="0"/>
        <v>1</v>
      </c>
      <c r="E32" s="3">
        <f t="shared" si="1"/>
        <v>1</v>
      </c>
      <c r="F32" s="3" t="str">
        <f t="shared" si="2"/>
        <v>pass</v>
      </c>
    </row>
    <row r="33" spans="1:6" x14ac:dyDescent="0.25">
      <c r="A33" s="2">
        <v>53</v>
      </c>
      <c r="B33" s="2">
        <v>48</v>
      </c>
      <c r="C33" s="2">
        <v>195</v>
      </c>
      <c r="D33" s="3">
        <f t="shared" si="0"/>
        <v>3</v>
      </c>
      <c r="E33" s="3">
        <f t="shared" si="1"/>
        <v>3</v>
      </c>
      <c r="F33" s="3" t="str">
        <f t="shared" si="2"/>
        <v>pass</v>
      </c>
    </row>
    <row r="34" spans="1:6" x14ac:dyDescent="0.25">
      <c r="A34" s="2">
        <v>50</v>
      </c>
      <c r="B34" s="2">
        <v>184</v>
      </c>
      <c r="C34" s="2">
        <v>434</v>
      </c>
      <c r="D34" s="3">
        <f t="shared" si="0"/>
        <v>2</v>
      </c>
      <c r="E34" s="3">
        <f t="shared" si="1"/>
        <v>2</v>
      </c>
      <c r="F34" s="3" t="str">
        <f t="shared" si="2"/>
        <v>pass</v>
      </c>
    </row>
    <row r="35" spans="1:6" x14ac:dyDescent="0.25">
      <c r="A35" s="2">
        <v>177</v>
      </c>
      <c r="B35" s="2">
        <v>310</v>
      </c>
      <c r="C35" s="2">
        <v>136</v>
      </c>
      <c r="D35" s="3">
        <f t="shared" si="0"/>
        <v>2</v>
      </c>
      <c r="E35" s="3">
        <f t="shared" si="1"/>
        <v>2</v>
      </c>
      <c r="F35" s="3" t="str">
        <f t="shared" si="2"/>
        <v>pass</v>
      </c>
    </row>
    <row r="36" spans="1:6" x14ac:dyDescent="0.25">
      <c r="A36" s="2">
        <v>414</v>
      </c>
      <c r="B36" s="2">
        <v>23</v>
      </c>
      <c r="C36" s="2">
        <v>374</v>
      </c>
      <c r="D36" s="3">
        <f t="shared" si="0"/>
        <v>2</v>
      </c>
      <c r="E36" s="3">
        <f t="shared" si="1"/>
        <v>2</v>
      </c>
      <c r="F36" s="3" t="str">
        <f t="shared" si="2"/>
        <v>pass</v>
      </c>
    </row>
    <row r="37" spans="1:6" x14ac:dyDescent="0.25">
      <c r="A37" s="2">
        <v>236</v>
      </c>
      <c r="B37" s="2">
        <v>275</v>
      </c>
      <c r="C37" s="2">
        <v>64</v>
      </c>
      <c r="D37" s="3">
        <f t="shared" si="0"/>
        <v>4</v>
      </c>
      <c r="E37" s="3">
        <f t="shared" si="1"/>
        <v>4</v>
      </c>
      <c r="F37" s="3" t="str">
        <f t="shared" si="2"/>
        <v>pass</v>
      </c>
    </row>
    <row r="38" spans="1:6" x14ac:dyDescent="0.25">
      <c r="A38" s="2">
        <v>499</v>
      </c>
      <c r="B38" s="2">
        <v>473</v>
      </c>
      <c r="C38" s="2">
        <v>194</v>
      </c>
      <c r="D38" s="3">
        <f t="shared" si="0"/>
        <v>1</v>
      </c>
      <c r="E38" s="3">
        <f t="shared" si="1"/>
        <v>1</v>
      </c>
      <c r="F38" s="3" t="str">
        <f t="shared" si="2"/>
        <v>pass</v>
      </c>
    </row>
    <row r="39" spans="1:6" x14ac:dyDescent="0.25">
      <c r="A39" s="2">
        <v>41</v>
      </c>
      <c r="B39" s="2">
        <v>283</v>
      </c>
      <c r="C39" s="2">
        <v>151</v>
      </c>
      <c r="D39" s="3">
        <f t="shared" si="0"/>
        <v>1</v>
      </c>
      <c r="E39" s="3">
        <f t="shared" si="1"/>
        <v>1</v>
      </c>
      <c r="F39" s="3" t="str">
        <f t="shared" si="2"/>
        <v>pass</v>
      </c>
    </row>
    <row r="40" spans="1:6" x14ac:dyDescent="0.25">
      <c r="A40" s="2">
        <v>425</v>
      </c>
      <c r="B40" s="2">
        <v>322</v>
      </c>
      <c r="C40" s="2">
        <v>317</v>
      </c>
      <c r="D40" s="3">
        <f t="shared" si="0"/>
        <v>1</v>
      </c>
      <c r="E40" s="3">
        <f t="shared" si="1"/>
        <v>1</v>
      </c>
      <c r="F40" s="3" t="str">
        <f t="shared" si="2"/>
        <v>pass</v>
      </c>
    </row>
    <row r="41" spans="1:6" x14ac:dyDescent="0.25">
      <c r="A41" s="2">
        <v>454</v>
      </c>
      <c r="B41" s="2">
        <v>442</v>
      </c>
      <c r="C41" s="2">
        <v>186</v>
      </c>
      <c r="D41" s="3">
        <f t="shared" si="0"/>
        <v>2</v>
      </c>
      <c r="E41" s="3">
        <f t="shared" si="1"/>
        <v>2</v>
      </c>
      <c r="F41" s="3" t="str">
        <f t="shared" si="2"/>
        <v>pass</v>
      </c>
    </row>
    <row r="42" spans="1:6" x14ac:dyDescent="0.25">
      <c r="A42" s="2">
        <v>296</v>
      </c>
      <c r="B42" s="2">
        <v>99</v>
      </c>
      <c r="C42" s="2">
        <v>361</v>
      </c>
      <c r="D42" s="3">
        <f t="shared" si="0"/>
        <v>1</v>
      </c>
      <c r="E42" s="3">
        <f t="shared" si="1"/>
        <v>1</v>
      </c>
      <c r="F42" s="3" t="str">
        <f t="shared" si="2"/>
        <v>pass</v>
      </c>
    </row>
    <row r="43" spans="1:6" x14ac:dyDescent="0.25">
      <c r="A43" s="2">
        <v>36</v>
      </c>
      <c r="B43" s="2">
        <v>24</v>
      </c>
      <c r="C43" s="2">
        <v>339</v>
      </c>
      <c r="D43" s="3">
        <f t="shared" si="0"/>
        <v>3</v>
      </c>
      <c r="E43" s="3">
        <f t="shared" si="1"/>
        <v>3</v>
      </c>
      <c r="F43" s="3" t="str">
        <f t="shared" si="2"/>
        <v>pass</v>
      </c>
    </row>
    <row r="44" spans="1:6" x14ac:dyDescent="0.25">
      <c r="A44" s="2">
        <v>117</v>
      </c>
      <c r="B44" s="2">
        <v>396</v>
      </c>
      <c r="C44" s="2">
        <v>149</v>
      </c>
      <c r="D44" s="3">
        <f t="shared" si="0"/>
        <v>1</v>
      </c>
      <c r="E44" s="3">
        <f t="shared" si="1"/>
        <v>1</v>
      </c>
      <c r="F44" s="3" t="str">
        <f t="shared" si="2"/>
        <v>pass</v>
      </c>
    </row>
    <row r="45" spans="1:6" x14ac:dyDescent="0.25">
      <c r="A45" s="2">
        <v>41</v>
      </c>
      <c r="B45" s="2">
        <v>438</v>
      </c>
      <c r="C45" s="2">
        <v>120</v>
      </c>
      <c r="D45" s="3">
        <f t="shared" si="0"/>
        <v>6</v>
      </c>
      <c r="E45" s="3">
        <f t="shared" si="1"/>
        <v>6</v>
      </c>
      <c r="F45" s="3" t="str">
        <f t="shared" si="2"/>
        <v>pass</v>
      </c>
    </row>
    <row r="46" spans="1:6" x14ac:dyDescent="0.25">
      <c r="A46" s="2">
        <v>444</v>
      </c>
      <c r="B46" s="2">
        <v>52</v>
      </c>
      <c r="C46" s="2">
        <v>195</v>
      </c>
      <c r="D46" s="3">
        <f t="shared" si="0"/>
        <v>39</v>
      </c>
      <c r="E46" s="3">
        <f t="shared" si="1"/>
        <v>39</v>
      </c>
      <c r="F46" s="3" t="str">
        <f t="shared" si="2"/>
        <v>pass</v>
      </c>
    </row>
    <row r="47" spans="1:6" x14ac:dyDescent="0.25">
      <c r="A47" s="2">
        <v>143</v>
      </c>
      <c r="B47" s="2">
        <v>233</v>
      </c>
      <c r="C47" s="2">
        <v>326</v>
      </c>
      <c r="D47" s="3">
        <f t="shared" si="0"/>
        <v>1</v>
      </c>
      <c r="E47" s="3">
        <f t="shared" si="1"/>
        <v>1</v>
      </c>
      <c r="F47" s="3" t="str">
        <f t="shared" si="2"/>
        <v>pass</v>
      </c>
    </row>
    <row r="48" spans="1:6" x14ac:dyDescent="0.25">
      <c r="A48" s="2">
        <v>428</v>
      </c>
      <c r="B48" s="2">
        <v>187</v>
      </c>
      <c r="C48" s="2">
        <v>84</v>
      </c>
      <c r="D48" s="3">
        <f t="shared" ref="D48:D79" si="3">GCD(A48*B48,C48)</f>
        <v>4</v>
      </c>
      <c r="E48" s="3">
        <f t="shared" ref="E48:E79" si="4">GCD(GCD(A48,C48)*GCD(B48,C48),C48)</f>
        <v>4</v>
      </c>
      <c r="F48" s="3" t="str">
        <f t="shared" ref="F48:F79" si="5">IF(D48=E48,"pass","FAIL")</f>
        <v>pass</v>
      </c>
    </row>
    <row r="49" spans="1:6" x14ac:dyDescent="0.25">
      <c r="A49" s="2">
        <v>190</v>
      </c>
      <c r="B49" s="2">
        <v>182</v>
      </c>
      <c r="C49" s="2">
        <v>108</v>
      </c>
      <c r="D49" s="3">
        <f t="shared" si="3"/>
        <v>4</v>
      </c>
      <c r="E49" s="3">
        <f t="shared" si="4"/>
        <v>4</v>
      </c>
      <c r="F49" s="3" t="str">
        <f t="shared" si="5"/>
        <v>pass</v>
      </c>
    </row>
    <row r="50" spans="1:6" x14ac:dyDescent="0.25">
      <c r="A50" s="2">
        <v>344</v>
      </c>
      <c r="B50" s="2">
        <v>137</v>
      </c>
      <c r="C50" s="2">
        <v>360</v>
      </c>
      <c r="D50" s="3">
        <f t="shared" si="3"/>
        <v>8</v>
      </c>
      <c r="E50" s="3">
        <f t="shared" si="4"/>
        <v>8</v>
      </c>
      <c r="F50" s="3" t="str">
        <f t="shared" si="5"/>
        <v>pass</v>
      </c>
    </row>
    <row r="51" spans="1:6" x14ac:dyDescent="0.25">
      <c r="A51" s="2">
        <v>480</v>
      </c>
      <c r="B51" s="2">
        <v>350</v>
      </c>
      <c r="C51" s="2">
        <v>332</v>
      </c>
      <c r="D51" s="3">
        <f t="shared" si="3"/>
        <v>4</v>
      </c>
      <c r="E51" s="3">
        <f t="shared" si="4"/>
        <v>4</v>
      </c>
      <c r="F51" s="3" t="str">
        <f t="shared" si="5"/>
        <v>pass</v>
      </c>
    </row>
    <row r="52" spans="1:6" x14ac:dyDescent="0.25">
      <c r="A52" s="2">
        <v>37</v>
      </c>
      <c r="B52" s="2">
        <v>312</v>
      </c>
      <c r="C52" s="2">
        <v>326</v>
      </c>
      <c r="D52" s="3">
        <f t="shared" si="3"/>
        <v>2</v>
      </c>
      <c r="E52" s="3">
        <f t="shared" si="4"/>
        <v>2</v>
      </c>
      <c r="F52" s="3" t="str">
        <f t="shared" si="5"/>
        <v>pass</v>
      </c>
    </row>
    <row r="53" spans="1:6" x14ac:dyDescent="0.25">
      <c r="A53" s="2">
        <v>88</v>
      </c>
      <c r="B53" s="2">
        <v>274</v>
      </c>
      <c r="C53" s="2">
        <v>374</v>
      </c>
      <c r="D53" s="3">
        <f t="shared" si="3"/>
        <v>22</v>
      </c>
      <c r="E53" s="3">
        <f t="shared" si="4"/>
        <v>22</v>
      </c>
      <c r="F53" s="3" t="str">
        <f t="shared" si="5"/>
        <v>pass</v>
      </c>
    </row>
    <row r="54" spans="1:6" x14ac:dyDescent="0.25">
      <c r="A54" s="2">
        <v>126</v>
      </c>
      <c r="B54" s="2">
        <v>84</v>
      </c>
      <c r="C54" s="2">
        <v>237</v>
      </c>
      <c r="D54" s="3">
        <f t="shared" si="3"/>
        <v>3</v>
      </c>
      <c r="E54" s="3">
        <f t="shared" si="4"/>
        <v>3</v>
      </c>
      <c r="F54" s="3" t="str">
        <f t="shared" si="5"/>
        <v>pass</v>
      </c>
    </row>
    <row r="55" spans="1:6" x14ac:dyDescent="0.25">
      <c r="A55" s="2">
        <v>195</v>
      </c>
      <c r="B55" s="2">
        <v>139</v>
      </c>
      <c r="C55" s="2">
        <v>474</v>
      </c>
      <c r="D55" s="3">
        <f t="shared" si="3"/>
        <v>3</v>
      </c>
      <c r="E55" s="3">
        <f t="shared" si="4"/>
        <v>3</v>
      </c>
      <c r="F55" s="3" t="str">
        <f t="shared" si="5"/>
        <v>pass</v>
      </c>
    </row>
    <row r="56" spans="1:6" x14ac:dyDescent="0.25">
      <c r="A56" s="2">
        <v>328</v>
      </c>
      <c r="B56" s="2">
        <v>353</v>
      </c>
      <c r="C56" s="2">
        <v>286</v>
      </c>
      <c r="D56" s="3">
        <f t="shared" si="3"/>
        <v>2</v>
      </c>
      <c r="E56" s="3">
        <f t="shared" si="4"/>
        <v>2</v>
      </c>
      <c r="F56" s="3" t="str">
        <f t="shared" si="5"/>
        <v>pass</v>
      </c>
    </row>
    <row r="57" spans="1:6" x14ac:dyDescent="0.25">
      <c r="A57" s="2">
        <v>113</v>
      </c>
      <c r="B57" s="2">
        <v>351</v>
      </c>
      <c r="C57" s="2">
        <v>167</v>
      </c>
      <c r="D57" s="3">
        <f t="shared" si="3"/>
        <v>1</v>
      </c>
      <c r="E57" s="3">
        <f t="shared" si="4"/>
        <v>1</v>
      </c>
      <c r="F57" s="3" t="str">
        <f t="shared" si="5"/>
        <v>pass</v>
      </c>
    </row>
    <row r="58" spans="1:6" x14ac:dyDescent="0.25">
      <c r="A58" s="2">
        <v>432</v>
      </c>
      <c r="B58" s="2">
        <v>394</v>
      </c>
      <c r="C58" s="2">
        <v>398</v>
      </c>
      <c r="D58" s="3">
        <f t="shared" si="3"/>
        <v>2</v>
      </c>
      <c r="E58" s="3">
        <f t="shared" si="4"/>
        <v>2</v>
      </c>
      <c r="F58" s="3" t="str">
        <f t="shared" si="5"/>
        <v>pass</v>
      </c>
    </row>
    <row r="59" spans="1:6" x14ac:dyDescent="0.25">
      <c r="A59" s="2">
        <v>29</v>
      </c>
      <c r="B59" s="2">
        <v>118</v>
      </c>
      <c r="C59" s="2">
        <v>421</v>
      </c>
      <c r="D59" s="3">
        <f t="shared" si="3"/>
        <v>1</v>
      </c>
      <c r="E59" s="3">
        <f t="shared" si="4"/>
        <v>1</v>
      </c>
      <c r="F59" s="3" t="str">
        <f t="shared" si="5"/>
        <v>pass</v>
      </c>
    </row>
    <row r="60" spans="1:6" x14ac:dyDescent="0.25">
      <c r="A60" s="2">
        <v>17</v>
      </c>
      <c r="B60" s="2">
        <v>413</v>
      </c>
      <c r="C60" s="2">
        <v>162</v>
      </c>
      <c r="D60" s="3">
        <f t="shared" si="3"/>
        <v>1</v>
      </c>
      <c r="E60" s="3">
        <f t="shared" si="4"/>
        <v>1</v>
      </c>
      <c r="F60" s="3" t="str">
        <f t="shared" si="5"/>
        <v>pass</v>
      </c>
    </row>
    <row r="61" spans="1:6" x14ac:dyDescent="0.25">
      <c r="A61" s="2">
        <v>206</v>
      </c>
      <c r="B61" s="2">
        <v>138</v>
      </c>
      <c r="C61" s="2">
        <v>34</v>
      </c>
      <c r="D61" s="3">
        <f t="shared" si="3"/>
        <v>2</v>
      </c>
      <c r="E61" s="3">
        <f t="shared" si="4"/>
        <v>2</v>
      </c>
      <c r="F61" s="3" t="str">
        <f t="shared" si="5"/>
        <v>pass</v>
      </c>
    </row>
    <row r="62" spans="1:6" x14ac:dyDescent="0.25">
      <c r="A62" s="2">
        <v>109</v>
      </c>
      <c r="B62" s="2">
        <v>468</v>
      </c>
      <c r="C62" s="2">
        <v>483</v>
      </c>
      <c r="D62" s="3">
        <f t="shared" si="3"/>
        <v>3</v>
      </c>
      <c r="E62" s="3">
        <f t="shared" si="4"/>
        <v>3</v>
      </c>
      <c r="F62" s="3" t="str">
        <f t="shared" si="5"/>
        <v>pass</v>
      </c>
    </row>
    <row r="63" spans="1:6" x14ac:dyDescent="0.25">
      <c r="A63" s="2">
        <v>291</v>
      </c>
      <c r="B63" s="2">
        <v>449</v>
      </c>
      <c r="C63" s="2">
        <v>368</v>
      </c>
      <c r="D63" s="3">
        <f t="shared" si="3"/>
        <v>1</v>
      </c>
      <c r="E63" s="3">
        <f t="shared" si="4"/>
        <v>1</v>
      </c>
      <c r="F63" s="3" t="str">
        <f t="shared" si="5"/>
        <v>pass</v>
      </c>
    </row>
    <row r="64" spans="1:6" x14ac:dyDescent="0.25">
      <c r="A64" s="2">
        <v>162</v>
      </c>
      <c r="B64" s="2">
        <v>109</v>
      </c>
      <c r="C64" s="2">
        <v>336</v>
      </c>
      <c r="D64" s="3">
        <f t="shared" si="3"/>
        <v>6</v>
      </c>
      <c r="E64" s="3">
        <f t="shared" si="4"/>
        <v>6</v>
      </c>
      <c r="F64" s="3" t="str">
        <f t="shared" si="5"/>
        <v>pass</v>
      </c>
    </row>
    <row r="65" spans="1:6" x14ac:dyDescent="0.25">
      <c r="A65" s="2">
        <v>256</v>
      </c>
      <c r="B65" s="2">
        <v>203</v>
      </c>
      <c r="C65" s="2">
        <v>453</v>
      </c>
      <c r="D65" s="3">
        <f t="shared" si="3"/>
        <v>1</v>
      </c>
      <c r="E65" s="3">
        <f t="shared" si="4"/>
        <v>1</v>
      </c>
      <c r="F65" s="3" t="str">
        <f t="shared" si="5"/>
        <v>pass</v>
      </c>
    </row>
    <row r="66" spans="1:6" x14ac:dyDescent="0.25">
      <c r="A66" s="2">
        <v>469</v>
      </c>
      <c r="B66" s="2">
        <v>330</v>
      </c>
      <c r="C66" s="2">
        <v>235</v>
      </c>
      <c r="D66" s="3">
        <f t="shared" si="3"/>
        <v>5</v>
      </c>
      <c r="E66" s="3">
        <f t="shared" si="4"/>
        <v>5</v>
      </c>
      <c r="F66" s="3" t="str">
        <f t="shared" si="5"/>
        <v>pass</v>
      </c>
    </row>
    <row r="67" spans="1:6" x14ac:dyDescent="0.25">
      <c r="A67" s="2">
        <v>74</v>
      </c>
      <c r="B67" s="2">
        <v>136</v>
      </c>
      <c r="C67" s="2">
        <v>72</v>
      </c>
      <c r="D67" s="3">
        <f t="shared" si="3"/>
        <v>8</v>
      </c>
      <c r="E67" s="3">
        <f t="shared" si="4"/>
        <v>8</v>
      </c>
      <c r="F67" s="3" t="str">
        <f t="shared" si="5"/>
        <v>pass</v>
      </c>
    </row>
    <row r="68" spans="1:6" x14ac:dyDescent="0.25">
      <c r="A68" s="2">
        <v>127</v>
      </c>
      <c r="B68" s="2">
        <v>382</v>
      </c>
      <c r="C68" s="2">
        <v>288</v>
      </c>
      <c r="D68" s="3">
        <f t="shared" si="3"/>
        <v>2</v>
      </c>
      <c r="E68" s="3">
        <f t="shared" si="4"/>
        <v>2</v>
      </c>
      <c r="F68" s="3" t="str">
        <f t="shared" si="5"/>
        <v>pass</v>
      </c>
    </row>
    <row r="69" spans="1:6" x14ac:dyDescent="0.25">
      <c r="A69" s="2">
        <v>276</v>
      </c>
      <c r="B69" s="2">
        <v>135</v>
      </c>
      <c r="C69" s="2">
        <v>383</v>
      </c>
      <c r="D69" s="3">
        <f t="shared" si="3"/>
        <v>1</v>
      </c>
      <c r="E69" s="3">
        <f t="shared" si="4"/>
        <v>1</v>
      </c>
      <c r="F69" s="3" t="str">
        <f t="shared" si="5"/>
        <v>pass</v>
      </c>
    </row>
    <row r="70" spans="1:6" x14ac:dyDescent="0.25">
      <c r="A70" s="2">
        <v>300</v>
      </c>
      <c r="B70" s="2">
        <v>220</v>
      </c>
      <c r="C70" s="2">
        <v>460</v>
      </c>
      <c r="D70" s="3">
        <f t="shared" si="3"/>
        <v>20</v>
      </c>
      <c r="E70" s="3">
        <f t="shared" si="4"/>
        <v>20</v>
      </c>
      <c r="F70" s="3" t="str">
        <f t="shared" si="5"/>
        <v>pass</v>
      </c>
    </row>
    <row r="71" spans="1:6" x14ac:dyDescent="0.25">
      <c r="A71" s="2">
        <v>299</v>
      </c>
      <c r="B71" s="2">
        <v>205</v>
      </c>
      <c r="C71" s="2">
        <v>186</v>
      </c>
      <c r="D71" s="3">
        <f t="shared" si="3"/>
        <v>1</v>
      </c>
      <c r="E71" s="3">
        <f t="shared" si="4"/>
        <v>1</v>
      </c>
      <c r="F71" s="3" t="str">
        <f t="shared" si="5"/>
        <v>pass</v>
      </c>
    </row>
    <row r="72" spans="1:6" x14ac:dyDescent="0.25">
      <c r="A72" s="2">
        <v>113</v>
      </c>
      <c r="B72" s="2">
        <v>71</v>
      </c>
      <c r="C72" s="2">
        <v>261</v>
      </c>
      <c r="D72" s="3">
        <f t="shared" si="3"/>
        <v>1</v>
      </c>
      <c r="E72" s="3">
        <f t="shared" si="4"/>
        <v>1</v>
      </c>
      <c r="F72" s="3" t="str">
        <f t="shared" si="5"/>
        <v>pass</v>
      </c>
    </row>
    <row r="73" spans="1:6" x14ac:dyDescent="0.25">
      <c r="A73" s="2">
        <v>253</v>
      </c>
      <c r="B73" s="2">
        <v>47</v>
      </c>
      <c r="C73" s="2">
        <v>387</v>
      </c>
      <c r="D73" s="3">
        <f t="shared" si="3"/>
        <v>1</v>
      </c>
      <c r="E73" s="3">
        <f t="shared" si="4"/>
        <v>1</v>
      </c>
      <c r="F73" s="3" t="str">
        <f t="shared" si="5"/>
        <v>pass</v>
      </c>
    </row>
    <row r="74" spans="1:6" x14ac:dyDescent="0.25">
      <c r="A74" s="2">
        <v>25</v>
      </c>
      <c r="B74" s="2">
        <v>441</v>
      </c>
      <c r="C74" s="2">
        <v>57</v>
      </c>
      <c r="D74" s="3">
        <f t="shared" si="3"/>
        <v>3</v>
      </c>
      <c r="E74" s="3">
        <f t="shared" si="4"/>
        <v>3</v>
      </c>
      <c r="F74" s="3" t="str">
        <f t="shared" si="5"/>
        <v>pass</v>
      </c>
    </row>
    <row r="75" spans="1:6" x14ac:dyDescent="0.25">
      <c r="A75" s="2">
        <v>79</v>
      </c>
      <c r="B75" s="2">
        <v>322</v>
      </c>
      <c r="C75" s="2">
        <v>82</v>
      </c>
      <c r="D75" s="3">
        <f t="shared" si="3"/>
        <v>2</v>
      </c>
      <c r="E75" s="3">
        <f t="shared" si="4"/>
        <v>2</v>
      </c>
      <c r="F75" s="3" t="str">
        <f t="shared" si="5"/>
        <v>pass</v>
      </c>
    </row>
    <row r="76" spans="1:6" x14ac:dyDescent="0.25">
      <c r="A76" s="2">
        <v>406</v>
      </c>
      <c r="B76" s="2">
        <v>349</v>
      </c>
      <c r="C76" s="2">
        <v>217</v>
      </c>
      <c r="D76" s="3">
        <f t="shared" si="3"/>
        <v>7</v>
      </c>
      <c r="E76" s="3">
        <f t="shared" si="4"/>
        <v>7</v>
      </c>
      <c r="F76" s="3" t="str">
        <f t="shared" si="5"/>
        <v>pass</v>
      </c>
    </row>
    <row r="77" spans="1:6" x14ac:dyDescent="0.25">
      <c r="A77" s="2">
        <v>306</v>
      </c>
      <c r="B77" s="2">
        <v>33</v>
      </c>
      <c r="C77" s="2">
        <v>198</v>
      </c>
      <c r="D77" s="3">
        <f t="shared" si="3"/>
        <v>198</v>
      </c>
      <c r="E77" s="3">
        <f t="shared" si="4"/>
        <v>198</v>
      </c>
      <c r="F77" s="3" t="str">
        <f t="shared" si="5"/>
        <v>pass</v>
      </c>
    </row>
    <row r="78" spans="1:6" x14ac:dyDescent="0.25">
      <c r="A78" s="2">
        <v>196</v>
      </c>
      <c r="B78" s="2">
        <v>306</v>
      </c>
      <c r="C78" s="2">
        <v>240</v>
      </c>
      <c r="D78" s="3">
        <f t="shared" si="3"/>
        <v>24</v>
      </c>
      <c r="E78" s="3">
        <f t="shared" si="4"/>
        <v>24</v>
      </c>
      <c r="F78" s="3" t="str">
        <f t="shared" si="5"/>
        <v>pass</v>
      </c>
    </row>
    <row r="79" spans="1:6" x14ac:dyDescent="0.25">
      <c r="A79" s="2">
        <v>271</v>
      </c>
      <c r="B79" s="2">
        <v>129</v>
      </c>
      <c r="C79" s="2">
        <v>498</v>
      </c>
      <c r="D79" s="3">
        <f t="shared" si="3"/>
        <v>3</v>
      </c>
      <c r="E79" s="3">
        <f t="shared" si="4"/>
        <v>3</v>
      </c>
      <c r="F79" s="3" t="str">
        <f t="shared" si="5"/>
        <v>pass</v>
      </c>
    </row>
    <row r="80" spans="1:6" x14ac:dyDescent="0.25">
      <c r="A80" s="2">
        <v>284</v>
      </c>
      <c r="B80" s="2">
        <v>441</v>
      </c>
      <c r="C80" s="2">
        <v>483</v>
      </c>
      <c r="D80" s="3">
        <f t="shared" ref="D80:D111" si="6">GCD(A80*B80,C80)</f>
        <v>21</v>
      </c>
      <c r="E80" s="3">
        <f t="shared" ref="E80:E111" si="7">GCD(GCD(A80,C80)*GCD(B80,C80),C80)</f>
        <v>21</v>
      </c>
      <c r="F80" s="3" t="str">
        <f t="shared" ref="F80:F111" si="8">IF(D80=E80,"pass","FAIL")</f>
        <v>pass</v>
      </c>
    </row>
    <row r="81" spans="1:6" x14ac:dyDescent="0.25">
      <c r="A81" s="2">
        <v>6</v>
      </c>
      <c r="B81" s="2">
        <v>349</v>
      </c>
      <c r="C81" s="2">
        <v>370</v>
      </c>
      <c r="D81" s="3">
        <f t="shared" si="6"/>
        <v>2</v>
      </c>
      <c r="E81" s="3">
        <f t="shared" si="7"/>
        <v>2</v>
      </c>
      <c r="F81" s="3" t="str">
        <f t="shared" si="8"/>
        <v>pass</v>
      </c>
    </row>
    <row r="82" spans="1:6" x14ac:dyDescent="0.25">
      <c r="A82" s="2">
        <v>59</v>
      </c>
      <c r="B82" s="2">
        <v>350</v>
      </c>
      <c r="C82" s="2">
        <v>454</v>
      </c>
      <c r="D82" s="3">
        <f t="shared" si="6"/>
        <v>2</v>
      </c>
      <c r="E82" s="3">
        <f t="shared" si="7"/>
        <v>2</v>
      </c>
      <c r="F82" s="3" t="str">
        <f t="shared" si="8"/>
        <v>pass</v>
      </c>
    </row>
    <row r="83" spans="1:6" x14ac:dyDescent="0.25">
      <c r="A83" s="2">
        <v>275</v>
      </c>
      <c r="B83" s="2">
        <v>385</v>
      </c>
      <c r="C83" s="2">
        <v>137</v>
      </c>
      <c r="D83" s="3">
        <f t="shared" si="6"/>
        <v>1</v>
      </c>
      <c r="E83" s="3">
        <f t="shared" si="7"/>
        <v>1</v>
      </c>
      <c r="F83" s="3" t="str">
        <f t="shared" si="8"/>
        <v>pass</v>
      </c>
    </row>
    <row r="84" spans="1:6" x14ac:dyDescent="0.25">
      <c r="A84" s="2">
        <v>394</v>
      </c>
      <c r="B84" s="2">
        <v>329</v>
      </c>
      <c r="C84" s="2">
        <v>175</v>
      </c>
      <c r="D84" s="3">
        <f t="shared" si="6"/>
        <v>7</v>
      </c>
      <c r="E84" s="3">
        <f t="shared" si="7"/>
        <v>7</v>
      </c>
      <c r="F84" s="3" t="str">
        <f t="shared" si="8"/>
        <v>pass</v>
      </c>
    </row>
    <row r="85" spans="1:6" x14ac:dyDescent="0.25">
      <c r="A85" s="2">
        <v>58</v>
      </c>
      <c r="B85" s="2">
        <v>151</v>
      </c>
      <c r="C85" s="2">
        <v>223</v>
      </c>
      <c r="D85" s="3">
        <f t="shared" si="6"/>
        <v>1</v>
      </c>
      <c r="E85" s="3">
        <f t="shared" si="7"/>
        <v>1</v>
      </c>
      <c r="F85" s="3" t="str">
        <f t="shared" si="8"/>
        <v>pass</v>
      </c>
    </row>
    <row r="86" spans="1:6" x14ac:dyDescent="0.25">
      <c r="A86" s="2">
        <v>81</v>
      </c>
      <c r="B86" s="2">
        <v>233</v>
      </c>
      <c r="C86" s="2">
        <v>2</v>
      </c>
      <c r="D86" s="3">
        <f t="shared" si="6"/>
        <v>1</v>
      </c>
      <c r="E86" s="3">
        <f t="shared" si="7"/>
        <v>1</v>
      </c>
      <c r="F86" s="3" t="str">
        <f t="shared" si="8"/>
        <v>pass</v>
      </c>
    </row>
    <row r="87" spans="1:6" x14ac:dyDescent="0.25">
      <c r="A87" s="2">
        <v>489</v>
      </c>
      <c r="B87" s="2">
        <v>370</v>
      </c>
      <c r="C87" s="2">
        <v>449</v>
      </c>
      <c r="D87" s="3">
        <f t="shared" si="6"/>
        <v>1</v>
      </c>
      <c r="E87" s="3">
        <f t="shared" si="7"/>
        <v>1</v>
      </c>
      <c r="F87" s="3" t="str">
        <f t="shared" si="8"/>
        <v>pass</v>
      </c>
    </row>
    <row r="88" spans="1:6" x14ac:dyDescent="0.25">
      <c r="A88" s="2">
        <v>369</v>
      </c>
      <c r="B88" s="2">
        <v>135</v>
      </c>
      <c r="C88" s="2">
        <v>498</v>
      </c>
      <c r="D88" s="3">
        <f t="shared" si="6"/>
        <v>3</v>
      </c>
      <c r="E88" s="3">
        <f t="shared" si="7"/>
        <v>3</v>
      </c>
      <c r="F88" s="3" t="str">
        <f t="shared" si="8"/>
        <v>pass</v>
      </c>
    </row>
    <row r="89" spans="1:6" x14ac:dyDescent="0.25">
      <c r="A89" s="2">
        <v>257</v>
      </c>
      <c r="B89" s="2">
        <v>391</v>
      </c>
      <c r="C89" s="2">
        <v>92</v>
      </c>
      <c r="D89" s="3">
        <f t="shared" si="6"/>
        <v>23</v>
      </c>
      <c r="E89" s="3">
        <f t="shared" si="7"/>
        <v>23</v>
      </c>
      <c r="F89" s="3" t="str">
        <f t="shared" si="8"/>
        <v>pass</v>
      </c>
    </row>
    <row r="90" spans="1:6" x14ac:dyDescent="0.25">
      <c r="A90" s="2">
        <v>260</v>
      </c>
      <c r="B90" s="2">
        <v>468</v>
      </c>
      <c r="C90" s="2">
        <v>55</v>
      </c>
      <c r="D90" s="3">
        <f t="shared" si="6"/>
        <v>5</v>
      </c>
      <c r="E90" s="3">
        <f t="shared" si="7"/>
        <v>5</v>
      </c>
      <c r="F90" s="3" t="str">
        <f t="shared" si="8"/>
        <v>pass</v>
      </c>
    </row>
    <row r="91" spans="1:6" x14ac:dyDescent="0.25">
      <c r="A91" s="2">
        <v>446</v>
      </c>
      <c r="B91" s="2">
        <v>321</v>
      </c>
      <c r="C91" s="2">
        <v>153</v>
      </c>
      <c r="D91" s="3">
        <f t="shared" si="6"/>
        <v>3</v>
      </c>
      <c r="E91" s="3">
        <f t="shared" si="7"/>
        <v>3</v>
      </c>
      <c r="F91" s="3" t="str">
        <f t="shared" si="8"/>
        <v>pass</v>
      </c>
    </row>
    <row r="92" spans="1:6" x14ac:dyDescent="0.25">
      <c r="A92" s="2">
        <v>431</v>
      </c>
      <c r="B92" s="2">
        <v>328</v>
      </c>
      <c r="C92" s="2">
        <v>260</v>
      </c>
      <c r="D92" s="3">
        <f t="shared" si="6"/>
        <v>4</v>
      </c>
      <c r="E92" s="3">
        <f t="shared" si="7"/>
        <v>4</v>
      </c>
      <c r="F92" s="3" t="str">
        <f t="shared" si="8"/>
        <v>pass</v>
      </c>
    </row>
    <row r="93" spans="1:6" x14ac:dyDescent="0.25">
      <c r="A93" s="2">
        <v>312</v>
      </c>
      <c r="B93" s="2">
        <v>102</v>
      </c>
      <c r="C93" s="2">
        <v>79</v>
      </c>
      <c r="D93" s="3">
        <f t="shared" si="6"/>
        <v>1</v>
      </c>
      <c r="E93" s="3">
        <f t="shared" si="7"/>
        <v>1</v>
      </c>
      <c r="F93" s="3" t="str">
        <f t="shared" si="8"/>
        <v>pass</v>
      </c>
    </row>
    <row r="94" spans="1:6" x14ac:dyDescent="0.25">
      <c r="A94" s="2">
        <v>192</v>
      </c>
      <c r="B94" s="2">
        <v>391</v>
      </c>
      <c r="C94" s="2">
        <v>83</v>
      </c>
      <c r="D94" s="3">
        <f t="shared" si="6"/>
        <v>1</v>
      </c>
      <c r="E94" s="3">
        <f t="shared" si="7"/>
        <v>1</v>
      </c>
      <c r="F94" s="3" t="str">
        <f t="shared" si="8"/>
        <v>pass</v>
      </c>
    </row>
    <row r="95" spans="1:6" x14ac:dyDescent="0.25">
      <c r="A95" s="2">
        <v>277</v>
      </c>
      <c r="B95" s="2">
        <v>489</v>
      </c>
      <c r="C95" s="2">
        <v>399</v>
      </c>
      <c r="D95" s="3">
        <f t="shared" si="6"/>
        <v>3</v>
      </c>
      <c r="E95" s="3">
        <f t="shared" si="7"/>
        <v>3</v>
      </c>
      <c r="F95" s="3" t="str">
        <f t="shared" si="8"/>
        <v>pass</v>
      </c>
    </row>
    <row r="96" spans="1:6" x14ac:dyDescent="0.25">
      <c r="A96" s="2">
        <v>473</v>
      </c>
      <c r="B96" s="2">
        <v>272</v>
      </c>
      <c r="C96" s="2">
        <v>471</v>
      </c>
      <c r="D96" s="3">
        <f t="shared" si="6"/>
        <v>1</v>
      </c>
      <c r="E96" s="3">
        <f t="shared" si="7"/>
        <v>1</v>
      </c>
      <c r="F96" s="3" t="str">
        <f t="shared" si="8"/>
        <v>pass</v>
      </c>
    </row>
    <row r="97" spans="1:6" x14ac:dyDescent="0.25">
      <c r="A97" s="2">
        <v>1</v>
      </c>
      <c r="B97" s="2">
        <v>307</v>
      </c>
      <c r="C97" s="2">
        <v>166</v>
      </c>
      <c r="D97" s="3">
        <f t="shared" si="6"/>
        <v>1</v>
      </c>
      <c r="E97" s="3">
        <f t="shared" si="7"/>
        <v>1</v>
      </c>
      <c r="F97" s="3" t="str">
        <f t="shared" si="8"/>
        <v>pass</v>
      </c>
    </row>
    <row r="98" spans="1:6" x14ac:dyDescent="0.25">
      <c r="A98" s="2">
        <v>251</v>
      </c>
      <c r="B98" s="2">
        <v>10</v>
      </c>
      <c r="C98" s="2">
        <v>58</v>
      </c>
      <c r="D98" s="3">
        <f t="shared" si="6"/>
        <v>2</v>
      </c>
      <c r="E98" s="3">
        <f t="shared" si="7"/>
        <v>2</v>
      </c>
      <c r="F98" s="3" t="str">
        <f t="shared" si="8"/>
        <v>pass</v>
      </c>
    </row>
    <row r="99" spans="1:6" x14ac:dyDescent="0.25">
      <c r="A99" s="2">
        <v>476</v>
      </c>
      <c r="B99" s="2">
        <v>186</v>
      </c>
      <c r="C99" s="2">
        <v>450</v>
      </c>
      <c r="D99" s="3">
        <f t="shared" si="6"/>
        <v>6</v>
      </c>
      <c r="E99" s="3">
        <f t="shared" si="7"/>
        <v>6</v>
      </c>
      <c r="F99" s="3" t="str">
        <f t="shared" si="8"/>
        <v>pass</v>
      </c>
    </row>
    <row r="100" spans="1:6" x14ac:dyDescent="0.25">
      <c r="A100" s="2">
        <v>426</v>
      </c>
      <c r="B100" s="2">
        <v>414</v>
      </c>
      <c r="C100" s="2">
        <v>158</v>
      </c>
      <c r="D100" s="3">
        <f t="shared" si="6"/>
        <v>2</v>
      </c>
      <c r="E100" s="3">
        <f t="shared" si="7"/>
        <v>2</v>
      </c>
      <c r="F100" s="3" t="str">
        <f t="shared" si="8"/>
        <v>pass</v>
      </c>
    </row>
    <row r="101" spans="1:6" x14ac:dyDescent="0.25">
      <c r="A101" s="2">
        <v>123</v>
      </c>
      <c r="B101" s="2">
        <v>30</v>
      </c>
      <c r="C101" s="2">
        <v>124</v>
      </c>
      <c r="D101" s="3">
        <f t="shared" si="6"/>
        <v>2</v>
      </c>
      <c r="E101" s="3">
        <f t="shared" si="7"/>
        <v>2</v>
      </c>
      <c r="F101" s="3" t="str">
        <f t="shared" si="8"/>
        <v>pass</v>
      </c>
    </row>
    <row r="102" spans="1:6" x14ac:dyDescent="0.25">
      <c r="A102" s="2">
        <v>450</v>
      </c>
      <c r="B102" s="2">
        <v>291</v>
      </c>
      <c r="C102" s="2">
        <v>485</v>
      </c>
      <c r="D102" s="3">
        <f t="shared" si="6"/>
        <v>485</v>
      </c>
      <c r="E102" s="3">
        <f t="shared" si="7"/>
        <v>485</v>
      </c>
      <c r="F102" s="3" t="str">
        <f t="shared" si="8"/>
        <v>pass</v>
      </c>
    </row>
    <row r="103" spans="1:6" x14ac:dyDescent="0.25">
      <c r="A103" s="2">
        <v>41</v>
      </c>
      <c r="B103" s="2">
        <v>44</v>
      </c>
      <c r="C103" s="2">
        <v>375</v>
      </c>
      <c r="D103" s="3">
        <f t="shared" si="6"/>
        <v>1</v>
      </c>
      <c r="E103" s="3">
        <f t="shared" si="7"/>
        <v>1</v>
      </c>
      <c r="F103" s="3" t="str">
        <f t="shared" si="8"/>
        <v>pass</v>
      </c>
    </row>
    <row r="104" spans="1:6" x14ac:dyDescent="0.25">
      <c r="A104" s="2">
        <v>249</v>
      </c>
      <c r="B104" s="2">
        <v>418</v>
      </c>
      <c r="C104" s="2">
        <v>36</v>
      </c>
      <c r="D104" s="3">
        <f t="shared" si="6"/>
        <v>6</v>
      </c>
      <c r="E104" s="3">
        <f t="shared" si="7"/>
        <v>6</v>
      </c>
      <c r="F104" s="3" t="str">
        <f t="shared" si="8"/>
        <v>pass</v>
      </c>
    </row>
    <row r="105" spans="1:6" x14ac:dyDescent="0.25">
      <c r="A105" s="2">
        <v>390</v>
      </c>
      <c r="B105" s="2">
        <v>273</v>
      </c>
      <c r="C105" s="2">
        <v>393</v>
      </c>
      <c r="D105" s="3">
        <f t="shared" si="6"/>
        <v>3</v>
      </c>
      <c r="E105" s="3">
        <f t="shared" si="7"/>
        <v>3</v>
      </c>
      <c r="F105" s="3" t="str">
        <f t="shared" si="8"/>
        <v>pass</v>
      </c>
    </row>
    <row r="106" spans="1:6" x14ac:dyDescent="0.25">
      <c r="A106" s="2">
        <v>65</v>
      </c>
      <c r="B106" s="2">
        <v>66</v>
      </c>
      <c r="C106" s="2">
        <v>338</v>
      </c>
      <c r="D106" s="3">
        <f t="shared" si="6"/>
        <v>26</v>
      </c>
      <c r="E106" s="3">
        <f t="shared" si="7"/>
        <v>26</v>
      </c>
      <c r="F106" s="3" t="str">
        <f t="shared" si="8"/>
        <v>pass</v>
      </c>
    </row>
    <row r="107" spans="1:6" x14ac:dyDescent="0.25">
      <c r="A107" s="2">
        <v>244</v>
      </c>
      <c r="B107" s="2">
        <v>485</v>
      </c>
      <c r="C107" s="2">
        <v>282</v>
      </c>
      <c r="D107" s="3">
        <f t="shared" si="6"/>
        <v>2</v>
      </c>
      <c r="E107" s="3">
        <f t="shared" si="7"/>
        <v>2</v>
      </c>
      <c r="F107" s="3" t="str">
        <f t="shared" si="8"/>
        <v>pass</v>
      </c>
    </row>
    <row r="108" spans="1:6" x14ac:dyDescent="0.25">
      <c r="A108" s="2">
        <v>85</v>
      </c>
      <c r="B108" s="2">
        <v>136</v>
      </c>
      <c r="C108" s="2">
        <v>271</v>
      </c>
      <c r="D108" s="3">
        <f t="shared" si="6"/>
        <v>1</v>
      </c>
      <c r="E108" s="3">
        <f t="shared" si="7"/>
        <v>1</v>
      </c>
      <c r="F108" s="3" t="str">
        <f t="shared" si="8"/>
        <v>pass</v>
      </c>
    </row>
    <row r="109" spans="1:6" x14ac:dyDescent="0.25">
      <c r="A109" s="2">
        <v>447</v>
      </c>
      <c r="B109" s="2">
        <v>311</v>
      </c>
      <c r="C109" s="2">
        <v>217</v>
      </c>
      <c r="D109" s="3">
        <f t="shared" si="6"/>
        <v>1</v>
      </c>
      <c r="E109" s="3">
        <f t="shared" si="7"/>
        <v>1</v>
      </c>
      <c r="F109" s="3" t="str">
        <f t="shared" si="8"/>
        <v>pass</v>
      </c>
    </row>
    <row r="110" spans="1:6" x14ac:dyDescent="0.25">
      <c r="A110" s="2">
        <v>494</v>
      </c>
      <c r="B110" s="2">
        <v>109</v>
      </c>
      <c r="C110" s="2">
        <v>476</v>
      </c>
      <c r="D110" s="3">
        <f t="shared" si="6"/>
        <v>2</v>
      </c>
      <c r="E110" s="3">
        <f t="shared" si="7"/>
        <v>2</v>
      </c>
      <c r="F110" s="3" t="str">
        <f t="shared" si="8"/>
        <v>pass</v>
      </c>
    </row>
    <row r="111" spans="1:6" x14ac:dyDescent="0.25">
      <c r="A111" s="2">
        <v>277</v>
      </c>
      <c r="B111" s="2">
        <v>387</v>
      </c>
      <c r="C111" s="2">
        <v>374</v>
      </c>
      <c r="D111" s="3">
        <f t="shared" si="6"/>
        <v>1</v>
      </c>
      <c r="E111" s="3">
        <f t="shared" si="7"/>
        <v>1</v>
      </c>
      <c r="F111" s="3" t="str">
        <f t="shared" si="8"/>
        <v>pass</v>
      </c>
    </row>
    <row r="112" spans="1:6" x14ac:dyDescent="0.25">
      <c r="A112" s="2">
        <v>354</v>
      </c>
      <c r="B112" s="2">
        <v>103</v>
      </c>
      <c r="C112" s="2">
        <v>366</v>
      </c>
      <c r="D112" s="3">
        <f t="shared" ref="D112:D143" si="9">GCD(A112*B112,C112)</f>
        <v>6</v>
      </c>
      <c r="E112" s="3">
        <f t="shared" ref="E112:E143" si="10">GCD(GCD(A112,C112)*GCD(B112,C112),C112)</f>
        <v>6</v>
      </c>
      <c r="F112" s="3" t="str">
        <f t="shared" ref="F112:F143" si="11">IF(D112=E112,"pass","FAIL")</f>
        <v>pass</v>
      </c>
    </row>
    <row r="113" spans="1:6" x14ac:dyDescent="0.25">
      <c r="A113" s="2">
        <v>160</v>
      </c>
      <c r="B113" s="2">
        <v>205</v>
      </c>
      <c r="C113" s="2">
        <v>344</v>
      </c>
      <c r="D113" s="3">
        <f t="shared" si="9"/>
        <v>8</v>
      </c>
      <c r="E113" s="3">
        <f t="shared" si="10"/>
        <v>8</v>
      </c>
      <c r="F113" s="3" t="str">
        <f t="shared" si="11"/>
        <v>pass</v>
      </c>
    </row>
    <row r="114" spans="1:6" x14ac:dyDescent="0.25">
      <c r="A114" s="2">
        <v>333</v>
      </c>
      <c r="B114" s="2">
        <v>192</v>
      </c>
      <c r="C114" s="2">
        <v>225</v>
      </c>
      <c r="D114" s="3">
        <f t="shared" si="9"/>
        <v>9</v>
      </c>
      <c r="E114" s="3">
        <f t="shared" si="10"/>
        <v>9</v>
      </c>
      <c r="F114" s="3" t="str">
        <f t="shared" si="11"/>
        <v>pass</v>
      </c>
    </row>
    <row r="115" spans="1:6" x14ac:dyDescent="0.25">
      <c r="A115" s="2">
        <v>461</v>
      </c>
      <c r="B115" s="2">
        <v>265</v>
      </c>
      <c r="C115" s="2">
        <v>232</v>
      </c>
      <c r="D115" s="3">
        <f t="shared" si="9"/>
        <v>1</v>
      </c>
      <c r="E115" s="3">
        <f t="shared" si="10"/>
        <v>1</v>
      </c>
      <c r="F115" s="3" t="str">
        <f t="shared" si="11"/>
        <v>pass</v>
      </c>
    </row>
    <row r="116" spans="1:6" x14ac:dyDescent="0.25">
      <c r="A116" s="2">
        <v>62</v>
      </c>
      <c r="B116" s="2">
        <v>127</v>
      </c>
      <c r="C116" s="2">
        <v>116</v>
      </c>
      <c r="D116" s="3">
        <f t="shared" si="9"/>
        <v>2</v>
      </c>
      <c r="E116" s="3">
        <f t="shared" si="10"/>
        <v>2</v>
      </c>
      <c r="F116" s="3" t="str">
        <f t="shared" si="11"/>
        <v>pass</v>
      </c>
    </row>
    <row r="117" spans="1:6" x14ac:dyDescent="0.25">
      <c r="A117" s="2">
        <v>33</v>
      </c>
      <c r="B117" s="2">
        <v>174</v>
      </c>
      <c r="C117" s="2">
        <v>11</v>
      </c>
      <c r="D117" s="3">
        <f t="shared" si="9"/>
        <v>11</v>
      </c>
      <c r="E117" s="3">
        <f t="shared" si="10"/>
        <v>11</v>
      </c>
      <c r="F117" s="3" t="str">
        <f t="shared" si="11"/>
        <v>pass</v>
      </c>
    </row>
    <row r="118" spans="1:6" x14ac:dyDescent="0.25">
      <c r="A118" s="2">
        <v>302</v>
      </c>
      <c r="B118" s="2">
        <v>284</v>
      </c>
      <c r="C118" s="2">
        <v>118</v>
      </c>
      <c r="D118" s="3">
        <f t="shared" si="9"/>
        <v>2</v>
      </c>
      <c r="E118" s="3">
        <f t="shared" si="10"/>
        <v>2</v>
      </c>
      <c r="F118" s="3" t="str">
        <f t="shared" si="11"/>
        <v>pass</v>
      </c>
    </row>
    <row r="119" spans="1:6" x14ac:dyDescent="0.25">
      <c r="A119" s="2">
        <v>302</v>
      </c>
      <c r="B119" s="2">
        <v>113</v>
      </c>
      <c r="C119" s="2">
        <v>4</v>
      </c>
      <c r="D119" s="3">
        <f t="shared" si="9"/>
        <v>2</v>
      </c>
      <c r="E119" s="3">
        <f t="shared" si="10"/>
        <v>2</v>
      </c>
      <c r="F119" s="3" t="str">
        <f t="shared" si="11"/>
        <v>pass</v>
      </c>
    </row>
    <row r="120" spans="1:6" x14ac:dyDescent="0.25">
      <c r="A120" s="2">
        <v>37</v>
      </c>
      <c r="B120" s="2">
        <v>363</v>
      </c>
      <c r="C120" s="2">
        <v>324</v>
      </c>
      <c r="D120" s="3">
        <f t="shared" si="9"/>
        <v>3</v>
      </c>
      <c r="E120" s="3">
        <f t="shared" si="10"/>
        <v>3</v>
      </c>
      <c r="F120" s="3" t="str">
        <f t="shared" si="11"/>
        <v>pass</v>
      </c>
    </row>
    <row r="121" spans="1:6" x14ac:dyDescent="0.25">
      <c r="A121" s="2">
        <v>31</v>
      </c>
      <c r="B121" s="2">
        <v>118</v>
      </c>
      <c r="C121" s="2">
        <v>35</v>
      </c>
      <c r="D121" s="3">
        <f t="shared" si="9"/>
        <v>1</v>
      </c>
      <c r="E121" s="3">
        <f t="shared" si="10"/>
        <v>1</v>
      </c>
      <c r="F121" s="3" t="str">
        <f t="shared" si="11"/>
        <v>pass</v>
      </c>
    </row>
    <row r="122" spans="1:6" x14ac:dyDescent="0.25">
      <c r="A122" s="2">
        <v>464</v>
      </c>
      <c r="B122" s="2">
        <v>17</v>
      </c>
      <c r="C122" s="2">
        <v>441</v>
      </c>
      <c r="D122" s="3">
        <f t="shared" si="9"/>
        <v>1</v>
      </c>
      <c r="E122" s="3">
        <f t="shared" si="10"/>
        <v>1</v>
      </c>
      <c r="F122" s="3" t="str">
        <f t="shared" si="11"/>
        <v>pass</v>
      </c>
    </row>
    <row r="123" spans="1:6" x14ac:dyDescent="0.25">
      <c r="A123" s="2">
        <v>170</v>
      </c>
      <c r="B123" s="2">
        <v>37</v>
      </c>
      <c r="C123" s="2">
        <v>264</v>
      </c>
      <c r="D123" s="3">
        <f t="shared" si="9"/>
        <v>2</v>
      </c>
      <c r="E123" s="3">
        <f t="shared" si="10"/>
        <v>2</v>
      </c>
      <c r="F123" s="3" t="str">
        <f t="shared" si="11"/>
        <v>pass</v>
      </c>
    </row>
    <row r="124" spans="1:6" x14ac:dyDescent="0.25">
      <c r="A124" s="2">
        <v>122</v>
      </c>
      <c r="B124" s="2">
        <v>143</v>
      </c>
      <c r="C124" s="2">
        <v>343</v>
      </c>
      <c r="D124" s="3">
        <f t="shared" si="9"/>
        <v>1</v>
      </c>
      <c r="E124" s="3">
        <f t="shared" si="10"/>
        <v>1</v>
      </c>
      <c r="F124" s="3" t="str">
        <f t="shared" si="11"/>
        <v>pass</v>
      </c>
    </row>
    <row r="125" spans="1:6" x14ac:dyDescent="0.25">
      <c r="A125" s="2">
        <v>249</v>
      </c>
      <c r="B125" s="2">
        <v>110</v>
      </c>
      <c r="C125" s="2">
        <v>277</v>
      </c>
      <c r="D125" s="3">
        <f t="shared" si="9"/>
        <v>1</v>
      </c>
      <c r="E125" s="3">
        <f t="shared" si="10"/>
        <v>1</v>
      </c>
      <c r="F125" s="3" t="str">
        <f t="shared" si="11"/>
        <v>pass</v>
      </c>
    </row>
    <row r="126" spans="1:6" x14ac:dyDescent="0.25">
      <c r="A126" s="2">
        <v>68</v>
      </c>
      <c r="B126" s="2">
        <v>371</v>
      </c>
      <c r="C126" s="2">
        <v>479</v>
      </c>
      <c r="D126" s="3">
        <f t="shared" si="9"/>
        <v>1</v>
      </c>
      <c r="E126" s="3">
        <f t="shared" si="10"/>
        <v>1</v>
      </c>
      <c r="F126" s="3" t="str">
        <f t="shared" si="11"/>
        <v>pass</v>
      </c>
    </row>
    <row r="127" spans="1:6" x14ac:dyDescent="0.25">
      <c r="A127" s="2">
        <v>452</v>
      </c>
      <c r="B127" s="2">
        <v>293</v>
      </c>
      <c r="C127" s="2">
        <v>296</v>
      </c>
      <c r="D127" s="3">
        <f t="shared" si="9"/>
        <v>4</v>
      </c>
      <c r="E127" s="3">
        <f t="shared" si="10"/>
        <v>4</v>
      </c>
      <c r="F127" s="3" t="str">
        <f t="shared" si="11"/>
        <v>pass</v>
      </c>
    </row>
    <row r="128" spans="1:6" x14ac:dyDescent="0.25">
      <c r="A128" s="2">
        <v>243</v>
      </c>
      <c r="B128" s="2">
        <v>125</v>
      </c>
      <c r="C128" s="2">
        <v>402</v>
      </c>
      <c r="D128" s="3">
        <f t="shared" si="9"/>
        <v>3</v>
      </c>
      <c r="E128" s="3">
        <f t="shared" si="10"/>
        <v>3</v>
      </c>
      <c r="F128" s="3" t="str">
        <f t="shared" si="11"/>
        <v>pass</v>
      </c>
    </row>
    <row r="129" spans="1:6" x14ac:dyDescent="0.25">
      <c r="A129" s="2">
        <v>243</v>
      </c>
      <c r="B129" s="2">
        <v>414</v>
      </c>
      <c r="C129" s="2">
        <v>209</v>
      </c>
      <c r="D129" s="3">
        <f t="shared" si="9"/>
        <v>1</v>
      </c>
      <c r="E129" s="3">
        <f t="shared" si="10"/>
        <v>1</v>
      </c>
      <c r="F129" s="3" t="str">
        <f t="shared" si="11"/>
        <v>pass</v>
      </c>
    </row>
    <row r="130" spans="1:6" x14ac:dyDescent="0.25">
      <c r="A130" s="2">
        <v>98</v>
      </c>
      <c r="B130" s="2">
        <v>49</v>
      </c>
      <c r="C130" s="2">
        <v>50</v>
      </c>
      <c r="D130" s="3">
        <f t="shared" si="9"/>
        <v>2</v>
      </c>
      <c r="E130" s="3">
        <f t="shared" si="10"/>
        <v>2</v>
      </c>
      <c r="F130" s="3" t="str">
        <f t="shared" si="11"/>
        <v>pass</v>
      </c>
    </row>
    <row r="131" spans="1:6" x14ac:dyDescent="0.25">
      <c r="A131" s="2">
        <v>338</v>
      </c>
      <c r="B131" s="2">
        <v>221</v>
      </c>
      <c r="C131" s="2">
        <v>182</v>
      </c>
      <c r="D131" s="3">
        <f t="shared" si="9"/>
        <v>26</v>
      </c>
      <c r="E131" s="3">
        <f t="shared" si="10"/>
        <v>26</v>
      </c>
      <c r="F131" s="3" t="str">
        <f t="shared" si="11"/>
        <v>pass</v>
      </c>
    </row>
    <row r="132" spans="1:6" x14ac:dyDescent="0.25">
      <c r="A132" s="2">
        <v>217</v>
      </c>
      <c r="B132" s="2">
        <v>211</v>
      </c>
      <c r="C132" s="2">
        <v>240</v>
      </c>
      <c r="D132" s="3">
        <f t="shared" si="9"/>
        <v>1</v>
      </c>
      <c r="E132" s="3">
        <f t="shared" si="10"/>
        <v>1</v>
      </c>
      <c r="F132" s="3" t="str">
        <f t="shared" si="11"/>
        <v>pass</v>
      </c>
    </row>
    <row r="133" spans="1:6" x14ac:dyDescent="0.25">
      <c r="A133" s="2">
        <v>443</v>
      </c>
      <c r="B133" s="2">
        <v>374</v>
      </c>
      <c r="C133" s="2">
        <v>28</v>
      </c>
      <c r="D133" s="3">
        <f t="shared" si="9"/>
        <v>2</v>
      </c>
      <c r="E133" s="3">
        <f t="shared" si="10"/>
        <v>2</v>
      </c>
      <c r="F133" s="3" t="str">
        <f t="shared" si="11"/>
        <v>pass</v>
      </c>
    </row>
    <row r="134" spans="1:6" x14ac:dyDescent="0.25">
      <c r="A134" s="2">
        <v>345</v>
      </c>
      <c r="B134" s="2">
        <v>335</v>
      </c>
      <c r="C134" s="2">
        <v>331</v>
      </c>
      <c r="D134" s="3">
        <f t="shared" si="9"/>
        <v>1</v>
      </c>
      <c r="E134" s="3">
        <f t="shared" si="10"/>
        <v>1</v>
      </c>
      <c r="F134" s="3" t="str">
        <f t="shared" si="11"/>
        <v>pass</v>
      </c>
    </row>
    <row r="135" spans="1:6" x14ac:dyDescent="0.25">
      <c r="A135" s="2">
        <v>51</v>
      </c>
      <c r="B135" s="2">
        <v>32</v>
      </c>
      <c r="C135" s="2">
        <v>207</v>
      </c>
      <c r="D135" s="3">
        <f t="shared" si="9"/>
        <v>3</v>
      </c>
      <c r="E135" s="3">
        <f t="shared" si="10"/>
        <v>3</v>
      </c>
      <c r="F135" s="3" t="str">
        <f t="shared" si="11"/>
        <v>pass</v>
      </c>
    </row>
    <row r="136" spans="1:6" x14ac:dyDescent="0.25">
      <c r="A136" s="2">
        <v>373</v>
      </c>
      <c r="B136" s="2">
        <v>174</v>
      </c>
      <c r="C136" s="2">
        <v>410</v>
      </c>
      <c r="D136" s="3">
        <f t="shared" si="9"/>
        <v>2</v>
      </c>
      <c r="E136" s="3">
        <f t="shared" si="10"/>
        <v>2</v>
      </c>
      <c r="F136" s="3" t="str">
        <f t="shared" si="11"/>
        <v>pass</v>
      </c>
    </row>
    <row r="137" spans="1:6" x14ac:dyDescent="0.25">
      <c r="A137" s="2">
        <v>442</v>
      </c>
      <c r="B137" s="2">
        <v>56</v>
      </c>
      <c r="C137" s="2">
        <v>128</v>
      </c>
      <c r="D137" s="3">
        <f t="shared" si="9"/>
        <v>16</v>
      </c>
      <c r="E137" s="3">
        <f t="shared" si="10"/>
        <v>16</v>
      </c>
      <c r="F137" s="3" t="str">
        <f t="shared" si="11"/>
        <v>pass</v>
      </c>
    </row>
    <row r="138" spans="1:6" x14ac:dyDescent="0.25">
      <c r="A138" s="2">
        <v>99</v>
      </c>
      <c r="B138" s="2">
        <v>98</v>
      </c>
      <c r="C138" s="2">
        <v>275</v>
      </c>
      <c r="D138" s="3">
        <f t="shared" si="9"/>
        <v>11</v>
      </c>
      <c r="E138" s="3">
        <f t="shared" si="10"/>
        <v>11</v>
      </c>
      <c r="F138" s="3" t="str">
        <f t="shared" si="11"/>
        <v>pass</v>
      </c>
    </row>
    <row r="139" spans="1:6" x14ac:dyDescent="0.25">
      <c r="A139" s="2">
        <v>230</v>
      </c>
      <c r="B139" s="2">
        <v>72</v>
      </c>
      <c r="C139" s="2">
        <v>217</v>
      </c>
      <c r="D139" s="3">
        <f t="shared" si="9"/>
        <v>1</v>
      </c>
      <c r="E139" s="3">
        <f t="shared" si="10"/>
        <v>1</v>
      </c>
      <c r="F139" s="3" t="str">
        <f t="shared" si="11"/>
        <v>pass</v>
      </c>
    </row>
    <row r="140" spans="1:6" x14ac:dyDescent="0.25">
      <c r="A140" s="2">
        <v>94</v>
      </c>
      <c r="B140" s="2">
        <v>143</v>
      </c>
      <c r="C140" s="2">
        <v>237</v>
      </c>
      <c r="D140" s="3">
        <f t="shared" si="9"/>
        <v>1</v>
      </c>
      <c r="E140" s="3">
        <f t="shared" si="10"/>
        <v>1</v>
      </c>
      <c r="F140" s="3" t="str">
        <f t="shared" si="11"/>
        <v>pass</v>
      </c>
    </row>
    <row r="141" spans="1:6" x14ac:dyDescent="0.25">
      <c r="A141" s="2">
        <v>128</v>
      </c>
      <c r="B141" s="2">
        <v>448</v>
      </c>
      <c r="C141" s="2">
        <v>473</v>
      </c>
      <c r="D141" s="3">
        <f t="shared" si="9"/>
        <v>1</v>
      </c>
      <c r="E141" s="3">
        <f t="shared" si="10"/>
        <v>1</v>
      </c>
      <c r="F141" s="3" t="str">
        <f t="shared" si="11"/>
        <v>pass</v>
      </c>
    </row>
    <row r="142" spans="1:6" x14ac:dyDescent="0.25">
      <c r="A142" s="2">
        <v>39</v>
      </c>
      <c r="B142" s="2">
        <v>227</v>
      </c>
      <c r="C142" s="2">
        <v>414</v>
      </c>
      <c r="D142" s="3">
        <f t="shared" si="9"/>
        <v>3</v>
      </c>
      <c r="E142" s="3">
        <f t="shared" si="10"/>
        <v>3</v>
      </c>
      <c r="F142" s="3" t="str">
        <f t="shared" si="11"/>
        <v>pass</v>
      </c>
    </row>
    <row r="143" spans="1:6" x14ac:dyDescent="0.25">
      <c r="A143" s="2">
        <v>442</v>
      </c>
      <c r="B143" s="2">
        <v>439</v>
      </c>
      <c r="C143" s="2">
        <v>282</v>
      </c>
      <c r="D143" s="3">
        <f t="shared" si="9"/>
        <v>2</v>
      </c>
      <c r="E143" s="3">
        <f t="shared" si="10"/>
        <v>2</v>
      </c>
      <c r="F143" s="3" t="str">
        <f t="shared" si="11"/>
        <v>pass</v>
      </c>
    </row>
    <row r="144" spans="1:6" x14ac:dyDescent="0.25">
      <c r="A144" s="2">
        <v>51</v>
      </c>
      <c r="B144" s="2">
        <v>26</v>
      </c>
      <c r="C144" s="2">
        <v>334</v>
      </c>
      <c r="D144" s="3">
        <f t="shared" ref="D144:D175" si="12">GCD(A144*B144,C144)</f>
        <v>2</v>
      </c>
      <c r="E144" s="3">
        <f t="shared" ref="E144:E175" si="13">GCD(GCD(A144,C144)*GCD(B144,C144),C144)</f>
        <v>2</v>
      </c>
      <c r="F144" s="3" t="str">
        <f t="shared" ref="F144:F175" si="14">IF(D144=E144,"pass","FAIL")</f>
        <v>pass</v>
      </c>
    </row>
    <row r="145" spans="1:6" x14ac:dyDescent="0.25">
      <c r="A145" s="2">
        <v>277</v>
      </c>
      <c r="B145" s="2">
        <v>429</v>
      </c>
      <c r="C145" s="2">
        <v>8</v>
      </c>
      <c r="D145" s="3">
        <f t="shared" si="12"/>
        <v>1</v>
      </c>
      <c r="E145" s="3">
        <f t="shared" si="13"/>
        <v>1</v>
      </c>
      <c r="F145" s="3" t="str">
        <f t="shared" si="14"/>
        <v>pass</v>
      </c>
    </row>
    <row r="146" spans="1:6" x14ac:dyDescent="0.25">
      <c r="A146" s="2">
        <v>497</v>
      </c>
      <c r="B146" s="2">
        <v>48</v>
      </c>
      <c r="C146" s="2">
        <v>475</v>
      </c>
      <c r="D146" s="3">
        <f t="shared" si="12"/>
        <v>1</v>
      </c>
      <c r="E146" s="3">
        <f t="shared" si="13"/>
        <v>1</v>
      </c>
      <c r="F146" s="3" t="str">
        <f t="shared" si="14"/>
        <v>pass</v>
      </c>
    </row>
    <row r="147" spans="1:6" x14ac:dyDescent="0.25">
      <c r="A147" s="2">
        <v>386</v>
      </c>
      <c r="B147" s="2">
        <v>435</v>
      </c>
      <c r="C147" s="2">
        <v>122</v>
      </c>
      <c r="D147" s="3">
        <f t="shared" si="12"/>
        <v>2</v>
      </c>
      <c r="E147" s="3">
        <f t="shared" si="13"/>
        <v>2</v>
      </c>
      <c r="F147" s="3" t="str">
        <f t="shared" si="14"/>
        <v>pass</v>
      </c>
    </row>
    <row r="148" spans="1:6" x14ac:dyDescent="0.25">
      <c r="A148" s="2">
        <v>86</v>
      </c>
      <c r="B148" s="2">
        <v>209</v>
      </c>
      <c r="C148" s="2">
        <v>249</v>
      </c>
      <c r="D148" s="3">
        <f t="shared" si="12"/>
        <v>1</v>
      </c>
      <c r="E148" s="3">
        <f t="shared" si="13"/>
        <v>1</v>
      </c>
      <c r="F148" s="3" t="str">
        <f t="shared" si="14"/>
        <v>pass</v>
      </c>
    </row>
    <row r="149" spans="1:6" x14ac:dyDescent="0.25">
      <c r="A149" s="2">
        <v>247</v>
      </c>
      <c r="B149" s="2">
        <v>110</v>
      </c>
      <c r="C149" s="2">
        <v>443</v>
      </c>
      <c r="D149" s="3">
        <f t="shared" si="12"/>
        <v>1</v>
      </c>
      <c r="E149" s="3">
        <f t="shared" si="13"/>
        <v>1</v>
      </c>
      <c r="F149" s="3" t="str">
        <f t="shared" si="14"/>
        <v>pass</v>
      </c>
    </row>
    <row r="150" spans="1:6" x14ac:dyDescent="0.25">
      <c r="A150" s="2">
        <v>206</v>
      </c>
      <c r="B150" s="2">
        <v>463</v>
      </c>
      <c r="C150" s="2">
        <v>31</v>
      </c>
      <c r="D150" s="3">
        <f t="shared" si="12"/>
        <v>1</v>
      </c>
      <c r="E150" s="3">
        <f t="shared" si="13"/>
        <v>1</v>
      </c>
      <c r="F150" s="3" t="str">
        <f t="shared" si="14"/>
        <v>pass</v>
      </c>
    </row>
    <row r="151" spans="1:6" x14ac:dyDescent="0.25">
      <c r="A151" s="2">
        <v>85</v>
      </c>
      <c r="B151" s="2">
        <v>195</v>
      </c>
      <c r="C151" s="2">
        <v>2</v>
      </c>
      <c r="D151" s="3">
        <f t="shared" si="12"/>
        <v>1</v>
      </c>
      <c r="E151" s="3">
        <f t="shared" si="13"/>
        <v>1</v>
      </c>
      <c r="F151" s="3" t="str">
        <f t="shared" si="14"/>
        <v>pass</v>
      </c>
    </row>
    <row r="152" spans="1:6" x14ac:dyDescent="0.25">
      <c r="A152" s="2">
        <v>200</v>
      </c>
      <c r="B152" s="2">
        <v>136</v>
      </c>
      <c r="C152" s="2">
        <v>475</v>
      </c>
      <c r="D152" s="3">
        <f t="shared" si="12"/>
        <v>25</v>
      </c>
      <c r="E152" s="3">
        <f t="shared" si="13"/>
        <v>25</v>
      </c>
      <c r="F152" s="3" t="str">
        <f t="shared" si="14"/>
        <v>pass</v>
      </c>
    </row>
    <row r="153" spans="1:6" x14ac:dyDescent="0.25">
      <c r="A153" s="2">
        <v>402</v>
      </c>
      <c r="B153" s="2">
        <v>402</v>
      </c>
      <c r="C153" s="2">
        <v>233</v>
      </c>
      <c r="D153" s="3">
        <f t="shared" si="12"/>
        <v>1</v>
      </c>
      <c r="E153" s="3">
        <f t="shared" si="13"/>
        <v>1</v>
      </c>
      <c r="F153" s="3" t="str">
        <f t="shared" si="14"/>
        <v>pass</v>
      </c>
    </row>
    <row r="154" spans="1:6" x14ac:dyDescent="0.25">
      <c r="A154" s="2">
        <v>147</v>
      </c>
      <c r="B154" s="2">
        <v>217</v>
      </c>
      <c r="C154" s="2">
        <v>357</v>
      </c>
      <c r="D154" s="3">
        <f t="shared" si="12"/>
        <v>21</v>
      </c>
      <c r="E154" s="3">
        <f t="shared" si="13"/>
        <v>21</v>
      </c>
      <c r="F154" s="3" t="str">
        <f t="shared" si="14"/>
        <v>pass</v>
      </c>
    </row>
    <row r="155" spans="1:6" x14ac:dyDescent="0.25">
      <c r="A155" s="2">
        <v>491</v>
      </c>
      <c r="B155" s="2">
        <v>375</v>
      </c>
      <c r="C155" s="2">
        <v>402</v>
      </c>
      <c r="D155" s="3">
        <f t="shared" si="12"/>
        <v>3</v>
      </c>
      <c r="E155" s="3">
        <f t="shared" si="13"/>
        <v>3</v>
      </c>
      <c r="F155" s="3" t="str">
        <f t="shared" si="14"/>
        <v>pass</v>
      </c>
    </row>
    <row r="156" spans="1:6" x14ac:dyDescent="0.25">
      <c r="A156" s="2">
        <v>285</v>
      </c>
      <c r="B156" s="2">
        <v>339</v>
      </c>
      <c r="C156" s="2">
        <v>368</v>
      </c>
      <c r="D156" s="3">
        <f t="shared" si="12"/>
        <v>1</v>
      </c>
      <c r="E156" s="3">
        <f t="shared" si="13"/>
        <v>1</v>
      </c>
      <c r="F156" s="3" t="str">
        <f t="shared" si="14"/>
        <v>pass</v>
      </c>
    </row>
    <row r="157" spans="1:6" x14ac:dyDescent="0.25">
      <c r="A157" s="2">
        <v>250</v>
      </c>
      <c r="B157" s="2">
        <v>80</v>
      </c>
      <c r="C157" s="2">
        <v>98</v>
      </c>
      <c r="D157" s="3">
        <f t="shared" si="12"/>
        <v>2</v>
      </c>
      <c r="E157" s="3">
        <f t="shared" si="13"/>
        <v>2</v>
      </c>
      <c r="F157" s="3" t="str">
        <f t="shared" si="14"/>
        <v>pass</v>
      </c>
    </row>
    <row r="158" spans="1:6" x14ac:dyDescent="0.25">
      <c r="A158" s="2">
        <v>152</v>
      </c>
      <c r="B158" s="2">
        <v>112</v>
      </c>
      <c r="C158" s="2">
        <v>496</v>
      </c>
      <c r="D158" s="3">
        <f t="shared" si="12"/>
        <v>16</v>
      </c>
      <c r="E158" s="3">
        <f t="shared" si="13"/>
        <v>16</v>
      </c>
      <c r="F158" s="3" t="str">
        <f t="shared" si="14"/>
        <v>pass</v>
      </c>
    </row>
    <row r="159" spans="1:6" x14ac:dyDescent="0.25">
      <c r="A159" s="2">
        <v>30</v>
      </c>
      <c r="B159" s="2">
        <v>297</v>
      </c>
      <c r="C159" s="2">
        <v>377</v>
      </c>
      <c r="D159" s="3">
        <f t="shared" si="12"/>
        <v>1</v>
      </c>
      <c r="E159" s="3">
        <f t="shared" si="13"/>
        <v>1</v>
      </c>
      <c r="F159" s="3" t="str">
        <f t="shared" si="14"/>
        <v>pass</v>
      </c>
    </row>
    <row r="160" spans="1:6" x14ac:dyDescent="0.25">
      <c r="A160" s="2">
        <v>278</v>
      </c>
      <c r="B160" s="2">
        <v>32</v>
      </c>
      <c r="C160" s="2">
        <v>383</v>
      </c>
      <c r="D160" s="3">
        <f t="shared" si="12"/>
        <v>1</v>
      </c>
      <c r="E160" s="3">
        <f t="shared" si="13"/>
        <v>1</v>
      </c>
      <c r="F160" s="3" t="str">
        <f t="shared" si="14"/>
        <v>pass</v>
      </c>
    </row>
    <row r="161" spans="1:6" x14ac:dyDescent="0.25">
      <c r="A161" s="2">
        <v>161</v>
      </c>
      <c r="B161" s="2">
        <v>30</v>
      </c>
      <c r="C161" s="2">
        <v>26</v>
      </c>
      <c r="D161" s="3">
        <f t="shared" si="12"/>
        <v>2</v>
      </c>
      <c r="E161" s="3">
        <f t="shared" si="13"/>
        <v>2</v>
      </c>
      <c r="F161" s="3" t="str">
        <f t="shared" si="14"/>
        <v>pass</v>
      </c>
    </row>
    <row r="162" spans="1:6" x14ac:dyDescent="0.25">
      <c r="A162" s="2">
        <v>300</v>
      </c>
      <c r="B162" s="2">
        <v>245</v>
      </c>
      <c r="C162" s="2">
        <v>258</v>
      </c>
      <c r="D162" s="3">
        <f t="shared" si="12"/>
        <v>6</v>
      </c>
      <c r="E162" s="3">
        <f t="shared" si="13"/>
        <v>6</v>
      </c>
      <c r="F162" s="3" t="str">
        <f t="shared" si="14"/>
        <v>pass</v>
      </c>
    </row>
    <row r="163" spans="1:6" x14ac:dyDescent="0.25">
      <c r="A163" s="2">
        <v>471</v>
      </c>
      <c r="B163" s="2">
        <v>437</v>
      </c>
      <c r="C163" s="2">
        <v>272</v>
      </c>
      <c r="D163" s="3">
        <f t="shared" si="12"/>
        <v>1</v>
      </c>
      <c r="E163" s="3">
        <f t="shared" si="13"/>
        <v>1</v>
      </c>
      <c r="F163" s="3" t="str">
        <f t="shared" si="14"/>
        <v>pass</v>
      </c>
    </row>
    <row r="164" spans="1:6" x14ac:dyDescent="0.25">
      <c r="A164" s="2">
        <v>81</v>
      </c>
      <c r="B164" s="2">
        <v>30</v>
      </c>
      <c r="C164" s="2">
        <v>492</v>
      </c>
      <c r="D164" s="3">
        <f t="shared" si="12"/>
        <v>6</v>
      </c>
      <c r="E164" s="3">
        <f t="shared" si="13"/>
        <v>6</v>
      </c>
      <c r="F164" s="3" t="str">
        <f t="shared" si="14"/>
        <v>pass</v>
      </c>
    </row>
    <row r="165" spans="1:6" x14ac:dyDescent="0.25">
      <c r="A165" s="2">
        <v>261</v>
      </c>
      <c r="B165" s="2">
        <v>42</v>
      </c>
      <c r="C165" s="2">
        <v>436</v>
      </c>
      <c r="D165" s="3">
        <f t="shared" si="12"/>
        <v>2</v>
      </c>
      <c r="E165" s="3">
        <f t="shared" si="13"/>
        <v>2</v>
      </c>
      <c r="F165" s="3" t="str">
        <f t="shared" si="14"/>
        <v>pass</v>
      </c>
    </row>
    <row r="166" spans="1:6" x14ac:dyDescent="0.25">
      <c r="A166" s="2">
        <v>96</v>
      </c>
      <c r="B166" s="2">
        <v>36</v>
      </c>
      <c r="C166" s="2">
        <v>305</v>
      </c>
      <c r="D166" s="3">
        <f t="shared" si="12"/>
        <v>1</v>
      </c>
      <c r="E166" s="3">
        <f t="shared" si="13"/>
        <v>1</v>
      </c>
      <c r="F166" s="3" t="str">
        <f t="shared" si="14"/>
        <v>pass</v>
      </c>
    </row>
    <row r="167" spans="1:6" x14ac:dyDescent="0.25">
      <c r="A167" s="2">
        <v>35</v>
      </c>
      <c r="B167" s="2">
        <v>346</v>
      </c>
      <c r="C167" s="2">
        <v>442</v>
      </c>
      <c r="D167" s="3">
        <f t="shared" si="12"/>
        <v>2</v>
      </c>
      <c r="E167" s="3">
        <f t="shared" si="13"/>
        <v>2</v>
      </c>
      <c r="F167" s="3" t="str">
        <f t="shared" si="14"/>
        <v>pass</v>
      </c>
    </row>
    <row r="168" spans="1:6" x14ac:dyDescent="0.25">
      <c r="A168" s="2">
        <v>121</v>
      </c>
      <c r="B168" s="2">
        <v>207</v>
      </c>
      <c r="C168" s="2">
        <v>62</v>
      </c>
      <c r="D168" s="3">
        <f t="shared" si="12"/>
        <v>1</v>
      </c>
      <c r="E168" s="3">
        <f t="shared" si="13"/>
        <v>1</v>
      </c>
      <c r="F168" s="3" t="str">
        <f t="shared" si="14"/>
        <v>pass</v>
      </c>
    </row>
    <row r="169" spans="1:6" x14ac:dyDescent="0.25">
      <c r="A169" s="2">
        <v>483</v>
      </c>
      <c r="B169" s="2">
        <v>456</v>
      </c>
      <c r="C169" s="2">
        <v>292</v>
      </c>
      <c r="D169" s="3">
        <f t="shared" si="12"/>
        <v>4</v>
      </c>
      <c r="E169" s="3">
        <f t="shared" si="13"/>
        <v>4</v>
      </c>
      <c r="F169" s="3" t="str">
        <f t="shared" si="14"/>
        <v>pass</v>
      </c>
    </row>
    <row r="170" spans="1:6" x14ac:dyDescent="0.25">
      <c r="A170" s="2">
        <v>127</v>
      </c>
      <c r="B170" s="2">
        <v>297</v>
      </c>
      <c r="C170" s="2">
        <v>305</v>
      </c>
      <c r="D170" s="3">
        <f t="shared" si="12"/>
        <v>1</v>
      </c>
      <c r="E170" s="3">
        <f t="shared" si="13"/>
        <v>1</v>
      </c>
      <c r="F170" s="3" t="str">
        <f t="shared" si="14"/>
        <v>pass</v>
      </c>
    </row>
    <row r="171" spans="1:6" x14ac:dyDescent="0.25">
      <c r="A171" s="2">
        <v>21</v>
      </c>
      <c r="B171" s="2">
        <v>318</v>
      </c>
      <c r="C171" s="2">
        <v>42</v>
      </c>
      <c r="D171" s="3">
        <f t="shared" si="12"/>
        <v>42</v>
      </c>
      <c r="E171" s="3">
        <f t="shared" si="13"/>
        <v>42</v>
      </c>
      <c r="F171" s="3" t="str">
        <f t="shared" si="14"/>
        <v>pass</v>
      </c>
    </row>
    <row r="172" spans="1:6" x14ac:dyDescent="0.25">
      <c r="A172" s="2">
        <v>215</v>
      </c>
      <c r="B172" s="2">
        <v>337</v>
      </c>
      <c r="C172" s="2">
        <v>299</v>
      </c>
      <c r="D172" s="3">
        <f t="shared" si="12"/>
        <v>1</v>
      </c>
      <c r="E172" s="3">
        <f t="shared" si="13"/>
        <v>1</v>
      </c>
      <c r="F172" s="3" t="str">
        <f t="shared" si="14"/>
        <v>pass</v>
      </c>
    </row>
    <row r="173" spans="1:6" x14ac:dyDescent="0.25">
      <c r="A173" s="2">
        <v>290</v>
      </c>
      <c r="B173" s="2">
        <v>268</v>
      </c>
      <c r="C173" s="2">
        <v>162</v>
      </c>
      <c r="D173" s="3">
        <f t="shared" si="12"/>
        <v>2</v>
      </c>
      <c r="E173" s="3">
        <f t="shared" si="13"/>
        <v>2</v>
      </c>
      <c r="F173" s="3" t="str">
        <f t="shared" si="14"/>
        <v>pass</v>
      </c>
    </row>
    <row r="174" spans="1:6" x14ac:dyDescent="0.25">
      <c r="A174" s="2">
        <v>479</v>
      </c>
      <c r="B174" s="2">
        <v>134</v>
      </c>
      <c r="C174" s="2">
        <v>105</v>
      </c>
      <c r="D174" s="3">
        <f t="shared" si="12"/>
        <v>1</v>
      </c>
      <c r="E174" s="3">
        <f t="shared" si="13"/>
        <v>1</v>
      </c>
      <c r="F174" s="3" t="str">
        <f t="shared" si="14"/>
        <v>pass</v>
      </c>
    </row>
    <row r="175" spans="1:6" x14ac:dyDescent="0.25">
      <c r="A175" s="2">
        <v>343</v>
      </c>
      <c r="B175" s="2">
        <v>367</v>
      </c>
      <c r="C175" s="2">
        <v>161</v>
      </c>
      <c r="D175" s="3">
        <f t="shared" si="12"/>
        <v>7</v>
      </c>
      <c r="E175" s="3">
        <f t="shared" si="13"/>
        <v>7</v>
      </c>
      <c r="F175" s="3" t="str">
        <f t="shared" si="14"/>
        <v>pass</v>
      </c>
    </row>
    <row r="176" spans="1:6" x14ac:dyDescent="0.25">
      <c r="A176" s="2">
        <v>123</v>
      </c>
      <c r="B176" s="2">
        <v>136</v>
      </c>
      <c r="C176" s="2">
        <v>203</v>
      </c>
      <c r="D176" s="3">
        <f t="shared" ref="D176:D207" si="15">GCD(A176*B176,C176)</f>
        <v>1</v>
      </c>
      <c r="E176" s="3">
        <f t="shared" ref="E176:E207" si="16">GCD(GCD(A176,C176)*GCD(B176,C176),C176)</f>
        <v>1</v>
      </c>
      <c r="F176" s="3" t="str">
        <f t="shared" ref="F176:F207" si="17">IF(D176=E176,"pass","FAIL")</f>
        <v>pass</v>
      </c>
    </row>
    <row r="177" spans="1:6" x14ac:dyDescent="0.25">
      <c r="A177" s="2">
        <v>68</v>
      </c>
      <c r="B177" s="2">
        <v>344</v>
      </c>
      <c r="C177" s="2">
        <v>331</v>
      </c>
      <c r="D177" s="3">
        <f t="shared" si="15"/>
        <v>1</v>
      </c>
      <c r="E177" s="3">
        <f t="shared" si="16"/>
        <v>1</v>
      </c>
      <c r="F177" s="3" t="str">
        <f t="shared" si="17"/>
        <v>pass</v>
      </c>
    </row>
    <row r="178" spans="1:6" x14ac:dyDescent="0.25">
      <c r="A178" s="2">
        <v>154</v>
      </c>
      <c r="B178" s="2">
        <v>235</v>
      </c>
      <c r="C178" s="2">
        <v>162</v>
      </c>
      <c r="D178" s="3">
        <f t="shared" si="15"/>
        <v>2</v>
      </c>
      <c r="E178" s="3">
        <f t="shared" si="16"/>
        <v>2</v>
      </c>
      <c r="F178" s="3" t="str">
        <f t="shared" si="17"/>
        <v>pass</v>
      </c>
    </row>
    <row r="179" spans="1:6" x14ac:dyDescent="0.25">
      <c r="A179" s="2">
        <v>476</v>
      </c>
      <c r="B179" s="2">
        <v>385</v>
      </c>
      <c r="C179" s="2">
        <v>480</v>
      </c>
      <c r="D179" s="3">
        <f t="shared" si="15"/>
        <v>20</v>
      </c>
      <c r="E179" s="3">
        <f t="shared" si="16"/>
        <v>20</v>
      </c>
      <c r="F179" s="3" t="str">
        <f t="shared" si="17"/>
        <v>pass</v>
      </c>
    </row>
    <row r="180" spans="1:6" x14ac:dyDescent="0.25">
      <c r="A180" s="2">
        <v>38</v>
      </c>
      <c r="B180" s="2">
        <v>5</v>
      </c>
      <c r="C180" s="2">
        <v>235</v>
      </c>
      <c r="D180" s="3">
        <f t="shared" si="15"/>
        <v>5</v>
      </c>
      <c r="E180" s="3">
        <f t="shared" si="16"/>
        <v>5</v>
      </c>
      <c r="F180" s="3" t="str">
        <f t="shared" si="17"/>
        <v>pass</v>
      </c>
    </row>
    <row r="181" spans="1:6" x14ac:dyDescent="0.25">
      <c r="A181" s="2">
        <v>319</v>
      </c>
      <c r="B181" s="2">
        <v>289</v>
      </c>
      <c r="C181" s="2">
        <v>52</v>
      </c>
      <c r="D181" s="3">
        <f t="shared" si="15"/>
        <v>1</v>
      </c>
      <c r="E181" s="3">
        <f t="shared" si="16"/>
        <v>1</v>
      </c>
      <c r="F181" s="3" t="str">
        <f t="shared" si="17"/>
        <v>pass</v>
      </c>
    </row>
    <row r="182" spans="1:6" x14ac:dyDescent="0.25">
      <c r="A182" s="2">
        <v>38</v>
      </c>
      <c r="B182" s="2">
        <v>276</v>
      </c>
      <c r="C182" s="2">
        <v>110</v>
      </c>
      <c r="D182" s="3">
        <f t="shared" si="15"/>
        <v>2</v>
      </c>
      <c r="E182" s="3">
        <f t="shared" si="16"/>
        <v>2</v>
      </c>
      <c r="F182" s="3" t="str">
        <f t="shared" si="17"/>
        <v>pass</v>
      </c>
    </row>
    <row r="183" spans="1:6" x14ac:dyDescent="0.25">
      <c r="A183" s="2">
        <v>260</v>
      </c>
      <c r="B183" s="2">
        <v>136</v>
      </c>
      <c r="C183" s="2">
        <v>68</v>
      </c>
      <c r="D183" s="3">
        <f t="shared" si="15"/>
        <v>68</v>
      </c>
      <c r="E183" s="3">
        <f t="shared" si="16"/>
        <v>68</v>
      </c>
      <c r="F183" s="3" t="str">
        <f t="shared" si="17"/>
        <v>pass</v>
      </c>
    </row>
    <row r="184" spans="1:6" x14ac:dyDescent="0.25">
      <c r="A184" s="2">
        <v>478</v>
      </c>
      <c r="B184" s="2">
        <v>179</v>
      </c>
      <c r="C184" s="2">
        <v>452</v>
      </c>
      <c r="D184" s="3">
        <f t="shared" si="15"/>
        <v>2</v>
      </c>
      <c r="E184" s="3">
        <f t="shared" si="16"/>
        <v>2</v>
      </c>
      <c r="F184" s="3" t="str">
        <f t="shared" si="17"/>
        <v>pass</v>
      </c>
    </row>
    <row r="185" spans="1:6" x14ac:dyDescent="0.25">
      <c r="A185" s="2">
        <v>36</v>
      </c>
      <c r="B185" s="2">
        <v>451</v>
      </c>
      <c r="C185" s="2">
        <v>126</v>
      </c>
      <c r="D185" s="3">
        <f t="shared" si="15"/>
        <v>18</v>
      </c>
      <c r="E185" s="3">
        <f t="shared" si="16"/>
        <v>18</v>
      </c>
      <c r="F185" s="3" t="str">
        <f t="shared" si="17"/>
        <v>pass</v>
      </c>
    </row>
    <row r="186" spans="1:6" x14ac:dyDescent="0.25">
      <c r="A186" s="2">
        <v>190</v>
      </c>
      <c r="B186" s="2">
        <v>146</v>
      </c>
      <c r="C186" s="2">
        <v>81</v>
      </c>
      <c r="D186" s="3">
        <f t="shared" si="15"/>
        <v>1</v>
      </c>
      <c r="E186" s="3">
        <f t="shared" si="16"/>
        <v>1</v>
      </c>
      <c r="F186" s="3" t="str">
        <f t="shared" si="17"/>
        <v>pass</v>
      </c>
    </row>
    <row r="187" spans="1:6" x14ac:dyDescent="0.25">
      <c r="A187" s="2">
        <v>225</v>
      </c>
      <c r="B187" s="2">
        <v>427</v>
      </c>
      <c r="C187" s="2">
        <v>279</v>
      </c>
      <c r="D187" s="3">
        <f t="shared" si="15"/>
        <v>9</v>
      </c>
      <c r="E187" s="3">
        <f t="shared" si="16"/>
        <v>9</v>
      </c>
      <c r="F187" s="3" t="str">
        <f t="shared" si="17"/>
        <v>pass</v>
      </c>
    </row>
    <row r="188" spans="1:6" x14ac:dyDescent="0.25">
      <c r="A188" s="2">
        <v>361</v>
      </c>
      <c r="B188" s="2">
        <v>155</v>
      </c>
      <c r="C188" s="2">
        <v>314</v>
      </c>
      <c r="D188" s="3">
        <f t="shared" si="15"/>
        <v>1</v>
      </c>
      <c r="E188" s="3">
        <f t="shared" si="16"/>
        <v>1</v>
      </c>
      <c r="F188" s="3" t="str">
        <f t="shared" si="17"/>
        <v>pass</v>
      </c>
    </row>
    <row r="189" spans="1:6" x14ac:dyDescent="0.25">
      <c r="A189" s="2">
        <v>414</v>
      </c>
      <c r="B189" s="2">
        <v>335</v>
      </c>
      <c r="C189" s="2">
        <v>271</v>
      </c>
      <c r="D189" s="3">
        <f t="shared" si="15"/>
        <v>1</v>
      </c>
      <c r="E189" s="3">
        <f t="shared" si="16"/>
        <v>1</v>
      </c>
      <c r="F189" s="3" t="str">
        <f t="shared" si="17"/>
        <v>pass</v>
      </c>
    </row>
    <row r="190" spans="1:6" x14ac:dyDescent="0.25">
      <c r="A190" s="2">
        <v>5</v>
      </c>
      <c r="B190" s="2">
        <v>342</v>
      </c>
      <c r="C190" s="2">
        <v>419</v>
      </c>
      <c r="D190" s="3">
        <f t="shared" si="15"/>
        <v>1</v>
      </c>
      <c r="E190" s="3">
        <f t="shared" si="16"/>
        <v>1</v>
      </c>
      <c r="F190" s="3" t="str">
        <f t="shared" si="17"/>
        <v>pass</v>
      </c>
    </row>
    <row r="191" spans="1:6" x14ac:dyDescent="0.25">
      <c r="A191" s="2">
        <v>284</v>
      </c>
      <c r="B191" s="2">
        <v>154</v>
      </c>
      <c r="C191" s="2">
        <v>478</v>
      </c>
      <c r="D191" s="3">
        <f t="shared" si="15"/>
        <v>2</v>
      </c>
      <c r="E191" s="3">
        <f t="shared" si="16"/>
        <v>2</v>
      </c>
      <c r="F191" s="3" t="str">
        <f t="shared" si="17"/>
        <v>pass</v>
      </c>
    </row>
    <row r="192" spans="1:6" x14ac:dyDescent="0.25">
      <c r="A192" s="2">
        <v>340</v>
      </c>
      <c r="B192" s="2">
        <v>54</v>
      </c>
      <c r="C192" s="2">
        <v>481</v>
      </c>
      <c r="D192" s="3">
        <f t="shared" si="15"/>
        <v>1</v>
      </c>
      <c r="E192" s="3">
        <f t="shared" si="16"/>
        <v>1</v>
      </c>
      <c r="F192" s="3" t="str">
        <f t="shared" si="17"/>
        <v>pass</v>
      </c>
    </row>
    <row r="193" spans="1:6" x14ac:dyDescent="0.25">
      <c r="A193" s="2">
        <v>450</v>
      </c>
      <c r="B193" s="2">
        <v>69</v>
      </c>
      <c r="C193" s="2">
        <v>136</v>
      </c>
      <c r="D193" s="3">
        <f t="shared" si="15"/>
        <v>2</v>
      </c>
      <c r="E193" s="3">
        <f t="shared" si="16"/>
        <v>2</v>
      </c>
      <c r="F193" s="3" t="str">
        <f t="shared" si="17"/>
        <v>pass</v>
      </c>
    </row>
    <row r="194" spans="1:6" x14ac:dyDescent="0.25">
      <c r="A194" s="2">
        <v>60</v>
      </c>
      <c r="B194" s="2">
        <v>456</v>
      </c>
      <c r="C194" s="2">
        <v>55</v>
      </c>
      <c r="D194" s="3">
        <f t="shared" si="15"/>
        <v>5</v>
      </c>
      <c r="E194" s="3">
        <f t="shared" si="16"/>
        <v>5</v>
      </c>
      <c r="F194" s="3" t="str">
        <f t="shared" si="17"/>
        <v>pass</v>
      </c>
    </row>
    <row r="195" spans="1:6" x14ac:dyDescent="0.25">
      <c r="A195" s="2">
        <v>381</v>
      </c>
      <c r="B195" s="2">
        <v>284</v>
      </c>
      <c r="C195" s="2">
        <v>80</v>
      </c>
      <c r="D195" s="3">
        <f t="shared" si="15"/>
        <v>4</v>
      </c>
      <c r="E195" s="3">
        <f t="shared" si="16"/>
        <v>4</v>
      </c>
      <c r="F195" s="3" t="str">
        <f t="shared" si="17"/>
        <v>pass</v>
      </c>
    </row>
    <row r="196" spans="1:6" x14ac:dyDescent="0.25">
      <c r="A196" s="2">
        <v>140</v>
      </c>
      <c r="B196" s="2">
        <v>145</v>
      </c>
      <c r="C196" s="2">
        <v>310</v>
      </c>
      <c r="D196" s="3">
        <f t="shared" si="15"/>
        <v>10</v>
      </c>
      <c r="E196" s="3">
        <f t="shared" si="16"/>
        <v>10</v>
      </c>
      <c r="F196" s="3" t="str">
        <f t="shared" si="17"/>
        <v>pass</v>
      </c>
    </row>
    <row r="197" spans="1:6" x14ac:dyDescent="0.25">
      <c r="A197" s="2">
        <v>108</v>
      </c>
      <c r="B197" s="2">
        <v>368</v>
      </c>
      <c r="C197" s="2">
        <v>176</v>
      </c>
      <c r="D197" s="3">
        <f t="shared" si="15"/>
        <v>16</v>
      </c>
      <c r="E197" s="3">
        <f t="shared" si="16"/>
        <v>16</v>
      </c>
      <c r="F197" s="3" t="str">
        <f t="shared" si="17"/>
        <v>pass</v>
      </c>
    </row>
    <row r="198" spans="1:6" x14ac:dyDescent="0.25">
      <c r="A198" s="2">
        <v>105</v>
      </c>
      <c r="B198" s="2">
        <v>352</v>
      </c>
      <c r="C198" s="2">
        <v>325</v>
      </c>
      <c r="D198" s="3">
        <f t="shared" si="15"/>
        <v>5</v>
      </c>
      <c r="E198" s="3">
        <f t="shared" si="16"/>
        <v>5</v>
      </c>
      <c r="F198" s="3" t="str">
        <f t="shared" si="17"/>
        <v>pass</v>
      </c>
    </row>
    <row r="199" spans="1:6" x14ac:dyDescent="0.25">
      <c r="A199" s="2">
        <v>437</v>
      </c>
      <c r="B199" s="2">
        <v>136</v>
      </c>
      <c r="C199" s="2">
        <v>259</v>
      </c>
      <c r="D199" s="3">
        <f t="shared" si="15"/>
        <v>1</v>
      </c>
      <c r="E199" s="3">
        <f t="shared" si="16"/>
        <v>1</v>
      </c>
      <c r="F199" s="3" t="str">
        <f t="shared" si="17"/>
        <v>pass</v>
      </c>
    </row>
    <row r="200" spans="1:6" x14ac:dyDescent="0.25">
      <c r="A200" s="2">
        <v>251</v>
      </c>
      <c r="B200" s="2">
        <v>129</v>
      </c>
      <c r="C200" s="2">
        <v>464</v>
      </c>
      <c r="D200" s="3">
        <f t="shared" si="15"/>
        <v>1</v>
      </c>
      <c r="E200" s="3">
        <f t="shared" si="16"/>
        <v>1</v>
      </c>
      <c r="F200" s="3" t="str">
        <f t="shared" si="17"/>
        <v>pass</v>
      </c>
    </row>
    <row r="201" spans="1:6" x14ac:dyDescent="0.25">
      <c r="A201" s="2">
        <v>465</v>
      </c>
      <c r="B201" s="2">
        <v>434</v>
      </c>
      <c r="C201" s="2">
        <v>27</v>
      </c>
      <c r="D201" s="3">
        <f t="shared" si="15"/>
        <v>3</v>
      </c>
      <c r="E201" s="3">
        <f t="shared" si="16"/>
        <v>3</v>
      </c>
      <c r="F201" s="3" t="str">
        <f t="shared" si="17"/>
        <v>pass</v>
      </c>
    </row>
    <row r="202" spans="1:6" x14ac:dyDescent="0.25">
      <c r="A202" s="2">
        <v>48</v>
      </c>
      <c r="B202" s="2">
        <v>325</v>
      </c>
      <c r="C202" s="2">
        <v>217</v>
      </c>
      <c r="D202" s="3">
        <f t="shared" si="15"/>
        <v>1</v>
      </c>
      <c r="E202" s="3">
        <f t="shared" si="16"/>
        <v>1</v>
      </c>
      <c r="F202" s="3" t="str">
        <f t="shared" si="17"/>
        <v>pass</v>
      </c>
    </row>
    <row r="203" spans="1:6" x14ac:dyDescent="0.25">
      <c r="A203" s="2">
        <v>425</v>
      </c>
      <c r="B203" s="2">
        <v>142</v>
      </c>
      <c r="C203" s="2">
        <v>23</v>
      </c>
      <c r="D203" s="3">
        <f t="shared" si="15"/>
        <v>1</v>
      </c>
      <c r="E203" s="3">
        <f t="shared" si="16"/>
        <v>1</v>
      </c>
      <c r="F203" s="3" t="str">
        <f t="shared" si="17"/>
        <v>pass</v>
      </c>
    </row>
    <row r="204" spans="1:6" x14ac:dyDescent="0.25">
      <c r="A204" s="2">
        <v>2</v>
      </c>
      <c r="B204" s="2">
        <v>171</v>
      </c>
      <c r="C204" s="2">
        <v>395</v>
      </c>
      <c r="D204" s="3">
        <f t="shared" si="15"/>
        <v>1</v>
      </c>
      <c r="E204" s="3">
        <f t="shared" si="16"/>
        <v>1</v>
      </c>
      <c r="F204" s="3" t="str">
        <f t="shared" si="17"/>
        <v>pass</v>
      </c>
    </row>
    <row r="205" spans="1:6" x14ac:dyDescent="0.25">
      <c r="A205" s="2">
        <v>67</v>
      </c>
      <c r="B205" s="2">
        <v>327</v>
      </c>
      <c r="C205" s="2">
        <v>135</v>
      </c>
      <c r="D205" s="3">
        <f t="shared" si="15"/>
        <v>3</v>
      </c>
      <c r="E205" s="3">
        <f t="shared" si="16"/>
        <v>3</v>
      </c>
      <c r="F205" s="3" t="str">
        <f t="shared" si="17"/>
        <v>pass</v>
      </c>
    </row>
    <row r="206" spans="1:6" x14ac:dyDescent="0.25">
      <c r="A206" s="2">
        <v>83</v>
      </c>
      <c r="B206" s="2">
        <v>380</v>
      </c>
      <c r="C206" s="2">
        <v>227</v>
      </c>
      <c r="D206" s="3">
        <f t="shared" si="15"/>
        <v>1</v>
      </c>
      <c r="E206" s="3">
        <f t="shared" si="16"/>
        <v>1</v>
      </c>
      <c r="F206" s="3" t="str">
        <f t="shared" si="17"/>
        <v>pass</v>
      </c>
    </row>
    <row r="207" spans="1:6" x14ac:dyDescent="0.25">
      <c r="A207" s="2">
        <v>283</v>
      </c>
      <c r="B207" s="2">
        <v>362</v>
      </c>
      <c r="C207" s="2">
        <v>219</v>
      </c>
      <c r="D207" s="3">
        <f t="shared" si="15"/>
        <v>1</v>
      </c>
      <c r="E207" s="3">
        <f t="shared" si="16"/>
        <v>1</v>
      </c>
      <c r="F207" s="3" t="str">
        <f t="shared" si="17"/>
        <v>pass</v>
      </c>
    </row>
    <row r="208" spans="1:6" x14ac:dyDescent="0.25">
      <c r="A208" s="2">
        <v>288</v>
      </c>
      <c r="B208" s="2">
        <v>5</v>
      </c>
      <c r="C208" s="2">
        <v>58</v>
      </c>
      <c r="D208" s="3">
        <f t="shared" ref="D208:D239" si="18">GCD(A208*B208,C208)</f>
        <v>2</v>
      </c>
      <c r="E208" s="3">
        <f t="shared" ref="E208:E215" si="19">GCD(GCD(A208,C208)*GCD(B208,C208),C208)</f>
        <v>2</v>
      </c>
      <c r="F208" s="3" t="str">
        <f t="shared" ref="F208:F239" si="20">IF(D208=E208,"pass","FAIL")</f>
        <v>pass</v>
      </c>
    </row>
    <row r="209" spans="1:6" x14ac:dyDescent="0.25">
      <c r="A209" s="2">
        <v>39</v>
      </c>
      <c r="B209" s="2">
        <v>484</v>
      </c>
      <c r="C209" s="2">
        <v>453</v>
      </c>
      <c r="D209" s="3">
        <f t="shared" si="18"/>
        <v>3</v>
      </c>
      <c r="E209" s="3">
        <f t="shared" si="19"/>
        <v>3</v>
      </c>
      <c r="F209" s="3" t="str">
        <f t="shared" si="20"/>
        <v>pass</v>
      </c>
    </row>
    <row r="210" spans="1:6" x14ac:dyDescent="0.25">
      <c r="A210" s="2">
        <v>354</v>
      </c>
      <c r="B210" s="2">
        <v>463</v>
      </c>
      <c r="C210" s="2">
        <v>77</v>
      </c>
      <c r="D210" s="3">
        <f t="shared" si="18"/>
        <v>1</v>
      </c>
      <c r="E210" s="3">
        <f t="shared" si="19"/>
        <v>1</v>
      </c>
      <c r="F210" s="3" t="str">
        <f t="shared" si="20"/>
        <v>pass</v>
      </c>
    </row>
    <row r="211" spans="1:6" x14ac:dyDescent="0.25">
      <c r="A211" s="2">
        <v>280</v>
      </c>
      <c r="B211" s="2">
        <v>19</v>
      </c>
      <c r="C211" s="2">
        <v>428</v>
      </c>
      <c r="D211" s="3">
        <f t="shared" si="18"/>
        <v>4</v>
      </c>
      <c r="E211" s="3">
        <f t="shared" si="19"/>
        <v>4</v>
      </c>
      <c r="F211" s="3" t="str">
        <f t="shared" si="20"/>
        <v>pass</v>
      </c>
    </row>
    <row r="212" spans="1:6" x14ac:dyDescent="0.25">
      <c r="A212" s="2">
        <v>190</v>
      </c>
      <c r="B212" s="2">
        <v>299</v>
      </c>
      <c r="C212" s="2">
        <v>283</v>
      </c>
      <c r="D212" s="3">
        <f t="shared" si="18"/>
        <v>1</v>
      </c>
      <c r="E212" s="3">
        <f t="shared" si="19"/>
        <v>1</v>
      </c>
      <c r="F212" s="3" t="str">
        <f t="shared" si="20"/>
        <v>pass</v>
      </c>
    </row>
    <row r="213" spans="1:6" x14ac:dyDescent="0.25">
      <c r="A213" s="2">
        <v>76</v>
      </c>
      <c r="B213" s="2">
        <v>221</v>
      </c>
      <c r="C213" s="2">
        <v>66</v>
      </c>
      <c r="D213" s="3">
        <f t="shared" si="18"/>
        <v>2</v>
      </c>
      <c r="E213" s="3">
        <f t="shared" si="19"/>
        <v>2</v>
      </c>
      <c r="F213" s="3" t="str">
        <f t="shared" si="20"/>
        <v>pass</v>
      </c>
    </row>
    <row r="214" spans="1:6" x14ac:dyDescent="0.25">
      <c r="A214" s="2">
        <v>22</v>
      </c>
      <c r="B214" s="2">
        <v>158</v>
      </c>
      <c r="C214" s="2">
        <v>187</v>
      </c>
      <c r="D214" s="3">
        <f t="shared" si="18"/>
        <v>11</v>
      </c>
      <c r="E214" s="3">
        <f t="shared" si="19"/>
        <v>11</v>
      </c>
      <c r="F214" s="3" t="str">
        <f t="shared" si="20"/>
        <v>pass</v>
      </c>
    </row>
    <row r="215" spans="1:6" x14ac:dyDescent="0.25">
      <c r="A215" s="2">
        <v>461</v>
      </c>
      <c r="B215" s="2">
        <v>478</v>
      </c>
      <c r="C215" s="2">
        <v>408</v>
      </c>
      <c r="D215" s="3">
        <f t="shared" si="18"/>
        <v>2</v>
      </c>
      <c r="E215" s="3">
        <f t="shared" si="19"/>
        <v>2</v>
      </c>
      <c r="F215" s="3" t="str">
        <f t="shared" si="20"/>
        <v>pass</v>
      </c>
    </row>
    <row r="218" spans="1:6" x14ac:dyDescent="0.25">
      <c r="A218" s="15" t="s">
        <v>147</v>
      </c>
      <c r="B218" s="9" t="str">
        <f>COUNTIF(F16:F215,"pass")&amp;" pass, "&amp;COUNTIF(F16:F215,"FAIL")&amp;" fail"</f>
        <v>200 pass, 0 fail</v>
      </c>
    </row>
  </sheetData>
  <mergeCells count="1">
    <mergeCell ref="A1:F1"/>
  </mergeCells>
  <conditionalFormatting sqref="F16:F215">
    <cfRule type="cellIs" dxfId="5" priority="1" operator="equal">
      <formula>"pass"</formula>
    </cfRule>
    <cfRule type="cellIs" dxfId="4" priority="2" operator="equal">
      <formula>"FAIL"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2D3748"/>
  </sheetPr>
  <dimension ref="A1:G506"/>
  <sheetViews>
    <sheetView workbookViewId="0">
      <selection sqref="A1:G1"/>
    </sheetView>
  </sheetViews>
  <sheetFormatPr defaultRowHeight="15" x14ac:dyDescent="0.25"/>
  <cols>
    <col min="1" max="1" width="6" customWidth="1"/>
    <col min="2" max="3" width="8" customWidth="1"/>
    <col min="4" max="6" width="10" customWidth="1"/>
    <col min="7" max="7" width="8" customWidth="1"/>
  </cols>
  <sheetData>
    <row r="1" spans="1:7" ht="20.25" x14ac:dyDescent="0.25">
      <c r="A1" s="52" t="s">
        <v>148</v>
      </c>
      <c r="B1" s="53"/>
      <c r="C1" s="53"/>
      <c r="D1" s="53"/>
      <c r="E1" s="53"/>
      <c r="F1" s="53"/>
      <c r="G1" s="53"/>
    </row>
    <row r="2" spans="1:7" x14ac:dyDescent="0.25">
      <c r="A2" s="18" t="s">
        <v>149</v>
      </c>
    </row>
    <row r="4" spans="1:7" ht="38.25" x14ac:dyDescent="0.25">
      <c r="A4" s="1" t="s">
        <v>1</v>
      </c>
      <c r="B4" s="1" t="s">
        <v>4</v>
      </c>
      <c r="C4" s="1" t="s">
        <v>150</v>
      </c>
      <c r="D4" s="1" t="s">
        <v>151</v>
      </c>
      <c r="E4" s="1" t="s">
        <v>152</v>
      </c>
      <c r="F4" s="1" t="s">
        <v>153</v>
      </c>
      <c r="G4" s="1" t="s">
        <v>154</v>
      </c>
    </row>
    <row r="5" spans="1:7" x14ac:dyDescent="0.25">
      <c r="A5" s="2">
        <v>3</v>
      </c>
      <c r="B5" s="2">
        <v>-1</v>
      </c>
      <c r="C5" s="3">
        <f t="shared" ref="C5:C68" si="0">MOD(B5,2)</f>
        <v>1</v>
      </c>
      <c r="D5" s="3">
        <f t="shared" ref="D5:D68" si="1">MOD(A5,2)</f>
        <v>1</v>
      </c>
      <c r="E5" s="3" t="str">
        <f t="shared" ref="E5:E68" si="2">IF(C5=D5,"same","diff")</f>
        <v>same</v>
      </c>
      <c r="F5" s="3" t="str">
        <f t="shared" ref="F5:F68" si="3">IF(SQRT(A5)=INT(SQRT(A5)),"YES","no")</f>
        <v>no</v>
      </c>
      <c r="G5" s="3" t="str">
        <f t="shared" ref="G5:G68" si="4">IF(AND(E5="same",F5="no"),"ok",IF(AND(E5="diff",F5="YES"),"ok","FAIL"))</f>
        <v>ok</v>
      </c>
    </row>
    <row r="6" spans="1:7" x14ac:dyDescent="0.25">
      <c r="A6" s="2">
        <v>4</v>
      </c>
      <c r="B6" s="2">
        <v>-1</v>
      </c>
      <c r="C6" s="3">
        <f t="shared" si="0"/>
        <v>1</v>
      </c>
      <c r="D6" s="3">
        <f t="shared" si="1"/>
        <v>0</v>
      </c>
      <c r="E6" s="3" t="str">
        <f t="shared" si="2"/>
        <v>diff</v>
      </c>
      <c r="F6" s="3" t="str">
        <f t="shared" si="3"/>
        <v>YES</v>
      </c>
      <c r="G6" s="3" t="str">
        <f t="shared" si="4"/>
        <v>ok</v>
      </c>
    </row>
    <row r="7" spans="1:7" x14ac:dyDescent="0.25">
      <c r="A7" s="2">
        <v>5</v>
      </c>
      <c r="B7" s="2">
        <v>-1</v>
      </c>
      <c r="C7" s="3">
        <f t="shared" si="0"/>
        <v>1</v>
      </c>
      <c r="D7" s="3">
        <f t="shared" si="1"/>
        <v>1</v>
      </c>
      <c r="E7" s="3" t="str">
        <f t="shared" si="2"/>
        <v>same</v>
      </c>
      <c r="F7" s="3" t="str">
        <f t="shared" si="3"/>
        <v>no</v>
      </c>
      <c r="G7" s="3" t="str">
        <f t="shared" si="4"/>
        <v>ok</v>
      </c>
    </row>
    <row r="8" spans="1:7" x14ac:dyDescent="0.25">
      <c r="A8" s="2">
        <v>6</v>
      </c>
      <c r="B8" s="2">
        <v>0</v>
      </c>
      <c r="C8" s="3">
        <f t="shared" si="0"/>
        <v>0</v>
      </c>
      <c r="D8" s="3">
        <f t="shared" si="1"/>
        <v>0</v>
      </c>
      <c r="E8" s="3" t="str">
        <f t="shared" si="2"/>
        <v>same</v>
      </c>
      <c r="F8" s="3" t="str">
        <f t="shared" si="3"/>
        <v>no</v>
      </c>
      <c r="G8" s="3" t="str">
        <f t="shared" si="4"/>
        <v>ok</v>
      </c>
    </row>
    <row r="9" spans="1:7" x14ac:dyDescent="0.25">
      <c r="A9" s="2">
        <v>7</v>
      </c>
      <c r="B9" s="2">
        <v>-1</v>
      </c>
      <c r="C9" s="3">
        <f t="shared" si="0"/>
        <v>1</v>
      </c>
      <c r="D9" s="3">
        <f t="shared" si="1"/>
        <v>1</v>
      </c>
      <c r="E9" s="3" t="str">
        <f t="shared" si="2"/>
        <v>same</v>
      </c>
      <c r="F9" s="3" t="str">
        <f t="shared" si="3"/>
        <v>no</v>
      </c>
      <c r="G9" s="3" t="str">
        <f t="shared" si="4"/>
        <v>ok</v>
      </c>
    </row>
    <row r="10" spans="1:7" x14ac:dyDescent="0.25">
      <c r="A10" s="2">
        <v>8</v>
      </c>
      <c r="B10" s="2">
        <v>0</v>
      </c>
      <c r="C10" s="3">
        <f t="shared" si="0"/>
        <v>0</v>
      </c>
      <c r="D10" s="3">
        <f t="shared" si="1"/>
        <v>0</v>
      </c>
      <c r="E10" s="3" t="str">
        <f t="shared" si="2"/>
        <v>same</v>
      </c>
      <c r="F10" s="3" t="str">
        <f t="shared" si="3"/>
        <v>no</v>
      </c>
      <c r="G10" s="3" t="str">
        <f t="shared" si="4"/>
        <v>ok</v>
      </c>
    </row>
    <row r="11" spans="1:7" x14ac:dyDescent="0.25">
      <c r="A11" s="2">
        <v>9</v>
      </c>
      <c r="B11" s="2">
        <v>0</v>
      </c>
      <c r="C11" s="3">
        <f t="shared" si="0"/>
        <v>0</v>
      </c>
      <c r="D11" s="3">
        <f t="shared" si="1"/>
        <v>1</v>
      </c>
      <c r="E11" s="3" t="str">
        <f t="shared" si="2"/>
        <v>diff</v>
      </c>
      <c r="F11" s="3" t="str">
        <f t="shared" si="3"/>
        <v>YES</v>
      </c>
      <c r="G11" s="3" t="str">
        <f t="shared" si="4"/>
        <v>ok</v>
      </c>
    </row>
    <row r="12" spans="1:7" x14ac:dyDescent="0.25">
      <c r="A12" s="2">
        <v>10</v>
      </c>
      <c r="B12" s="2">
        <v>2</v>
      </c>
      <c r="C12" s="3">
        <f t="shared" si="0"/>
        <v>0</v>
      </c>
      <c r="D12" s="3">
        <f t="shared" si="1"/>
        <v>0</v>
      </c>
      <c r="E12" s="3" t="str">
        <f t="shared" si="2"/>
        <v>same</v>
      </c>
      <c r="F12" s="3" t="str">
        <f t="shared" si="3"/>
        <v>no</v>
      </c>
      <c r="G12" s="3" t="str">
        <f t="shared" si="4"/>
        <v>ok</v>
      </c>
    </row>
    <row r="13" spans="1:7" x14ac:dyDescent="0.25">
      <c r="A13" s="2">
        <v>11</v>
      </c>
      <c r="B13" s="2">
        <v>-1</v>
      </c>
      <c r="C13" s="3">
        <f t="shared" si="0"/>
        <v>1</v>
      </c>
      <c r="D13" s="3">
        <f t="shared" si="1"/>
        <v>1</v>
      </c>
      <c r="E13" s="3" t="str">
        <f t="shared" si="2"/>
        <v>same</v>
      </c>
      <c r="F13" s="3" t="str">
        <f t="shared" si="3"/>
        <v>no</v>
      </c>
      <c r="G13" s="3" t="str">
        <f t="shared" si="4"/>
        <v>ok</v>
      </c>
    </row>
    <row r="14" spans="1:7" x14ac:dyDescent="0.25">
      <c r="A14" s="2">
        <v>12</v>
      </c>
      <c r="B14" s="2">
        <v>2</v>
      </c>
      <c r="C14" s="3">
        <f t="shared" si="0"/>
        <v>0</v>
      </c>
      <c r="D14" s="3">
        <f t="shared" si="1"/>
        <v>0</v>
      </c>
      <c r="E14" s="3" t="str">
        <f t="shared" si="2"/>
        <v>same</v>
      </c>
      <c r="F14" s="3" t="str">
        <f t="shared" si="3"/>
        <v>no</v>
      </c>
      <c r="G14" s="3" t="str">
        <f t="shared" si="4"/>
        <v>ok</v>
      </c>
    </row>
    <row r="15" spans="1:7" x14ac:dyDescent="0.25">
      <c r="A15" s="2">
        <v>13</v>
      </c>
      <c r="B15" s="2">
        <v>-1</v>
      </c>
      <c r="C15" s="3">
        <f t="shared" si="0"/>
        <v>1</v>
      </c>
      <c r="D15" s="3">
        <f t="shared" si="1"/>
        <v>1</v>
      </c>
      <c r="E15" s="3" t="str">
        <f t="shared" si="2"/>
        <v>same</v>
      </c>
      <c r="F15" s="3" t="str">
        <f t="shared" si="3"/>
        <v>no</v>
      </c>
      <c r="G15" s="3" t="str">
        <f t="shared" si="4"/>
        <v>ok</v>
      </c>
    </row>
    <row r="16" spans="1:7" x14ac:dyDescent="0.25">
      <c r="A16" s="2">
        <v>14</v>
      </c>
      <c r="B16" s="2">
        <v>4</v>
      </c>
      <c r="C16" s="3">
        <f t="shared" si="0"/>
        <v>0</v>
      </c>
      <c r="D16" s="3">
        <f t="shared" si="1"/>
        <v>0</v>
      </c>
      <c r="E16" s="3" t="str">
        <f t="shared" si="2"/>
        <v>same</v>
      </c>
      <c r="F16" s="3" t="str">
        <f t="shared" si="3"/>
        <v>no</v>
      </c>
      <c r="G16" s="3" t="str">
        <f t="shared" si="4"/>
        <v>ok</v>
      </c>
    </row>
    <row r="17" spans="1:7" x14ac:dyDescent="0.25">
      <c r="A17" s="2">
        <v>15</v>
      </c>
      <c r="B17" s="2">
        <v>3</v>
      </c>
      <c r="C17" s="3">
        <f t="shared" si="0"/>
        <v>1</v>
      </c>
      <c r="D17" s="3">
        <f t="shared" si="1"/>
        <v>1</v>
      </c>
      <c r="E17" s="3" t="str">
        <f t="shared" si="2"/>
        <v>same</v>
      </c>
      <c r="F17" s="3" t="str">
        <f t="shared" si="3"/>
        <v>no</v>
      </c>
      <c r="G17" s="3" t="str">
        <f t="shared" si="4"/>
        <v>ok</v>
      </c>
    </row>
    <row r="18" spans="1:7" x14ac:dyDescent="0.25">
      <c r="A18" s="2">
        <v>16</v>
      </c>
      <c r="B18" s="2">
        <v>3</v>
      </c>
      <c r="C18" s="3">
        <f t="shared" si="0"/>
        <v>1</v>
      </c>
      <c r="D18" s="3">
        <f t="shared" si="1"/>
        <v>0</v>
      </c>
      <c r="E18" s="3" t="str">
        <f t="shared" si="2"/>
        <v>diff</v>
      </c>
      <c r="F18" s="3" t="str">
        <f t="shared" si="3"/>
        <v>YES</v>
      </c>
      <c r="G18" s="3" t="str">
        <f t="shared" si="4"/>
        <v>ok</v>
      </c>
    </row>
    <row r="19" spans="1:7" x14ac:dyDescent="0.25">
      <c r="A19" s="2">
        <v>17</v>
      </c>
      <c r="B19" s="2">
        <v>-1</v>
      </c>
      <c r="C19" s="3">
        <f t="shared" si="0"/>
        <v>1</v>
      </c>
      <c r="D19" s="3">
        <f t="shared" si="1"/>
        <v>1</v>
      </c>
      <c r="E19" s="3" t="str">
        <f t="shared" si="2"/>
        <v>same</v>
      </c>
      <c r="F19" s="3" t="str">
        <f t="shared" si="3"/>
        <v>no</v>
      </c>
      <c r="G19" s="3" t="str">
        <f t="shared" si="4"/>
        <v>ok</v>
      </c>
    </row>
    <row r="20" spans="1:7" x14ac:dyDescent="0.25">
      <c r="A20" s="2">
        <v>18</v>
      </c>
      <c r="B20" s="2">
        <v>6</v>
      </c>
      <c r="C20" s="3">
        <f t="shared" si="0"/>
        <v>0</v>
      </c>
      <c r="D20" s="3">
        <f t="shared" si="1"/>
        <v>0</v>
      </c>
      <c r="E20" s="3" t="str">
        <f t="shared" si="2"/>
        <v>same</v>
      </c>
      <c r="F20" s="3" t="str">
        <f t="shared" si="3"/>
        <v>no</v>
      </c>
      <c r="G20" s="3" t="str">
        <f t="shared" si="4"/>
        <v>ok</v>
      </c>
    </row>
    <row r="21" spans="1:7" x14ac:dyDescent="0.25">
      <c r="A21" s="2">
        <v>19</v>
      </c>
      <c r="B21" s="2">
        <v>-1</v>
      </c>
      <c r="C21" s="3">
        <f t="shared" si="0"/>
        <v>1</v>
      </c>
      <c r="D21" s="3">
        <f t="shared" si="1"/>
        <v>1</v>
      </c>
      <c r="E21" s="3" t="str">
        <f t="shared" si="2"/>
        <v>same</v>
      </c>
      <c r="F21" s="3" t="str">
        <f t="shared" si="3"/>
        <v>no</v>
      </c>
      <c r="G21" s="3" t="str">
        <f t="shared" si="4"/>
        <v>ok</v>
      </c>
    </row>
    <row r="22" spans="1:7" x14ac:dyDescent="0.25">
      <c r="A22" s="2">
        <v>20</v>
      </c>
      <c r="B22" s="2">
        <v>6</v>
      </c>
      <c r="C22" s="3">
        <f t="shared" si="0"/>
        <v>0</v>
      </c>
      <c r="D22" s="3">
        <f t="shared" si="1"/>
        <v>0</v>
      </c>
      <c r="E22" s="3" t="str">
        <f t="shared" si="2"/>
        <v>same</v>
      </c>
      <c r="F22" s="3" t="str">
        <f t="shared" si="3"/>
        <v>no</v>
      </c>
      <c r="G22" s="3" t="str">
        <f t="shared" si="4"/>
        <v>ok</v>
      </c>
    </row>
    <row r="23" spans="1:7" x14ac:dyDescent="0.25">
      <c r="A23" s="2">
        <v>21</v>
      </c>
      <c r="B23" s="2">
        <v>5</v>
      </c>
      <c r="C23" s="3">
        <f t="shared" si="0"/>
        <v>1</v>
      </c>
      <c r="D23" s="3">
        <f t="shared" si="1"/>
        <v>1</v>
      </c>
      <c r="E23" s="3" t="str">
        <f t="shared" si="2"/>
        <v>same</v>
      </c>
      <c r="F23" s="3" t="str">
        <f t="shared" si="3"/>
        <v>no</v>
      </c>
      <c r="G23" s="3" t="str">
        <f t="shared" si="4"/>
        <v>ok</v>
      </c>
    </row>
    <row r="24" spans="1:7" x14ac:dyDescent="0.25">
      <c r="A24" s="2">
        <v>22</v>
      </c>
      <c r="B24" s="2">
        <v>8</v>
      </c>
      <c r="C24" s="3">
        <f t="shared" si="0"/>
        <v>0</v>
      </c>
      <c r="D24" s="3">
        <f t="shared" si="1"/>
        <v>0</v>
      </c>
      <c r="E24" s="3" t="str">
        <f t="shared" si="2"/>
        <v>same</v>
      </c>
      <c r="F24" s="3" t="str">
        <f t="shared" si="3"/>
        <v>no</v>
      </c>
      <c r="G24" s="3" t="str">
        <f t="shared" si="4"/>
        <v>ok</v>
      </c>
    </row>
    <row r="25" spans="1:7" x14ac:dyDescent="0.25">
      <c r="A25" s="2">
        <v>23</v>
      </c>
      <c r="B25" s="2">
        <v>-1</v>
      </c>
      <c r="C25" s="3">
        <f t="shared" si="0"/>
        <v>1</v>
      </c>
      <c r="D25" s="3">
        <f t="shared" si="1"/>
        <v>1</v>
      </c>
      <c r="E25" s="3" t="str">
        <f t="shared" si="2"/>
        <v>same</v>
      </c>
      <c r="F25" s="3" t="str">
        <f t="shared" si="3"/>
        <v>no</v>
      </c>
      <c r="G25" s="3" t="str">
        <f t="shared" si="4"/>
        <v>ok</v>
      </c>
    </row>
    <row r="26" spans="1:7" x14ac:dyDescent="0.25">
      <c r="A26" s="2">
        <v>24</v>
      </c>
      <c r="B26" s="2">
        <v>8</v>
      </c>
      <c r="C26" s="3">
        <f t="shared" si="0"/>
        <v>0</v>
      </c>
      <c r="D26" s="3">
        <f t="shared" si="1"/>
        <v>0</v>
      </c>
      <c r="E26" s="3" t="str">
        <f t="shared" si="2"/>
        <v>same</v>
      </c>
      <c r="F26" s="3" t="str">
        <f t="shared" si="3"/>
        <v>no</v>
      </c>
      <c r="G26" s="3" t="str">
        <f t="shared" si="4"/>
        <v>ok</v>
      </c>
    </row>
    <row r="27" spans="1:7" x14ac:dyDescent="0.25">
      <c r="A27" s="2">
        <v>25</v>
      </c>
      <c r="B27" s="2">
        <v>2</v>
      </c>
      <c r="C27" s="3">
        <f t="shared" si="0"/>
        <v>0</v>
      </c>
      <c r="D27" s="3">
        <f t="shared" si="1"/>
        <v>1</v>
      </c>
      <c r="E27" s="3" t="str">
        <f t="shared" si="2"/>
        <v>diff</v>
      </c>
      <c r="F27" s="3" t="str">
        <f t="shared" si="3"/>
        <v>YES</v>
      </c>
      <c r="G27" s="3" t="str">
        <f t="shared" si="4"/>
        <v>ok</v>
      </c>
    </row>
    <row r="28" spans="1:7" x14ac:dyDescent="0.25">
      <c r="A28" s="2">
        <v>26</v>
      </c>
      <c r="B28" s="2">
        <v>10</v>
      </c>
      <c r="C28" s="3">
        <f t="shared" si="0"/>
        <v>0</v>
      </c>
      <c r="D28" s="3">
        <f t="shared" si="1"/>
        <v>0</v>
      </c>
      <c r="E28" s="3" t="str">
        <f t="shared" si="2"/>
        <v>same</v>
      </c>
      <c r="F28" s="3" t="str">
        <f t="shared" si="3"/>
        <v>no</v>
      </c>
      <c r="G28" s="3" t="str">
        <f t="shared" si="4"/>
        <v>ok</v>
      </c>
    </row>
    <row r="29" spans="1:7" x14ac:dyDescent="0.25">
      <c r="A29" s="2">
        <v>27</v>
      </c>
      <c r="B29" s="2">
        <v>5</v>
      </c>
      <c r="C29" s="3">
        <f t="shared" si="0"/>
        <v>1</v>
      </c>
      <c r="D29" s="3">
        <f t="shared" si="1"/>
        <v>1</v>
      </c>
      <c r="E29" s="3" t="str">
        <f t="shared" si="2"/>
        <v>same</v>
      </c>
      <c r="F29" s="3" t="str">
        <f t="shared" si="3"/>
        <v>no</v>
      </c>
      <c r="G29" s="3" t="str">
        <f t="shared" si="4"/>
        <v>ok</v>
      </c>
    </row>
    <row r="30" spans="1:7" x14ac:dyDescent="0.25">
      <c r="A30" s="2">
        <v>28</v>
      </c>
      <c r="B30" s="2">
        <v>10</v>
      </c>
      <c r="C30" s="3">
        <f t="shared" si="0"/>
        <v>0</v>
      </c>
      <c r="D30" s="3">
        <f t="shared" si="1"/>
        <v>0</v>
      </c>
      <c r="E30" s="3" t="str">
        <f t="shared" si="2"/>
        <v>same</v>
      </c>
      <c r="F30" s="3" t="str">
        <f t="shared" si="3"/>
        <v>no</v>
      </c>
      <c r="G30" s="3" t="str">
        <f t="shared" si="4"/>
        <v>ok</v>
      </c>
    </row>
    <row r="31" spans="1:7" x14ac:dyDescent="0.25">
      <c r="A31" s="2">
        <v>29</v>
      </c>
      <c r="B31" s="2">
        <v>-1</v>
      </c>
      <c r="C31" s="3">
        <f t="shared" si="0"/>
        <v>1</v>
      </c>
      <c r="D31" s="3">
        <f t="shared" si="1"/>
        <v>1</v>
      </c>
      <c r="E31" s="3" t="str">
        <f t="shared" si="2"/>
        <v>same</v>
      </c>
      <c r="F31" s="3" t="str">
        <f t="shared" si="3"/>
        <v>no</v>
      </c>
      <c r="G31" s="3" t="str">
        <f t="shared" si="4"/>
        <v>ok</v>
      </c>
    </row>
    <row r="32" spans="1:7" x14ac:dyDescent="0.25">
      <c r="A32" s="2">
        <v>30</v>
      </c>
      <c r="B32" s="2">
        <v>14</v>
      </c>
      <c r="C32" s="3">
        <f t="shared" si="0"/>
        <v>0</v>
      </c>
      <c r="D32" s="3">
        <f t="shared" si="1"/>
        <v>0</v>
      </c>
      <c r="E32" s="3" t="str">
        <f t="shared" si="2"/>
        <v>same</v>
      </c>
      <c r="F32" s="3" t="str">
        <f t="shared" si="3"/>
        <v>no</v>
      </c>
      <c r="G32" s="3" t="str">
        <f t="shared" si="4"/>
        <v>ok</v>
      </c>
    </row>
    <row r="33" spans="1:7" x14ac:dyDescent="0.25">
      <c r="A33" s="2">
        <v>31</v>
      </c>
      <c r="B33" s="2">
        <v>-1</v>
      </c>
      <c r="C33" s="3">
        <f t="shared" si="0"/>
        <v>1</v>
      </c>
      <c r="D33" s="3">
        <f t="shared" si="1"/>
        <v>1</v>
      </c>
      <c r="E33" s="3" t="str">
        <f t="shared" si="2"/>
        <v>same</v>
      </c>
      <c r="F33" s="3" t="str">
        <f t="shared" si="3"/>
        <v>no</v>
      </c>
      <c r="G33" s="3" t="str">
        <f t="shared" si="4"/>
        <v>ok</v>
      </c>
    </row>
    <row r="34" spans="1:7" x14ac:dyDescent="0.25">
      <c r="A34" s="2">
        <v>32</v>
      </c>
      <c r="B34" s="2">
        <v>10</v>
      </c>
      <c r="C34" s="3">
        <f t="shared" si="0"/>
        <v>0</v>
      </c>
      <c r="D34" s="3">
        <f t="shared" si="1"/>
        <v>0</v>
      </c>
      <c r="E34" s="3" t="str">
        <f t="shared" si="2"/>
        <v>same</v>
      </c>
      <c r="F34" s="3" t="str">
        <f t="shared" si="3"/>
        <v>no</v>
      </c>
      <c r="G34" s="3" t="str">
        <f t="shared" si="4"/>
        <v>ok</v>
      </c>
    </row>
    <row r="35" spans="1:7" x14ac:dyDescent="0.25">
      <c r="A35" s="2">
        <v>33</v>
      </c>
      <c r="B35" s="2">
        <v>9</v>
      </c>
      <c r="C35" s="3">
        <f t="shared" si="0"/>
        <v>1</v>
      </c>
      <c r="D35" s="3">
        <f t="shared" si="1"/>
        <v>1</v>
      </c>
      <c r="E35" s="3" t="str">
        <f t="shared" si="2"/>
        <v>same</v>
      </c>
      <c r="F35" s="3" t="str">
        <f t="shared" si="3"/>
        <v>no</v>
      </c>
      <c r="G35" s="3" t="str">
        <f t="shared" si="4"/>
        <v>ok</v>
      </c>
    </row>
    <row r="36" spans="1:7" x14ac:dyDescent="0.25">
      <c r="A36" s="2">
        <v>34</v>
      </c>
      <c r="B36" s="2">
        <v>14</v>
      </c>
      <c r="C36" s="3">
        <f t="shared" si="0"/>
        <v>0</v>
      </c>
      <c r="D36" s="3">
        <f t="shared" si="1"/>
        <v>0</v>
      </c>
      <c r="E36" s="3" t="str">
        <f t="shared" si="2"/>
        <v>same</v>
      </c>
      <c r="F36" s="3" t="str">
        <f t="shared" si="3"/>
        <v>no</v>
      </c>
      <c r="G36" s="3" t="str">
        <f t="shared" si="4"/>
        <v>ok</v>
      </c>
    </row>
    <row r="37" spans="1:7" x14ac:dyDescent="0.25">
      <c r="A37" s="2">
        <v>35</v>
      </c>
      <c r="B37" s="2">
        <v>7</v>
      </c>
      <c r="C37" s="3">
        <f t="shared" si="0"/>
        <v>1</v>
      </c>
      <c r="D37" s="3">
        <f t="shared" si="1"/>
        <v>1</v>
      </c>
      <c r="E37" s="3" t="str">
        <f t="shared" si="2"/>
        <v>same</v>
      </c>
      <c r="F37" s="3" t="str">
        <f t="shared" si="3"/>
        <v>no</v>
      </c>
      <c r="G37" s="3" t="str">
        <f t="shared" si="4"/>
        <v>ok</v>
      </c>
    </row>
    <row r="38" spans="1:7" x14ac:dyDescent="0.25">
      <c r="A38" s="2">
        <v>36</v>
      </c>
      <c r="B38" s="2">
        <v>15</v>
      </c>
      <c r="C38" s="3">
        <f t="shared" si="0"/>
        <v>1</v>
      </c>
      <c r="D38" s="3">
        <f t="shared" si="1"/>
        <v>0</v>
      </c>
      <c r="E38" s="3" t="str">
        <f t="shared" si="2"/>
        <v>diff</v>
      </c>
      <c r="F38" s="3" t="str">
        <f t="shared" si="3"/>
        <v>YES</v>
      </c>
      <c r="G38" s="3" t="str">
        <f t="shared" si="4"/>
        <v>ok</v>
      </c>
    </row>
    <row r="39" spans="1:7" x14ac:dyDescent="0.25">
      <c r="A39" s="2">
        <v>37</v>
      </c>
      <c r="B39" s="2">
        <v>-1</v>
      </c>
      <c r="C39" s="3">
        <f t="shared" si="0"/>
        <v>1</v>
      </c>
      <c r="D39" s="3">
        <f t="shared" si="1"/>
        <v>1</v>
      </c>
      <c r="E39" s="3" t="str">
        <f t="shared" si="2"/>
        <v>same</v>
      </c>
      <c r="F39" s="3" t="str">
        <f t="shared" si="3"/>
        <v>no</v>
      </c>
      <c r="G39" s="3" t="str">
        <f t="shared" si="4"/>
        <v>ok</v>
      </c>
    </row>
    <row r="40" spans="1:7" x14ac:dyDescent="0.25">
      <c r="A40" s="2">
        <v>38</v>
      </c>
      <c r="B40" s="2">
        <v>16</v>
      </c>
      <c r="C40" s="3">
        <f t="shared" si="0"/>
        <v>0</v>
      </c>
      <c r="D40" s="3">
        <f t="shared" si="1"/>
        <v>0</v>
      </c>
      <c r="E40" s="3" t="str">
        <f t="shared" si="2"/>
        <v>same</v>
      </c>
      <c r="F40" s="3" t="str">
        <f t="shared" si="3"/>
        <v>no</v>
      </c>
      <c r="G40" s="3" t="str">
        <f t="shared" si="4"/>
        <v>ok</v>
      </c>
    </row>
    <row r="41" spans="1:7" x14ac:dyDescent="0.25">
      <c r="A41" s="2">
        <v>39</v>
      </c>
      <c r="B41" s="2">
        <v>11</v>
      </c>
      <c r="C41" s="3">
        <f t="shared" si="0"/>
        <v>1</v>
      </c>
      <c r="D41" s="3">
        <f t="shared" si="1"/>
        <v>1</v>
      </c>
      <c r="E41" s="3" t="str">
        <f t="shared" si="2"/>
        <v>same</v>
      </c>
      <c r="F41" s="3" t="str">
        <f t="shared" si="3"/>
        <v>no</v>
      </c>
      <c r="G41" s="3" t="str">
        <f t="shared" si="4"/>
        <v>ok</v>
      </c>
    </row>
    <row r="42" spans="1:7" x14ac:dyDescent="0.25">
      <c r="A42" s="2">
        <v>40</v>
      </c>
      <c r="B42" s="2">
        <v>16</v>
      </c>
      <c r="C42" s="3">
        <f t="shared" si="0"/>
        <v>0</v>
      </c>
      <c r="D42" s="3">
        <f t="shared" si="1"/>
        <v>0</v>
      </c>
      <c r="E42" s="3" t="str">
        <f t="shared" si="2"/>
        <v>same</v>
      </c>
      <c r="F42" s="3" t="str">
        <f t="shared" si="3"/>
        <v>no</v>
      </c>
      <c r="G42" s="3" t="str">
        <f t="shared" si="4"/>
        <v>ok</v>
      </c>
    </row>
    <row r="43" spans="1:7" x14ac:dyDescent="0.25">
      <c r="A43" s="2">
        <v>41</v>
      </c>
      <c r="B43" s="2">
        <v>-1</v>
      </c>
      <c r="C43" s="3">
        <f t="shared" si="0"/>
        <v>1</v>
      </c>
      <c r="D43" s="3">
        <f t="shared" si="1"/>
        <v>1</v>
      </c>
      <c r="E43" s="3" t="str">
        <f t="shared" si="2"/>
        <v>same</v>
      </c>
      <c r="F43" s="3" t="str">
        <f t="shared" si="3"/>
        <v>no</v>
      </c>
      <c r="G43" s="3" t="str">
        <f t="shared" si="4"/>
        <v>ok</v>
      </c>
    </row>
    <row r="44" spans="1:7" x14ac:dyDescent="0.25">
      <c r="A44" s="2">
        <v>42</v>
      </c>
      <c r="B44" s="2">
        <v>22</v>
      </c>
      <c r="C44" s="3">
        <f t="shared" si="0"/>
        <v>0</v>
      </c>
      <c r="D44" s="3">
        <f t="shared" si="1"/>
        <v>0</v>
      </c>
      <c r="E44" s="3" t="str">
        <f t="shared" si="2"/>
        <v>same</v>
      </c>
      <c r="F44" s="3" t="str">
        <f t="shared" si="3"/>
        <v>no</v>
      </c>
      <c r="G44" s="3" t="str">
        <f t="shared" si="4"/>
        <v>ok</v>
      </c>
    </row>
    <row r="45" spans="1:7" x14ac:dyDescent="0.25">
      <c r="A45" s="2">
        <v>43</v>
      </c>
      <c r="B45" s="2">
        <v>-1</v>
      </c>
      <c r="C45" s="3">
        <f t="shared" si="0"/>
        <v>1</v>
      </c>
      <c r="D45" s="3">
        <f t="shared" si="1"/>
        <v>1</v>
      </c>
      <c r="E45" s="3" t="str">
        <f t="shared" si="2"/>
        <v>same</v>
      </c>
      <c r="F45" s="3" t="str">
        <f t="shared" si="3"/>
        <v>no</v>
      </c>
      <c r="G45" s="3" t="str">
        <f t="shared" si="4"/>
        <v>ok</v>
      </c>
    </row>
    <row r="46" spans="1:7" x14ac:dyDescent="0.25">
      <c r="A46" s="2">
        <v>44</v>
      </c>
      <c r="B46" s="2">
        <v>18</v>
      </c>
      <c r="C46" s="3">
        <f t="shared" si="0"/>
        <v>0</v>
      </c>
      <c r="D46" s="3">
        <f t="shared" si="1"/>
        <v>0</v>
      </c>
      <c r="E46" s="3" t="str">
        <f t="shared" si="2"/>
        <v>same</v>
      </c>
      <c r="F46" s="3" t="str">
        <f t="shared" si="3"/>
        <v>no</v>
      </c>
      <c r="G46" s="3" t="str">
        <f t="shared" si="4"/>
        <v>ok</v>
      </c>
    </row>
    <row r="47" spans="1:7" x14ac:dyDescent="0.25">
      <c r="A47" s="2">
        <v>45</v>
      </c>
      <c r="B47" s="2">
        <v>15</v>
      </c>
      <c r="C47" s="3">
        <f t="shared" si="0"/>
        <v>1</v>
      </c>
      <c r="D47" s="3">
        <f t="shared" si="1"/>
        <v>1</v>
      </c>
      <c r="E47" s="3" t="str">
        <f t="shared" si="2"/>
        <v>same</v>
      </c>
      <c r="F47" s="3" t="str">
        <f t="shared" si="3"/>
        <v>no</v>
      </c>
      <c r="G47" s="3" t="str">
        <f t="shared" si="4"/>
        <v>ok</v>
      </c>
    </row>
    <row r="48" spans="1:7" x14ac:dyDescent="0.25">
      <c r="A48" s="2">
        <v>46</v>
      </c>
      <c r="B48" s="2">
        <v>20</v>
      </c>
      <c r="C48" s="3">
        <f t="shared" si="0"/>
        <v>0</v>
      </c>
      <c r="D48" s="3">
        <f t="shared" si="1"/>
        <v>0</v>
      </c>
      <c r="E48" s="3" t="str">
        <f t="shared" si="2"/>
        <v>same</v>
      </c>
      <c r="F48" s="3" t="str">
        <f t="shared" si="3"/>
        <v>no</v>
      </c>
      <c r="G48" s="3" t="str">
        <f t="shared" si="4"/>
        <v>ok</v>
      </c>
    </row>
    <row r="49" spans="1:7" x14ac:dyDescent="0.25">
      <c r="A49" s="2">
        <v>47</v>
      </c>
      <c r="B49" s="2">
        <v>-1</v>
      </c>
      <c r="C49" s="3">
        <f t="shared" si="0"/>
        <v>1</v>
      </c>
      <c r="D49" s="3">
        <f t="shared" si="1"/>
        <v>1</v>
      </c>
      <c r="E49" s="3" t="str">
        <f t="shared" si="2"/>
        <v>same</v>
      </c>
      <c r="F49" s="3" t="str">
        <f t="shared" si="3"/>
        <v>no</v>
      </c>
      <c r="G49" s="3" t="str">
        <f t="shared" si="4"/>
        <v>ok</v>
      </c>
    </row>
    <row r="50" spans="1:7" x14ac:dyDescent="0.25">
      <c r="A50" s="2">
        <v>48</v>
      </c>
      <c r="B50" s="2">
        <v>22</v>
      </c>
      <c r="C50" s="3">
        <f t="shared" si="0"/>
        <v>0</v>
      </c>
      <c r="D50" s="3">
        <f t="shared" si="1"/>
        <v>0</v>
      </c>
      <c r="E50" s="3" t="str">
        <f t="shared" si="2"/>
        <v>same</v>
      </c>
      <c r="F50" s="3" t="str">
        <f t="shared" si="3"/>
        <v>no</v>
      </c>
      <c r="G50" s="3" t="str">
        <f t="shared" si="4"/>
        <v>ok</v>
      </c>
    </row>
    <row r="51" spans="1:7" x14ac:dyDescent="0.25">
      <c r="A51" s="2">
        <v>49</v>
      </c>
      <c r="B51" s="2">
        <v>4</v>
      </c>
      <c r="C51" s="3">
        <f t="shared" si="0"/>
        <v>0</v>
      </c>
      <c r="D51" s="3">
        <f t="shared" si="1"/>
        <v>1</v>
      </c>
      <c r="E51" s="3" t="str">
        <f t="shared" si="2"/>
        <v>diff</v>
      </c>
      <c r="F51" s="3" t="str">
        <f t="shared" si="3"/>
        <v>YES</v>
      </c>
      <c r="G51" s="3" t="str">
        <f t="shared" si="4"/>
        <v>ok</v>
      </c>
    </row>
    <row r="52" spans="1:7" x14ac:dyDescent="0.25">
      <c r="A52" s="2">
        <v>50</v>
      </c>
      <c r="B52" s="2">
        <v>24</v>
      </c>
      <c r="C52" s="3">
        <f t="shared" si="0"/>
        <v>0</v>
      </c>
      <c r="D52" s="3">
        <f t="shared" si="1"/>
        <v>0</v>
      </c>
      <c r="E52" s="3" t="str">
        <f t="shared" si="2"/>
        <v>same</v>
      </c>
      <c r="F52" s="3" t="str">
        <f t="shared" si="3"/>
        <v>no</v>
      </c>
      <c r="G52" s="3" t="str">
        <f t="shared" si="4"/>
        <v>ok</v>
      </c>
    </row>
    <row r="53" spans="1:7" x14ac:dyDescent="0.25">
      <c r="A53" s="2">
        <v>51</v>
      </c>
      <c r="B53" s="2">
        <v>15</v>
      </c>
      <c r="C53" s="3">
        <f t="shared" si="0"/>
        <v>1</v>
      </c>
      <c r="D53" s="3">
        <f t="shared" si="1"/>
        <v>1</v>
      </c>
      <c r="E53" s="3" t="str">
        <f t="shared" si="2"/>
        <v>same</v>
      </c>
      <c r="F53" s="3" t="str">
        <f t="shared" si="3"/>
        <v>no</v>
      </c>
      <c r="G53" s="3" t="str">
        <f t="shared" si="4"/>
        <v>ok</v>
      </c>
    </row>
    <row r="54" spans="1:7" x14ac:dyDescent="0.25">
      <c r="A54" s="2">
        <v>52</v>
      </c>
      <c r="B54" s="2">
        <v>22</v>
      </c>
      <c r="C54" s="3">
        <f t="shared" si="0"/>
        <v>0</v>
      </c>
      <c r="D54" s="3">
        <f t="shared" si="1"/>
        <v>0</v>
      </c>
      <c r="E54" s="3" t="str">
        <f t="shared" si="2"/>
        <v>same</v>
      </c>
      <c r="F54" s="3" t="str">
        <f t="shared" si="3"/>
        <v>no</v>
      </c>
      <c r="G54" s="3" t="str">
        <f t="shared" si="4"/>
        <v>ok</v>
      </c>
    </row>
    <row r="55" spans="1:7" x14ac:dyDescent="0.25">
      <c r="A55" s="2">
        <v>53</v>
      </c>
      <c r="B55" s="2">
        <v>-1</v>
      </c>
      <c r="C55" s="3">
        <f t="shared" si="0"/>
        <v>1</v>
      </c>
      <c r="D55" s="3">
        <f t="shared" si="1"/>
        <v>1</v>
      </c>
      <c r="E55" s="3" t="str">
        <f t="shared" si="2"/>
        <v>same</v>
      </c>
      <c r="F55" s="3" t="str">
        <f t="shared" si="3"/>
        <v>no</v>
      </c>
      <c r="G55" s="3" t="str">
        <f t="shared" si="4"/>
        <v>ok</v>
      </c>
    </row>
    <row r="56" spans="1:7" x14ac:dyDescent="0.25">
      <c r="A56" s="2">
        <v>54</v>
      </c>
      <c r="B56" s="2">
        <v>28</v>
      </c>
      <c r="C56" s="3">
        <f t="shared" si="0"/>
        <v>0</v>
      </c>
      <c r="D56" s="3">
        <f t="shared" si="1"/>
        <v>0</v>
      </c>
      <c r="E56" s="3" t="str">
        <f t="shared" si="2"/>
        <v>same</v>
      </c>
      <c r="F56" s="3" t="str">
        <f t="shared" si="3"/>
        <v>no</v>
      </c>
      <c r="G56" s="3" t="str">
        <f t="shared" si="4"/>
        <v>ok</v>
      </c>
    </row>
    <row r="57" spans="1:7" x14ac:dyDescent="0.25">
      <c r="A57" s="2">
        <v>55</v>
      </c>
      <c r="B57" s="2">
        <v>11</v>
      </c>
      <c r="C57" s="3">
        <f t="shared" si="0"/>
        <v>1</v>
      </c>
      <c r="D57" s="3">
        <f t="shared" si="1"/>
        <v>1</v>
      </c>
      <c r="E57" s="3" t="str">
        <f t="shared" si="2"/>
        <v>same</v>
      </c>
      <c r="F57" s="3" t="str">
        <f t="shared" si="3"/>
        <v>no</v>
      </c>
      <c r="G57" s="3" t="str">
        <f t="shared" si="4"/>
        <v>ok</v>
      </c>
    </row>
    <row r="58" spans="1:7" x14ac:dyDescent="0.25">
      <c r="A58" s="2">
        <v>56</v>
      </c>
      <c r="B58" s="2">
        <v>24</v>
      </c>
      <c r="C58" s="3">
        <f t="shared" si="0"/>
        <v>0</v>
      </c>
      <c r="D58" s="3">
        <f t="shared" si="1"/>
        <v>0</v>
      </c>
      <c r="E58" s="3" t="str">
        <f t="shared" si="2"/>
        <v>same</v>
      </c>
      <c r="F58" s="3" t="str">
        <f t="shared" si="3"/>
        <v>no</v>
      </c>
      <c r="G58" s="3" t="str">
        <f t="shared" si="4"/>
        <v>ok</v>
      </c>
    </row>
    <row r="59" spans="1:7" x14ac:dyDescent="0.25">
      <c r="A59" s="2">
        <v>57</v>
      </c>
      <c r="B59" s="2">
        <v>17</v>
      </c>
      <c r="C59" s="3">
        <f t="shared" si="0"/>
        <v>1</v>
      </c>
      <c r="D59" s="3">
        <f t="shared" si="1"/>
        <v>1</v>
      </c>
      <c r="E59" s="3" t="str">
        <f t="shared" si="2"/>
        <v>same</v>
      </c>
      <c r="F59" s="3" t="str">
        <f t="shared" si="3"/>
        <v>no</v>
      </c>
      <c r="G59" s="3" t="str">
        <f t="shared" si="4"/>
        <v>ok</v>
      </c>
    </row>
    <row r="60" spans="1:7" x14ac:dyDescent="0.25">
      <c r="A60" s="2">
        <v>58</v>
      </c>
      <c r="B60" s="2">
        <v>26</v>
      </c>
      <c r="C60" s="3">
        <f t="shared" si="0"/>
        <v>0</v>
      </c>
      <c r="D60" s="3">
        <f t="shared" si="1"/>
        <v>0</v>
      </c>
      <c r="E60" s="3" t="str">
        <f t="shared" si="2"/>
        <v>same</v>
      </c>
      <c r="F60" s="3" t="str">
        <f t="shared" si="3"/>
        <v>no</v>
      </c>
      <c r="G60" s="3" t="str">
        <f t="shared" si="4"/>
        <v>ok</v>
      </c>
    </row>
    <row r="61" spans="1:7" x14ac:dyDescent="0.25">
      <c r="A61" s="2">
        <v>59</v>
      </c>
      <c r="B61" s="2">
        <v>-1</v>
      </c>
      <c r="C61" s="3">
        <f t="shared" si="0"/>
        <v>1</v>
      </c>
      <c r="D61" s="3">
        <f t="shared" si="1"/>
        <v>1</v>
      </c>
      <c r="E61" s="3" t="str">
        <f t="shared" si="2"/>
        <v>same</v>
      </c>
      <c r="F61" s="3" t="str">
        <f t="shared" si="3"/>
        <v>no</v>
      </c>
      <c r="G61" s="3" t="str">
        <f t="shared" si="4"/>
        <v>ok</v>
      </c>
    </row>
    <row r="62" spans="1:7" x14ac:dyDescent="0.25">
      <c r="A62" s="2">
        <v>60</v>
      </c>
      <c r="B62" s="2">
        <v>32</v>
      </c>
      <c r="C62" s="3">
        <f t="shared" si="0"/>
        <v>0</v>
      </c>
      <c r="D62" s="3">
        <f t="shared" si="1"/>
        <v>0</v>
      </c>
      <c r="E62" s="3" t="str">
        <f t="shared" si="2"/>
        <v>same</v>
      </c>
      <c r="F62" s="3" t="str">
        <f t="shared" si="3"/>
        <v>no</v>
      </c>
      <c r="G62" s="3" t="str">
        <f t="shared" si="4"/>
        <v>ok</v>
      </c>
    </row>
    <row r="63" spans="1:7" x14ac:dyDescent="0.25">
      <c r="A63" s="2">
        <v>61</v>
      </c>
      <c r="B63" s="2">
        <v>-1</v>
      </c>
      <c r="C63" s="3">
        <f t="shared" si="0"/>
        <v>1</v>
      </c>
      <c r="D63" s="3">
        <f t="shared" si="1"/>
        <v>1</v>
      </c>
      <c r="E63" s="3" t="str">
        <f t="shared" si="2"/>
        <v>same</v>
      </c>
      <c r="F63" s="3" t="str">
        <f t="shared" si="3"/>
        <v>no</v>
      </c>
      <c r="G63" s="3" t="str">
        <f t="shared" si="4"/>
        <v>ok</v>
      </c>
    </row>
    <row r="64" spans="1:7" x14ac:dyDescent="0.25">
      <c r="A64" s="2">
        <v>62</v>
      </c>
      <c r="B64" s="2">
        <v>28</v>
      </c>
      <c r="C64" s="3">
        <f t="shared" si="0"/>
        <v>0</v>
      </c>
      <c r="D64" s="3">
        <f t="shared" si="1"/>
        <v>0</v>
      </c>
      <c r="E64" s="3" t="str">
        <f t="shared" si="2"/>
        <v>same</v>
      </c>
      <c r="F64" s="3" t="str">
        <f t="shared" si="3"/>
        <v>no</v>
      </c>
      <c r="G64" s="3" t="str">
        <f t="shared" si="4"/>
        <v>ok</v>
      </c>
    </row>
    <row r="65" spans="1:7" x14ac:dyDescent="0.25">
      <c r="A65" s="2">
        <v>63</v>
      </c>
      <c r="B65" s="2">
        <v>21</v>
      </c>
      <c r="C65" s="3">
        <f t="shared" si="0"/>
        <v>1</v>
      </c>
      <c r="D65" s="3">
        <f t="shared" si="1"/>
        <v>1</v>
      </c>
      <c r="E65" s="3" t="str">
        <f t="shared" si="2"/>
        <v>same</v>
      </c>
      <c r="F65" s="3" t="str">
        <f t="shared" si="3"/>
        <v>no</v>
      </c>
      <c r="G65" s="3" t="str">
        <f t="shared" si="4"/>
        <v>ok</v>
      </c>
    </row>
    <row r="66" spans="1:7" x14ac:dyDescent="0.25">
      <c r="A66" s="2">
        <v>64</v>
      </c>
      <c r="B66" s="2">
        <v>25</v>
      </c>
      <c r="C66" s="3">
        <f t="shared" si="0"/>
        <v>1</v>
      </c>
      <c r="D66" s="3">
        <f t="shared" si="1"/>
        <v>0</v>
      </c>
      <c r="E66" s="3" t="str">
        <f t="shared" si="2"/>
        <v>diff</v>
      </c>
      <c r="F66" s="3" t="str">
        <f t="shared" si="3"/>
        <v>YES</v>
      </c>
      <c r="G66" s="3" t="str">
        <f t="shared" si="4"/>
        <v>ok</v>
      </c>
    </row>
    <row r="67" spans="1:7" x14ac:dyDescent="0.25">
      <c r="A67" s="2">
        <v>65</v>
      </c>
      <c r="B67" s="2">
        <v>13</v>
      </c>
      <c r="C67" s="3">
        <f t="shared" si="0"/>
        <v>1</v>
      </c>
      <c r="D67" s="3">
        <f t="shared" si="1"/>
        <v>1</v>
      </c>
      <c r="E67" s="3" t="str">
        <f t="shared" si="2"/>
        <v>same</v>
      </c>
      <c r="F67" s="3" t="str">
        <f t="shared" si="3"/>
        <v>no</v>
      </c>
      <c r="G67" s="3" t="str">
        <f t="shared" si="4"/>
        <v>ok</v>
      </c>
    </row>
    <row r="68" spans="1:7" x14ac:dyDescent="0.25">
      <c r="A68" s="2">
        <v>66</v>
      </c>
      <c r="B68" s="2">
        <v>38</v>
      </c>
      <c r="C68" s="3">
        <f t="shared" si="0"/>
        <v>0</v>
      </c>
      <c r="D68" s="3">
        <f t="shared" si="1"/>
        <v>0</v>
      </c>
      <c r="E68" s="3" t="str">
        <f t="shared" si="2"/>
        <v>same</v>
      </c>
      <c r="F68" s="3" t="str">
        <f t="shared" si="3"/>
        <v>no</v>
      </c>
      <c r="G68" s="3" t="str">
        <f t="shared" si="4"/>
        <v>ok</v>
      </c>
    </row>
    <row r="69" spans="1:7" x14ac:dyDescent="0.25">
      <c r="A69" s="2">
        <v>67</v>
      </c>
      <c r="B69" s="2">
        <v>-1</v>
      </c>
      <c r="C69" s="3">
        <f t="shared" ref="C69:C132" si="5">MOD(B69,2)</f>
        <v>1</v>
      </c>
      <c r="D69" s="3">
        <f t="shared" ref="D69:D132" si="6">MOD(A69,2)</f>
        <v>1</v>
      </c>
      <c r="E69" s="3" t="str">
        <f t="shared" ref="E69:E132" si="7">IF(C69=D69,"same","diff")</f>
        <v>same</v>
      </c>
      <c r="F69" s="3" t="str">
        <f t="shared" ref="F69:F132" si="8">IF(SQRT(A69)=INT(SQRT(A69)),"YES","no")</f>
        <v>no</v>
      </c>
      <c r="G69" s="3" t="str">
        <f t="shared" ref="G69:G132" si="9">IF(AND(E69="same",F69="no"),"ok",IF(AND(E69="diff",F69="YES"),"ok","FAIL"))</f>
        <v>ok</v>
      </c>
    </row>
    <row r="70" spans="1:7" x14ac:dyDescent="0.25">
      <c r="A70" s="2">
        <v>68</v>
      </c>
      <c r="B70" s="2">
        <v>30</v>
      </c>
      <c r="C70" s="3">
        <f t="shared" si="5"/>
        <v>0</v>
      </c>
      <c r="D70" s="3">
        <f t="shared" si="6"/>
        <v>0</v>
      </c>
      <c r="E70" s="3" t="str">
        <f t="shared" si="7"/>
        <v>same</v>
      </c>
      <c r="F70" s="3" t="str">
        <f t="shared" si="8"/>
        <v>no</v>
      </c>
      <c r="G70" s="3" t="str">
        <f t="shared" si="9"/>
        <v>ok</v>
      </c>
    </row>
    <row r="71" spans="1:7" x14ac:dyDescent="0.25">
      <c r="A71" s="2">
        <v>69</v>
      </c>
      <c r="B71" s="2">
        <v>21</v>
      </c>
      <c r="C71" s="3">
        <f t="shared" si="5"/>
        <v>1</v>
      </c>
      <c r="D71" s="3">
        <f t="shared" si="6"/>
        <v>1</v>
      </c>
      <c r="E71" s="3" t="str">
        <f t="shared" si="7"/>
        <v>same</v>
      </c>
      <c r="F71" s="3" t="str">
        <f t="shared" si="8"/>
        <v>no</v>
      </c>
      <c r="G71" s="3" t="str">
        <f t="shared" si="9"/>
        <v>ok</v>
      </c>
    </row>
    <row r="72" spans="1:7" x14ac:dyDescent="0.25">
      <c r="A72" s="2">
        <v>70</v>
      </c>
      <c r="B72" s="2">
        <v>38</v>
      </c>
      <c r="C72" s="3">
        <f t="shared" si="5"/>
        <v>0</v>
      </c>
      <c r="D72" s="3">
        <f t="shared" si="6"/>
        <v>0</v>
      </c>
      <c r="E72" s="3" t="str">
        <f t="shared" si="7"/>
        <v>same</v>
      </c>
      <c r="F72" s="3" t="str">
        <f t="shared" si="8"/>
        <v>no</v>
      </c>
      <c r="G72" s="3" t="str">
        <f t="shared" si="9"/>
        <v>ok</v>
      </c>
    </row>
    <row r="73" spans="1:7" x14ac:dyDescent="0.25">
      <c r="A73" s="2">
        <v>71</v>
      </c>
      <c r="B73" s="2">
        <v>-1</v>
      </c>
      <c r="C73" s="3">
        <f t="shared" si="5"/>
        <v>1</v>
      </c>
      <c r="D73" s="3">
        <f t="shared" si="6"/>
        <v>1</v>
      </c>
      <c r="E73" s="3" t="str">
        <f t="shared" si="7"/>
        <v>same</v>
      </c>
      <c r="F73" s="3" t="str">
        <f t="shared" si="8"/>
        <v>no</v>
      </c>
      <c r="G73" s="3" t="str">
        <f t="shared" si="9"/>
        <v>ok</v>
      </c>
    </row>
    <row r="74" spans="1:7" x14ac:dyDescent="0.25">
      <c r="A74" s="2">
        <v>72</v>
      </c>
      <c r="B74" s="2">
        <v>36</v>
      </c>
      <c r="C74" s="3">
        <f t="shared" si="5"/>
        <v>0</v>
      </c>
      <c r="D74" s="3">
        <f t="shared" si="6"/>
        <v>0</v>
      </c>
      <c r="E74" s="3" t="str">
        <f t="shared" si="7"/>
        <v>same</v>
      </c>
      <c r="F74" s="3" t="str">
        <f t="shared" si="8"/>
        <v>no</v>
      </c>
      <c r="G74" s="3" t="str">
        <f t="shared" si="9"/>
        <v>ok</v>
      </c>
    </row>
    <row r="75" spans="1:7" x14ac:dyDescent="0.25">
      <c r="A75" s="2">
        <v>73</v>
      </c>
      <c r="B75" s="2">
        <v>-1</v>
      </c>
      <c r="C75" s="3">
        <f t="shared" si="5"/>
        <v>1</v>
      </c>
      <c r="D75" s="3">
        <f t="shared" si="6"/>
        <v>1</v>
      </c>
      <c r="E75" s="3" t="str">
        <f t="shared" si="7"/>
        <v>same</v>
      </c>
      <c r="F75" s="3" t="str">
        <f t="shared" si="8"/>
        <v>no</v>
      </c>
      <c r="G75" s="3" t="str">
        <f t="shared" si="9"/>
        <v>ok</v>
      </c>
    </row>
    <row r="76" spans="1:7" x14ac:dyDescent="0.25">
      <c r="A76" s="2">
        <v>74</v>
      </c>
      <c r="B76" s="2">
        <v>34</v>
      </c>
      <c r="C76" s="3">
        <f t="shared" si="5"/>
        <v>0</v>
      </c>
      <c r="D76" s="3">
        <f t="shared" si="6"/>
        <v>0</v>
      </c>
      <c r="E76" s="3" t="str">
        <f t="shared" si="7"/>
        <v>same</v>
      </c>
      <c r="F76" s="3" t="str">
        <f t="shared" si="8"/>
        <v>no</v>
      </c>
      <c r="G76" s="3" t="str">
        <f t="shared" si="9"/>
        <v>ok</v>
      </c>
    </row>
    <row r="77" spans="1:7" x14ac:dyDescent="0.25">
      <c r="A77" s="2">
        <v>75</v>
      </c>
      <c r="B77" s="2">
        <v>29</v>
      </c>
      <c r="C77" s="3">
        <f t="shared" si="5"/>
        <v>1</v>
      </c>
      <c r="D77" s="3">
        <f t="shared" si="6"/>
        <v>1</v>
      </c>
      <c r="E77" s="3" t="str">
        <f t="shared" si="7"/>
        <v>same</v>
      </c>
      <c r="F77" s="3" t="str">
        <f t="shared" si="8"/>
        <v>no</v>
      </c>
      <c r="G77" s="3" t="str">
        <f t="shared" si="9"/>
        <v>ok</v>
      </c>
    </row>
    <row r="78" spans="1:7" x14ac:dyDescent="0.25">
      <c r="A78" s="2">
        <v>76</v>
      </c>
      <c r="B78" s="2">
        <v>34</v>
      </c>
      <c r="C78" s="3">
        <f t="shared" si="5"/>
        <v>0</v>
      </c>
      <c r="D78" s="3">
        <f t="shared" si="6"/>
        <v>0</v>
      </c>
      <c r="E78" s="3" t="str">
        <f t="shared" si="7"/>
        <v>same</v>
      </c>
      <c r="F78" s="3" t="str">
        <f t="shared" si="8"/>
        <v>no</v>
      </c>
      <c r="G78" s="3" t="str">
        <f t="shared" si="9"/>
        <v>ok</v>
      </c>
    </row>
    <row r="79" spans="1:7" x14ac:dyDescent="0.25">
      <c r="A79" s="2">
        <v>77</v>
      </c>
      <c r="B79" s="2">
        <v>13</v>
      </c>
      <c r="C79" s="3">
        <f t="shared" si="5"/>
        <v>1</v>
      </c>
      <c r="D79" s="3">
        <f t="shared" si="6"/>
        <v>1</v>
      </c>
      <c r="E79" s="3" t="str">
        <f t="shared" si="7"/>
        <v>same</v>
      </c>
      <c r="F79" s="3" t="str">
        <f t="shared" si="8"/>
        <v>no</v>
      </c>
      <c r="G79" s="3" t="str">
        <f t="shared" si="9"/>
        <v>ok</v>
      </c>
    </row>
    <row r="80" spans="1:7" x14ac:dyDescent="0.25">
      <c r="A80" s="2">
        <v>78</v>
      </c>
      <c r="B80" s="2">
        <v>46</v>
      </c>
      <c r="C80" s="3">
        <f t="shared" si="5"/>
        <v>0</v>
      </c>
      <c r="D80" s="3">
        <f t="shared" si="6"/>
        <v>0</v>
      </c>
      <c r="E80" s="3" t="str">
        <f t="shared" si="7"/>
        <v>same</v>
      </c>
      <c r="F80" s="3" t="str">
        <f t="shared" si="8"/>
        <v>no</v>
      </c>
      <c r="G80" s="3" t="str">
        <f t="shared" si="9"/>
        <v>ok</v>
      </c>
    </row>
    <row r="81" spans="1:7" x14ac:dyDescent="0.25">
      <c r="A81" s="2">
        <v>79</v>
      </c>
      <c r="B81" s="2">
        <v>-1</v>
      </c>
      <c r="C81" s="3">
        <f t="shared" si="5"/>
        <v>1</v>
      </c>
      <c r="D81" s="3">
        <f t="shared" si="6"/>
        <v>1</v>
      </c>
      <c r="E81" s="3" t="str">
        <f t="shared" si="7"/>
        <v>same</v>
      </c>
      <c r="F81" s="3" t="str">
        <f t="shared" si="8"/>
        <v>no</v>
      </c>
      <c r="G81" s="3" t="str">
        <f t="shared" si="9"/>
        <v>ok</v>
      </c>
    </row>
    <row r="82" spans="1:7" x14ac:dyDescent="0.25">
      <c r="A82" s="2">
        <v>80</v>
      </c>
      <c r="B82" s="2">
        <v>38</v>
      </c>
      <c r="C82" s="3">
        <f t="shared" si="5"/>
        <v>0</v>
      </c>
      <c r="D82" s="3">
        <f t="shared" si="6"/>
        <v>0</v>
      </c>
      <c r="E82" s="3" t="str">
        <f t="shared" si="7"/>
        <v>same</v>
      </c>
      <c r="F82" s="3" t="str">
        <f t="shared" si="8"/>
        <v>no</v>
      </c>
      <c r="G82" s="3" t="str">
        <f t="shared" si="9"/>
        <v>ok</v>
      </c>
    </row>
    <row r="83" spans="1:7" x14ac:dyDescent="0.25">
      <c r="A83" s="2">
        <v>81</v>
      </c>
      <c r="B83" s="2">
        <v>22</v>
      </c>
      <c r="C83" s="3">
        <f t="shared" si="5"/>
        <v>0</v>
      </c>
      <c r="D83" s="3">
        <f t="shared" si="6"/>
        <v>1</v>
      </c>
      <c r="E83" s="3" t="str">
        <f t="shared" si="7"/>
        <v>diff</v>
      </c>
      <c r="F83" s="3" t="str">
        <f t="shared" si="8"/>
        <v>YES</v>
      </c>
      <c r="G83" s="3" t="str">
        <f t="shared" si="9"/>
        <v>ok</v>
      </c>
    </row>
    <row r="84" spans="1:7" x14ac:dyDescent="0.25">
      <c r="A84" s="2">
        <v>82</v>
      </c>
      <c r="B84" s="2">
        <v>38</v>
      </c>
      <c r="C84" s="3">
        <f t="shared" si="5"/>
        <v>0</v>
      </c>
      <c r="D84" s="3">
        <f t="shared" si="6"/>
        <v>0</v>
      </c>
      <c r="E84" s="3" t="str">
        <f t="shared" si="7"/>
        <v>same</v>
      </c>
      <c r="F84" s="3" t="str">
        <f t="shared" si="8"/>
        <v>no</v>
      </c>
      <c r="G84" s="3" t="str">
        <f t="shared" si="9"/>
        <v>ok</v>
      </c>
    </row>
    <row r="85" spans="1:7" x14ac:dyDescent="0.25">
      <c r="A85" s="2">
        <v>83</v>
      </c>
      <c r="B85" s="2">
        <v>-1</v>
      </c>
      <c r="C85" s="3">
        <f t="shared" si="5"/>
        <v>1</v>
      </c>
      <c r="D85" s="3">
        <f t="shared" si="6"/>
        <v>1</v>
      </c>
      <c r="E85" s="3" t="str">
        <f t="shared" si="7"/>
        <v>same</v>
      </c>
      <c r="F85" s="3" t="str">
        <f t="shared" si="8"/>
        <v>no</v>
      </c>
      <c r="G85" s="3" t="str">
        <f t="shared" si="9"/>
        <v>ok</v>
      </c>
    </row>
    <row r="86" spans="1:7" x14ac:dyDescent="0.25">
      <c r="A86" s="2">
        <v>84</v>
      </c>
      <c r="B86" s="2">
        <v>48</v>
      </c>
      <c r="C86" s="3">
        <f t="shared" si="5"/>
        <v>0</v>
      </c>
      <c r="D86" s="3">
        <f t="shared" si="6"/>
        <v>0</v>
      </c>
      <c r="E86" s="3" t="str">
        <f t="shared" si="7"/>
        <v>same</v>
      </c>
      <c r="F86" s="3" t="str">
        <f t="shared" si="8"/>
        <v>no</v>
      </c>
      <c r="G86" s="3" t="str">
        <f t="shared" si="9"/>
        <v>ok</v>
      </c>
    </row>
    <row r="87" spans="1:7" x14ac:dyDescent="0.25">
      <c r="A87" s="2">
        <v>85</v>
      </c>
      <c r="B87" s="2">
        <v>17</v>
      </c>
      <c r="C87" s="3">
        <f t="shared" si="5"/>
        <v>1</v>
      </c>
      <c r="D87" s="3">
        <f t="shared" si="6"/>
        <v>1</v>
      </c>
      <c r="E87" s="3" t="str">
        <f t="shared" si="7"/>
        <v>same</v>
      </c>
      <c r="F87" s="3" t="str">
        <f t="shared" si="8"/>
        <v>no</v>
      </c>
      <c r="G87" s="3" t="str">
        <f t="shared" si="9"/>
        <v>ok</v>
      </c>
    </row>
    <row r="88" spans="1:7" x14ac:dyDescent="0.25">
      <c r="A88" s="2">
        <v>86</v>
      </c>
      <c r="B88" s="2">
        <v>40</v>
      </c>
      <c r="C88" s="3">
        <f t="shared" si="5"/>
        <v>0</v>
      </c>
      <c r="D88" s="3">
        <f t="shared" si="6"/>
        <v>0</v>
      </c>
      <c r="E88" s="3" t="str">
        <f t="shared" si="7"/>
        <v>same</v>
      </c>
      <c r="F88" s="3" t="str">
        <f t="shared" si="8"/>
        <v>no</v>
      </c>
      <c r="G88" s="3" t="str">
        <f t="shared" si="9"/>
        <v>ok</v>
      </c>
    </row>
    <row r="89" spans="1:7" x14ac:dyDescent="0.25">
      <c r="A89" s="2">
        <v>87</v>
      </c>
      <c r="B89" s="2">
        <v>27</v>
      </c>
      <c r="C89" s="3">
        <f t="shared" si="5"/>
        <v>1</v>
      </c>
      <c r="D89" s="3">
        <f t="shared" si="6"/>
        <v>1</v>
      </c>
      <c r="E89" s="3" t="str">
        <f t="shared" si="7"/>
        <v>same</v>
      </c>
      <c r="F89" s="3" t="str">
        <f t="shared" si="8"/>
        <v>no</v>
      </c>
      <c r="G89" s="3" t="str">
        <f t="shared" si="9"/>
        <v>ok</v>
      </c>
    </row>
    <row r="90" spans="1:7" x14ac:dyDescent="0.25">
      <c r="A90" s="2">
        <v>88</v>
      </c>
      <c r="B90" s="2">
        <v>40</v>
      </c>
      <c r="C90" s="3">
        <f t="shared" si="5"/>
        <v>0</v>
      </c>
      <c r="D90" s="3">
        <f t="shared" si="6"/>
        <v>0</v>
      </c>
      <c r="E90" s="3" t="str">
        <f t="shared" si="7"/>
        <v>same</v>
      </c>
      <c r="F90" s="3" t="str">
        <f t="shared" si="8"/>
        <v>no</v>
      </c>
      <c r="G90" s="3" t="str">
        <f t="shared" si="9"/>
        <v>ok</v>
      </c>
    </row>
    <row r="91" spans="1:7" x14ac:dyDescent="0.25">
      <c r="A91" s="2">
        <v>89</v>
      </c>
      <c r="B91" s="2">
        <v>-1</v>
      </c>
      <c r="C91" s="3">
        <f t="shared" si="5"/>
        <v>1</v>
      </c>
      <c r="D91" s="3">
        <f t="shared" si="6"/>
        <v>1</v>
      </c>
      <c r="E91" s="3" t="str">
        <f t="shared" si="7"/>
        <v>same</v>
      </c>
      <c r="F91" s="3" t="str">
        <f t="shared" si="8"/>
        <v>no</v>
      </c>
      <c r="G91" s="3" t="str">
        <f t="shared" si="9"/>
        <v>ok</v>
      </c>
    </row>
    <row r="92" spans="1:7" x14ac:dyDescent="0.25">
      <c r="A92" s="2">
        <v>90</v>
      </c>
      <c r="B92" s="2">
        <v>54</v>
      </c>
      <c r="C92" s="3">
        <f t="shared" si="5"/>
        <v>0</v>
      </c>
      <c r="D92" s="3">
        <f t="shared" si="6"/>
        <v>0</v>
      </c>
      <c r="E92" s="3" t="str">
        <f t="shared" si="7"/>
        <v>same</v>
      </c>
      <c r="F92" s="3" t="str">
        <f t="shared" si="8"/>
        <v>no</v>
      </c>
      <c r="G92" s="3" t="str">
        <f t="shared" si="9"/>
        <v>ok</v>
      </c>
    </row>
    <row r="93" spans="1:7" x14ac:dyDescent="0.25">
      <c r="A93" s="2">
        <v>91</v>
      </c>
      <c r="B93" s="2">
        <v>15</v>
      </c>
      <c r="C93" s="3">
        <f t="shared" si="5"/>
        <v>1</v>
      </c>
      <c r="D93" s="3">
        <f t="shared" si="6"/>
        <v>1</v>
      </c>
      <c r="E93" s="3" t="str">
        <f t="shared" si="7"/>
        <v>same</v>
      </c>
      <c r="F93" s="3" t="str">
        <f t="shared" si="8"/>
        <v>no</v>
      </c>
      <c r="G93" s="3" t="str">
        <f t="shared" si="9"/>
        <v>ok</v>
      </c>
    </row>
    <row r="94" spans="1:7" x14ac:dyDescent="0.25">
      <c r="A94" s="2">
        <v>92</v>
      </c>
      <c r="B94" s="2">
        <v>42</v>
      </c>
      <c r="C94" s="3">
        <f t="shared" si="5"/>
        <v>0</v>
      </c>
      <c r="D94" s="3">
        <f t="shared" si="6"/>
        <v>0</v>
      </c>
      <c r="E94" s="3" t="str">
        <f t="shared" si="7"/>
        <v>same</v>
      </c>
      <c r="F94" s="3" t="str">
        <f t="shared" si="8"/>
        <v>no</v>
      </c>
      <c r="G94" s="3" t="str">
        <f t="shared" si="9"/>
        <v>ok</v>
      </c>
    </row>
    <row r="95" spans="1:7" x14ac:dyDescent="0.25">
      <c r="A95" s="2">
        <v>93</v>
      </c>
      <c r="B95" s="2">
        <v>29</v>
      </c>
      <c r="C95" s="3">
        <f t="shared" si="5"/>
        <v>1</v>
      </c>
      <c r="D95" s="3">
        <f t="shared" si="6"/>
        <v>1</v>
      </c>
      <c r="E95" s="3" t="str">
        <f t="shared" si="7"/>
        <v>same</v>
      </c>
      <c r="F95" s="3" t="str">
        <f t="shared" si="8"/>
        <v>no</v>
      </c>
      <c r="G95" s="3" t="str">
        <f t="shared" si="9"/>
        <v>ok</v>
      </c>
    </row>
    <row r="96" spans="1:7" x14ac:dyDescent="0.25">
      <c r="A96" s="2">
        <v>94</v>
      </c>
      <c r="B96" s="2">
        <v>44</v>
      </c>
      <c r="C96" s="3">
        <f t="shared" si="5"/>
        <v>0</v>
      </c>
      <c r="D96" s="3">
        <f t="shared" si="6"/>
        <v>0</v>
      </c>
      <c r="E96" s="3" t="str">
        <f t="shared" si="7"/>
        <v>same</v>
      </c>
      <c r="F96" s="3" t="str">
        <f t="shared" si="8"/>
        <v>no</v>
      </c>
      <c r="G96" s="3" t="str">
        <f t="shared" si="9"/>
        <v>ok</v>
      </c>
    </row>
    <row r="97" spans="1:7" x14ac:dyDescent="0.25">
      <c r="A97" s="2">
        <v>95</v>
      </c>
      <c r="B97" s="2">
        <v>19</v>
      </c>
      <c r="C97" s="3">
        <f t="shared" si="5"/>
        <v>1</v>
      </c>
      <c r="D97" s="3">
        <f t="shared" si="6"/>
        <v>1</v>
      </c>
      <c r="E97" s="3" t="str">
        <f t="shared" si="7"/>
        <v>same</v>
      </c>
      <c r="F97" s="3" t="str">
        <f t="shared" si="8"/>
        <v>no</v>
      </c>
      <c r="G97" s="3" t="str">
        <f t="shared" si="9"/>
        <v>ok</v>
      </c>
    </row>
    <row r="98" spans="1:7" x14ac:dyDescent="0.25">
      <c r="A98" s="2">
        <v>96</v>
      </c>
      <c r="B98" s="2">
        <v>52</v>
      </c>
      <c r="C98" s="3">
        <f t="shared" si="5"/>
        <v>0</v>
      </c>
      <c r="D98" s="3">
        <f t="shared" si="6"/>
        <v>0</v>
      </c>
      <c r="E98" s="3" t="str">
        <f t="shared" si="7"/>
        <v>same</v>
      </c>
      <c r="F98" s="3" t="str">
        <f t="shared" si="8"/>
        <v>no</v>
      </c>
      <c r="G98" s="3" t="str">
        <f t="shared" si="9"/>
        <v>ok</v>
      </c>
    </row>
    <row r="99" spans="1:7" x14ac:dyDescent="0.25">
      <c r="A99" s="2">
        <v>97</v>
      </c>
      <c r="B99" s="2">
        <v>-1</v>
      </c>
      <c r="C99" s="3">
        <f t="shared" si="5"/>
        <v>1</v>
      </c>
      <c r="D99" s="3">
        <f t="shared" si="6"/>
        <v>1</v>
      </c>
      <c r="E99" s="3" t="str">
        <f t="shared" si="7"/>
        <v>same</v>
      </c>
      <c r="F99" s="3" t="str">
        <f t="shared" si="8"/>
        <v>no</v>
      </c>
      <c r="G99" s="3" t="str">
        <f t="shared" si="9"/>
        <v>ok</v>
      </c>
    </row>
    <row r="100" spans="1:7" x14ac:dyDescent="0.25">
      <c r="A100" s="2">
        <v>98</v>
      </c>
      <c r="B100" s="2">
        <v>50</v>
      </c>
      <c r="C100" s="3">
        <f t="shared" si="5"/>
        <v>0</v>
      </c>
      <c r="D100" s="3">
        <f t="shared" si="6"/>
        <v>0</v>
      </c>
      <c r="E100" s="3" t="str">
        <f t="shared" si="7"/>
        <v>same</v>
      </c>
      <c r="F100" s="3" t="str">
        <f t="shared" si="8"/>
        <v>no</v>
      </c>
      <c r="G100" s="3" t="str">
        <f t="shared" si="9"/>
        <v>ok</v>
      </c>
    </row>
    <row r="101" spans="1:7" x14ac:dyDescent="0.25">
      <c r="A101" s="2">
        <v>99</v>
      </c>
      <c r="B101" s="2">
        <v>33</v>
      </c>
      <c r="C101" s="3">
        <f t="shared" si="5"/>
        <v>1</v>
      </c>
      <c r="D101" s="3">
        <f t="shared" si="6"/>
        <v>1</v>
      </c>
      <c r="E101" s="3" t="str">
        <f t="shared" si="7"/>
        <v>same</v>
      </c>
      <c r="F101" s="3" t="str">
        <f t="shared" si="8"/>
        <v>no</v>
      </c>
      <c r="G101" s="3" t="str">
        <f t="shared" si="9"/>
        <v>ok</v>
      </c>
    </row>
    <row r="102" spans="1:7" x14ac:dyDescent="0.25">
      <c r="A102" s="2">
        <v>100</v>
      </c>
      <c r="B102" s="2">
        <v>51</v>
      </c>
      <c r="C102" s="3">
        <f t="shared" si="5"/>
        <v>1</v>
      </c>
      <c r="D102" s="3">
        <f t="shared" si="6"/>
        <v>0</v>
      </c>
      <c r="E102" s="3" t="str">
        <f t="shared" si="7"/>
        <v>diff</v>
      </c>
      <c r="F102" s="3" t="str">
        <f t="shared" si="8"/>
        <v>YES</v>
      </c>
      <c r="G102" s="3" t="str">
        <f t="shared" si="9"/>
        <v>ok</v>
      </c>
    </row>
    <row r="103" spans="1:7" x14ac:dyDescent="0.25">
      <c r="A103" s="2">
        <v>101</v>
      </c>
      <c r="B103" s="2">
        <v>-1</v>
      </c>
      <c r="C103" s="3">
        <f t="shared" si="5"/>
        <v>1</v>
      </c>
      <c r="D103" s="3">
        <f t="shared" si="6"/>
        <v>1</v>
      </c>
      <c r="E103" s="3" t="str">
        <f t="shared" si="7"/>
        <v>same</v>
      </c>
      <c r="F103" s="3" t="str">
        <f t="shared" si="8"/>
        <v>no</v>
      </c>
      <c r="G103" s="3" t="str">
        <f t="shared" si="9"/>
        <v>ok</v>
      </c>
    </row>
    <row r="104" spans="1:7" x14ac:dyDescent="0.25">
      <c r="A104" s="2">
        <v>102</v>
      </c>
      <c r="B104" s="2">
        <v>62</v>
      </c>
      <c r="C104" s="3">
        <f t="shared" si="5"/>
        <v>0</v>
      </c>
      <c r="D104" s="3">
        <f t="shared" si="6"/>
        <v>0</v>
      </c>
      <c r="E104" s="3" t="str">
        <f t="shared" si="7"/>
        <v>same</v>
      </c>
      <c r="F104" s="3" t="str">
        <f t="shared" si="8"/>
        <v>no</v>
      </c>
      <c r="G104" s="3" t="str">
        <f t="shared" si="9"/>
        <v>ok</v>
      </c>
    </row>
    <row r="105" spans="1:7" x14ac:dyDescent="0.25">
      <c r="A105" s="2">
        <v>103</v>
      </c>
      <c r="B105" s="2">
        <v>-1</v>
      </c>
      <c r="C105" s="3">
        <f t="shared" si="5"/>
        <v>1</v>
      </c>
      <c r="D105" s="3">
        <f t="shared" si="6"/>
        <v>1</v>
      </c>
      <c r="E105" s="3" t="str">
        <f t="shared" si="7"/>
        <v>same</v>
      </c>
      <c r="F105" s="3" t="str">
        <f t="shared" si="8"/>
        <v>no</v>
      </c>
      <c r="G105" s="3" t="str">
        <f t="shared" si="9"/>
        <v>ok</v>
      </c>
    </row>
    <row r="106" spans="1:7" x14ac:dyDescent="0.25">
      <c r="A106" s="2">
        <v>104</v>
      </c>
      <c r="B106" s="2">
        <v>48</v>
      </c>
      <c r="C106" s="3">
        <f t="shared" si="5"/>
        <v>0</v>
      </c>
      <c r="D106" s="3">
        <f t="shared" si="6"/>
        <v>0</v>
      </c>
      <c r="E106" s="3" t="str">
        <f t="shared" si="7"/>
        <v>same</v>
      </c>
      <c r="F106" s="3" t="str">
        <f t="shared" si="8"/>
        <v>no</v>
      </c>
      <c r="G106" s="3" t="str">
        <f t="shared" si="9"/>
        <v>ok</v>
      </c>
    </row>
    <row r="107" spans="1:7" x14ac:dyDescent="0.25">
      <c r="A107" s="2">
        <v>105</v>
      </c>
      <c r="B107" s="2">
        <v>49</v>
      </c>
      <c r="C107" s="3">
        <f t="shared" si="5"/>
        <v>1</v>
      </c>
      <c r="D107" s="3">
        <f t="shared" si="6"/>
        <v>1</v>
      </c>
      <c r="E107" s="3" t="str">
        <f t="shared" si="7"/>
        <v>same</v>
      </c>
      <c r="F107" s="3" t="str">
        <f t="shared" si="8"/>
        <v>no</v>
      </c>
      <c r="G107" s="3" t="str">
        <f t="shared" si="9"/>
        <v>ok</v>
      </c>
    </row>
    <row r="108" spans="1:7" x14ac:dyDescent="0.25">
      <c r="A108" s="2">
        <v>106</v>
      </c>
      <c r="B108" s="2">
        <v>50</v>
      </c>
      <c r="C108" s="3">
        <f t="shared" si="5"/>
        <v>0</v>
      </c>
      <c r="D108" s="3">
        <f t="shared" si="6"/>
        <v>0</v>
      </c>
      <c r="E108" s="3" t="str">
        <f t="shared" si="7"/>
        <v>same</v>
      </c>
      <c r="F108" s="3" t="str">
        <f t="shared" si="8"/>
        <v>no</v>
      </c>
      <c r="G108" s="3" t="str">
        <f t="shared" si="9"/>
        <v>ok</v>
      </c>
    </row>
    <row r="109" spans="1:7" x14ac:dyDescent="0.25">
      <c r="A109" s="2">
        <v>107</v>
      </c>
      <c r="B109" s="2">
        <v>-1</v>
      </c>
      <c r="C109" s="3">
        <f t="shared" si="5"/>
        <v>1</v>
      </c>
      <c r="D109" s="3">
        <f t="shared" si="6"/>
        <v>1</v>
      </c>
      <c r="E109" s="3" t="str">
        <f t="shared" si="7"/>
        <v>same</v>
      </c>
      <c r="F109" s="3" t="str">
        <f t="shared" si="8"/>
        <v>no</v>
      </c>
      <c r="G109" s="3" t="str">
        <f t="shared" si="9"/>
        <v>ok</v>
      </c>
    </row>
    <row r="110" spans="1:7" x14ac:dyDescent="0.25">
      <c r="A110" s="2">
        <v>108</v>
      </c>
      <c r="B110" s="2">
        <v>60</v>
      </c>
      <c r="C110" s="3">
        <f t="shared" si="5"/>
        <v>0</v>
      </c>
      <c r="D110" s="3">
        <f t="shared" si="6"/>
        <v>0</v>
      </c>
      <c r="E110" s="3" t="str">
        <f t="shared" si="7"/>
        <v>same</v>
      </c>
      <c r="F110" s="3" t="str">
        <f t="shared" si="8"/>
        <v>no</v>
      </c>
      <c r="G110" s="3" t="str">
        <f t="shared" si="9"/>
        <v>ok</v>
      </c>
    </row>
    <row r="111" spans="1:7" x14ac:dyDescent="0.25">
      <c r="A111" s="2">
        <v>109</v>
      </c>
      <c r="B111" s="2">
        <v>-1</v>
      </c>
      <c r="C111" s="3">
        <f t="shared" si="5"/>
        <v>1</v>
      </c>
      <c r="D111" s="3">
        <f t="shared" si="6"/>
        <v>1</v>
      </c>
      <c r="E111" s="3" t="str">
        <f t="shared" si="7"/>
        <v>same</v>
      </c>
      <c r="F111" s="3" t="str">
        <f t="shared" si="8"/>
        <v>no</v>
      </c>
      <c r="G111" s="3" t="str">
        <f t="shared" si="9"/>
        <v>ok</v>
      </c>
    </row>
    <row r="112" spans="1:7" x14ac:dyDescent="0.25">
      <c r="A112" s="2">
        <v>110</v>
      </c>
      <c r="B112" s="2">
        <v>62</v>
      </c>
      <c r="C112" s="3">
        <f t="shared" si="5"/>
        <v>0</v>
      </c>
      <c r="D112" s="3">
        <f t="shared" si="6"/>
        <v>0</v>
      </c>
      <c r="E112" s="3" t="str">
        <f t="shared" si="7"/>
        <v>same</v>
      </c>
      <c r="F112" s="3" t="str">
        <f t="shared" si="8"/>
        <v>no</v>
      </c>
      <c r="G112" s="3" t="str">
        <f t="shared" si="9"/>
        <v>ok</v>
      </c>
    </row>
    <row r="113" spans="1:7" x14ac:dyDescent="0.25">
      <c r="A113" s="2">
        <v>111</v>
      </c>
      <c r="B113" s="2">
        <v>35</v>
      </c>
      <c r="C113" s="3">
        <f t="shared" si="5"/>
        <v>1</v>
      </c>
      <c r="D113" s="3">
        <f t="shared" si="6"/>
        <v>1</v>
      </c>
      <c r="E113" s="3" t="str">
        <f t="shared" si="7"/>
        <v>same</v>
      </c>
      <c r="F113" s="3" t="str">
        <f t="shared" si="8"/>
        <v>no</v>
      </c>
      <c r="G113" s="3" t="str">
        <f t="shared" si="9"/>
        <v>ok</v>
      </c>
    </row>
    <row r="114" spans="1:7" x14ac:dyDescent="0.25">
      <c r="A114" s="2">
        <v>112</v>
      </c>
      <c r="B114" s="2">
        <v>54</v>
      </c>
      <c r="C114" s="3">
        <f t="shared" si="5"/>
        <v>0</v>
      </c>
      <c r="D114" s="3">
        <f t="shared" si="6"/>
        <v>0</v>
      </c>
      <c r="E114" s="3" t="str">
        <f t="shared" si="7"/>
        <v>same</v>
      </c>
      <c r="F114" s="3" t="str">
        <f t="shared" si="8"/>
        <v>no</v>
      </c>
      <c r="G114" s="3" t="str">
        <f t="shared" si="9"/>
        <v>ok</v>
      </c>
    </row>
    <row r="115" spans="1:7" x14ac:dyDescent="0.25">
      <c r="A115" s="2">
        <v>113</v>
      </c>
      <c r="B115" s="2">
        <v>-1</v>
      </c>
      <c r="C115" s="3">
        <f t="shared" si="5"/>
        <v>1</v>
      </c>
      <c r="D115" s="3">
        <f t="shared" si="6"/>
        <v>1</v>
      </c>
      <c r="E115" s="3" t="str">
        <f t="shared" si="7"/>
        <v>same</v>
      </c>
      <c r="F115" s="3" t="str">
        <f t="shared" si="8"/>
        <v>no</v>
      </c>
      <c r="G115" s="3" t="str">
        <f t="shared" si="9"/>
        <v>ok</v>
      </c>
    </row>
    <row r="116" spans="1:7" x14ac:dyDescent="0.25">
      <c r="A116" s="2">
        <v>114</v>
      </c>
      <c r="B116" s="2">
        <v>70</v>
      </c>
      <c r="C116" s="3">
        <f t="shared" si="5"/>
        <v>0</v>
      </c>
      <c r="D116" s="3">
        <f t="shared" si="6"/>
        <v>0</v>
      </c>
      <c r="E116" s="3" t="str">
        <f t="shared" si="7"/>
        <v>same</v>
      </c>
      <c r="F116" s="3" t="str">
        <f t="shared" si="8"/>
        <v>no</v>
      </c>
      <c r="G116" s="3" t="str">
        <f t="shared" si="9"/>
        <v>ok</v>
      </c>
    </row>
    <row r="117" spans="1:7" x14ac:dyDescent="0.25">
      <c r="A117" s="2">
        <v>115</v>
      </c>
      <c r="B117" s="2">
        <v>23</v>
      </c>
      <c r="C117" s="3">
        <f t="shared" si="5"/>
        <v>1</v>
      </c>
      <c r="D117" s="3">
        <f t="shared" si="6"/>
        <v>1</v>
      </c>
      <c r="E117" s="3" t="str">
        <f t="shared" si="7"/>
        <v>same</v>
      </c>
      <c r="F117" s="3" t="str">
        <f t="shared" si="8"/>
        <v>no</v>
      </c>
      <c r="G117" s="3" t="str">
        <f t="shared" si="9"/>
        <v>ok</v>
      </c>
    </row>
    <row r="118" spans="1:7" x14ac:dyDescent="0.25">
      <c r="A118" s="2">
        <v>116</v>
      </c>
      <c r="B118" s="2">
        <v>54</v>
      </c>
      <c r="C118" s="3">
        <f t="shared" si="5"/>
        <v>0</v>
      </c>
      <c r="D118" s="3">
        <f t="shared" si="6"/>
        <v>0</v>
      </c>
      <c r="E118" s="3" t="str">
        <f t="shared" si="7"/>
        <v>same</v>
      </c>
      <c r="F118" s="3" t="str">
        <f t="shared" si="8"/>
        <v>no</v>
      </c>
      <c r="G118" s="3" t="str">
        <f t="shared" si="9"/>
        <v>ok</v>
      </c>
    </row>
    <row r="119" spans="1:7" x14ac:dyDescent="0.25">
      <c r="A119" s="2">
        <v>117</v>
      </c>
      <c r="B119" s="2">
        <v>39</v>
      </c>
      <c r="C119" s="3">
        <f t="shared" si="5"/>
        <v>1</v>
      </c>
      <c r="D119" s="3">
        <f t="shared" si="6"/>
        <v>1</v>
      </c>
      <c r="E119" s="3" t="str">
        <f t="shared" si="7"/>
        <v>same</v>
      </c>
      <c r="F119" s="3" t="str">
        <f t="shared" si="8"/>
        <v>no</v>
      </c>
      <c r="G119" s="3" t="str">
        <f t="shared" si="9"/>
        <v>ok</v>
      </c>
    </row>
    <row r="120" spans="1:7" x14ac:dyDescent="0.25">
      <c r="A120" s="2">
        <v>118</v>
      </c>
      <c r="B120" s="2">
        <v>56</v>
      </c>
      <c r="C120" s="3">
        <f t="shared" si="5"/>
        <v>0</v>
      </c>
      <c r="D120" s="3">
        <f t="shared" si="6"/>
        <v>0</v>
      </c>
      <c r="E120" s="3" t="str">
        <f t="shared" si="7"/>
        <v>same</v>
      </c>
      <c r="F120" s="3" t="str">
        <f t="shared" si="8"/>
        <v>no</v>
      </c>
      <c r="G120" s="3" t="str">
        <f t="shared" si="9"/>
        <v>ok</v>
      </c>
    </row>
    <row r="121" spans="1:7" x14ac:dyDescent="0.25">
      <c r="A121" s="2">
        <v>119</v>
      </c>
      <c r="B121" s="2">
        <v>19</v>
      </c>
      <c r="C121" s="3">
        <f t="shared" si="5"/>
        <v>1</v>
      </c>
      <c r="D121" s="3">
        <f t="shared" si="6"/>
        <v>1</v>
      </c>
      <c r="E121" s="3" t="str">
        <f t="shared" si="7"/>
        <v>same</v>
      </c>
      <c r="F121" s="3" t="str">
        <f t="shared" si="8"/>
        <v>no</v>
      </c>
      <c r="G121" s="3" t="str">
        <f t="shared" si="9"/>
        <v>ok</v>
      </c>
    </row>
    <row r="122" spans="1:7" x14ac:dyDescent="0.25">
      <c r="A122" s="2">
        <v>120</v>
      </c>
      <c r="B122" s="2">
        <v>72</v>
      </c>
      <c r="C122" s="3">
        <f t="shared" si="5"/>
        <v>0</v>
      </c>
      <c r="D122" s="3">
        <f t="shared" si="6"/>
        <v>0</v>
      </c>
      <c r="E122" s="3" t="str">
        <f t="shared" si="7"/>
        <v>same</v>
      </c>
      <c r="F122" s="3" t="str">
        <f t="shared" si="8"/>
        <v>no</v>
      </c>
      <c r="G122" s="3" t="str">
        <f t="shared" si="9"/>
        <v>ok</v>
      </c>
    </row>
    <row r="123" spans="1:7" x14ac:dyDescent="0.25">
      <c r="A123" s="2">
        <v>121</v>
      </c>
      <c r="B123" s="2">
        <v>8</v>
      </c>
      <c r="C123" s="3">
        <f t="shared" si="5"/>
        <v>0</v>
      </c>
      <c r="D123" s="3">
        <f t="shared" si="6"/>
        <v>1</v>
      </c>
      <c r="E123" s="3" t="str">
        <f t="shared" si="7"/>
        <v>diff</v>
      </c>
      <c r="F123" s="3" t="str">
        <f t="shared" si="8"/>
        <v>YES</v>
      </c>
      <c r="G123" s="3" t="str">
        <f t="shared" si="9"/>
        <v>ok</v>
      </c>
    </row>
    <row r="124" spans="1:7" x14ac:dyDescent="0.25">
      <c r="A124" s="2">
        <v>122</v>
      </c>
      <c r="B124" s="2">
        <v>58</v>
      </c>
      <c r="C124" s="3">
        <f t="shared" si="5"/>
        <v>0</v>
      </c>
      <c r="D124" s="3">
        <f t="shared" si="6"/>
        <v>0</v>
      </c>
      <c r="E124" s="3" t="str">
        <f t="shared" si="7"/>
        <v>same</v>
      </c>
      <c r="F124" s="3" t="str">
        <f t="shared" si="8"/>
        <v>no</v>
      </c>
      <c r="G124" s="3" t="str">
        <f t="shared" si="9"/>
        <v>ok</v>
      </c>
    </row>
    <row r="125" spans="1:7" x14ac:dyDescent="0.25">
      <c r="A125" s="2">
        <v>123</v>
      </c>
      <c r="B125" s="2">
        <v>39</v>
      </c>
      <c r="C125" s="3">
        <f t="shared" si="5"/>
        <v>1</v>
      </c>
      <c r="D125" s="3">
        <f t="shared" si="6"/>
        <v>1</v>
      </c>
      <c r="E125" s="3" t="str">
        <f t="shared" si="7"/>
        <v>same</v>
      </c>
      <c r="F125" s="3" t="str">
        <f t="shared" si="8"/>
        <v>no</v>
      </c>
      <c r="G125" s="3" t="str">
        <f t="shared" si="9"/>
        <v>ok</v>
      </c>
    </row>
    <row r="126" spans="1:7" x14ac:dyDescent="0.25">
      <c r="A126" s="2">
        <v>124</v>
      </c>
      <c r="B126" s="2">
        <v>58</v>
      </c>
      <c r="C126" s="3">
        <f t="shared" si="5"/>
        <v>0</v>
      </c>
      <c r="D126" s="3">
        <f t="shared" si="6"/>
        <v>0</v>
      </c>
      <c r="E126" s="3" t="str">
        <f t="shared" si="7"/>
        <v>same</v>
      </c>
      <c r="F126" s="3" t="str">
        <f t="shared" si="8"/>
        <v>no</v>
      </c>
      <c r="G126" s="3" t="str">
        <f t="shared" si="9"/>
        <v>ok</v>
      </c>
    </row>
    <row r="127" spans="1:7" x14ac:dyDescent="0.25">
      <c r="A127" s="2">
        <v>125</v>
      </c>
      <c r="B127" s="2">
        <v>21</v>
      </c>
      <c r="C127" s="3">
        <f t="shared" si="5"/>
        <v>1</v>
      </c>
      <c r="D127" s="3">
        <f t="shared" si="6"/>
        <v>1</v>
      </c>
      <c r="E127" s="3" t="str">
        <f t="shared" si="7"/>
        <v>same</v>
      </c>
      <c r="F127" s="3" t="str">
        <f t="shared" si="8"/>
        <v>no</v>
      </c>
      <c r="G127" s="3" t="str">
        <f t="shared" si="9"/>
        <v>ok</v>
      </c>
    </row>
    <row r="128" spans="1:7" x14ac:dyDescent="0.25">
      <c r="A128" s="2">
        <v>126</v>
      </c>
      <c r="B128" s="2">
        <v>78</v>
      </c>
      <c r="C128" s="3">
        <f t="shared" si="5"/>
        <v>0</v>
      </c>
      <c r="D128" s="3">
        <f t="shared" si="6"/>
        <v>0</v>
      </c>
      <c r="E128" s="3" t="str">
        <f t="shared" si="7"/>
        <v>same</v>
      </c>
      <c r="F128" s="3" t="str">
        <f t="shared" si="8"/>
        <v>no</v>
      </c>
      <c r="G128" s="3" t="str">
        <f t="shared" si="9"/>
        <v>ok</v>
      </c>
    </row>
    <row r="129" spans="1:7" x14ac:dyDescent="0.25">
      <c r="A129" s="2">
        <v>127</v>
      </c>
      <c r="B129" s="2">
        <v>-1</v>
      </c>
      <c r="C129" s="3">
        <f t="shared" si="5"/>
        <v>1</v>
      </c>
      <c r="D129" s="3">
        <f t="shared" si="6"/>
        <v>1</v>
      </c>
      <c r="E129" s="3" t="str">
        <f t="shared" si="7"/>
        <v>same</v>
      </c>
      <c r="F129" s="3" t="str">
        <f t="shared" si="8"/>
        <v>no</v>
      </c>
      <c r="G129" s="3" t="str">
        <f t="shared" si="9"/>
        <v>ok</v>
      </c>
    </row>
    <row r="130" spans="1:7" x14ac:dyDescent="0.25">
      <c r="A130" s="2">
        <v>128</v>
      </c>
      <c r="B130" s="2">
        <v>56</v>
      </c>
      <c r="C130" s="3">
        <f t="shared" si="5"/>
        <v>0</v>
      </c>
      <c r="D130" s="3">
        <f t="shared" si="6"/>
        <v>0</v>
      </c>
      <c r="E130" s="3" t="str">
        <f t="shared" si="7"/>
        <v>same</v>
      </c>
      <c r="F130" s="3" t="str">
        <f t="shared" si="8"/>
        <v>no</v>
      </c>
      <c r="G130" s="3" t="str">
        <f t="shared" si="9"/>
        <v>ok</v>
      </c>
    </row>
    <row r="131" spans="1:7" x14ac:dyDescent="0.25">
      <c r="A131" s="2">
        <v>129</v>
      </c>
      <c r="B131" s="2">
        <v>41</v>
      </c>
      <c r="C131" s="3">
        <f t="shared" si="5"/>
        <v>1</v>
      </c>
      <c r="D131" s="3">
        <f t="shared" si="6"/>
        <v>1</v>
      </c>
      <c r="E131" s="3" t="str">
        <f t="shared" si="7"/>
        <v>same</v>
      </c>
      <c r="F131" s="3" t="str">
        <f t="shared" si="8"/>
        <v>no</v>
      </c>
      <c r="G131" s="3" t="str">
        <f t="shared" si="9"/>
        <v>ok</v>
      </c>
    </row>
    <row r="132" spans="1:7" x14ac:dyDescent="0.25">
      <c r="A132" s="2">
        <v>130</v>
      </c>
      <c r="B132" s="2">
        <v>74</v>
      </c>
      <c r="C132" s="3">
        <f t="shared" si="5"/>
        <v>0</v>
      </c>
      <c r="D132" s="3">
        <f t="shared" si="6"/>
        <v>0</v>
      </c>
      <c r="E132" s="3" t="str">
        <f t="shared" si="7"/>
        <v>same</v>
      </c>
      <c r="F132" s="3" t="str">
        <f t="shared" si="8"/>
        <v>no</v>
      </c>
      <c r="G132" s="3" t="str">
        <f t="shared" si="9"/>
        <v>ok</v>
      </c>
    </row>
    <row r="133" spans="1:7" x14ac:dyDescent="0.25">
      <c r="A133" s="2">
        <v>131</v>
      </c>
      <c r="B133" s="2">
        <v>-1</v>
      </c>
      <c r="C133" s="3">
        <f t="shared" ref="C133:C196" si="10">MOD(B133,2)</f>
        <v>1</v>
      </c>
      <c r="D133" s="3">
        <f t="shared" ref="D133:D196" si="11">MOD(A133,2)</f>
        <v>1</v>
      </c>
      <c r="E133" s="3" t="str">
        <f t="shared" ref="E133:E196" si="12">IF(C133=D133,"same","diff")</f>
        <v>same</v>
      </c>
      <c r="F133" s="3" t="str">
        <f t="shared" ref="F133:F196" si="13">IF(SQRT(A133)=INT(SQRT(A133)),"YES","no")</f>
        <v>no</v>
      </c>
      <c r="G133" s="3" t="str">
        <f t="shared" ref="G133:G196" si="14">IF(AND(E133="same",F133="no"),"ok",IF(AND(E133="diff",F133="YES"),"ok","FAIL"))</f>
        <v>ok</v>
      </c>
    </row>
    <row r="134" spans="1:7" x14ac:dyDescent="0.25">
      <c r="A134" s="2">
        <v>132</v>
      </c>
      <c r="B134" s="2">
        <v>80</v>
      </c>
      <c r="C134" s="3">
        <f t="shared" si="10"/>
        <v>0</v>
      </c>
      <c r="D134" s="3">
        <f t="shared" si="11"/>
        <v>0</v>
      </c>
      <c r="E134" s="3" t="str">
        <f t="shared" si="12"/>
        <v>same</v>
      </c>
      <c r="F134" s="3" t="str">
        <f t="shared" si="13"/>
        <v>no</v>
      </c>
      <c r="G134" s="3" t="str">
        <f t="shared" si="14"/>
        <v>ok</v>
      </c>
    </row>
    <row r="135" spans="1:7" x14ac:dyDescent="0.25">
      <c r="A135" s="2">
        <v>133</v>
      </c>
      <c r="B135" s="2">
        <v>21</v>
      </c>
      <c r="C135" s="3">
        <f t="shared" si="10"/>
        <v>1</v>
      </c>
      <c r="D135" s="3">
        <f t="shared" si="11"/>
        <v>1</v>
      </c>
      <c r="E135" s="3" t="str">
        <f t="shared" si="12"/>
        <v>same</v>
      </c>
      <c r="F135" s="3" t="str">
        <f t="shared" si="13"/>
        <v>no</v>
      </c>
      <c r="G135" s="3" t="str">
        <f t="shared" si="14"/>
        <v>ok</v>
      </c>
    </row>
    <row r="136" spans="1:7" x14ac:dyDescent="0.25">
      <c r="A136" s="2">
        <v>134</v>
      </c>
      <c r="B136" s="2">
        <v>64</v>
      </c>
      <c r="C136" s="3">
        <f t="shared" si="10"/>
        <v>0</v>
      </c>
      <c r="D136" s="3">
        <f t="shared" si="11"/>
        <v>0</v>
      </c>
      <c r="E136" s="3" t="str">
        <f t="shared" si="12"/>
        <v>same</v>
      </c>
      <c r="F136" s="3" t="str">
        <f t="shared" si="13"/>
        <v>no</v>
      </c>
      <c r="G136" s="3" t="str">
        <f t="shared" si="14"/>
        <v>ok</v>
      </c>
    </row>
    <row r="137" spans="1:7" x14ac:dyDescent="0.25">
      <c r="A137" s="2">
        <v>135</v>
      </c>
      <c r="B137" s="2">
        <v>55</v>
      </c>
      <c r="C137" s="3">
        <f t="shared" si="10"/>
        <v>1</v>
      </c>
      <c r="D137" s="3">
        <f t="shared" si="11"/>
        <v>1</v>
      </c>
      <c r="E137" s="3" t="str">
        <f t="shared" si="12"/>
        <v>same</v>
      </c>
      <c r="F137" s="3" t="str">
        <f t="shared" si="13"/>
        <v>no</v>
      </c>
      <c r="G137" s="3" t="str">
        <f t="shared" si="14"/>
        <v>ok</v>
      </c>
    </row>
    <row r="138" spans="1:7" x14ac:dyDescent="0.25">
      <c r="A138" s="2">
        <v>136</v>
      </c>
      <c r="B138" s="2">
        <v>64</v>
      </c>
      <c r="C138" s="3">
        <f t="shared" si="10"/>
        <v>0</v>
      </c>
      <c r="D138" s="3">
        <f t="shared" si="11"/>
        <v>0</v>
      </c>
      <c r="E138" s="3" t="str">
        <f t="shared" si="12"/>
        <v>same</v>
      </c>
      <c r="F138" s="3" t="str">
        <f t="shared" si="13"/>
        <v>no</v>
      </c>
      <c r="G138" s="3" t="str">
        <f t="shared" si="14"/>
        <v>ok</v>
      </c>
    </row>
    <row r="139" spans="1:7" x14ac:dyDescent="0.25">
      <c r="A139" s="2">
        <v>137</v>
      </c>
      <c r="B139" s="2">
        <v>-1</v>
      </c>
      <c r="C139" s="3">
        <f t="shared" si="10"/>
        <v>1</v>
      </c>
      <c r="D139" s="3">
        <f t="shared" si="11"/>
        <v>1</v>
      </c>
      <c r="E139" s="3" t="str">
        <f t="shared" si="12"/>
        <v>same</v>
      </c>
      <c r="F139" s="3" t="str">
        <f t="shared" si="13"/>
        <v>no</v>
      </c>
      <c r="G139" s="3" t="str">
        <f t="shared" si="14"/>
        <v>ok</v>
      </c>
    </row>
    <row r="140" spans="1:7" x14ac:dyDescent="0.25">
      <c r="A140" s="2">
        <v>138</v>
      </c>
      <c r="B140" s="2">
        <v>86</v>
      </c>
      <c r="C140" s="3">
        <f t="shared" si="10"/>
        <v>0</v>
      </c>
      <c r="D140" s="3">
        <f t="shared" si="11"/>
        <v>0</v>
      </c>
      <c r="E140" s="3" t="str">
        <f t="shared" si="12"/>
        <v>same</v>
      </c>
      <c r="F140" s="3" t="str">
        <f t="shared" si="13"/>
        <v>no</v>
      </c>
      <c r="G140" s="3" t="str">
        <f t="shared" si="14"/>
        <v>ok</v>
      </c>
    </row>
    <row r="141" spans="1:7" x14ac:dyDescent="0.25">
      <c r="A141" s="2">
        <v>139</v>
      </c>
      <c r="B141" s="2">
        <v>-1</v>
      </c>
      <c r="C141" s="3">
        <f t="shared" si="10"/>
        <v>1</v>
      </c>
      <c r="D141" s="3">
        <f t="shared" si="11"/>
        <v>1</v>
      </c>
      <c r="E141" s="3" t="str">
        <f t="shared" si="12"/>
        <v>same</v>
      </c>
      <c r="F141" s="3" t="str">
        <f t="shared" si="13"/>
        <v>no</v>
      </c>
      <c r="G141" s="3" t="str">
        <f t="shared" si="14"/>
        <v>ok</v>
      </c>
    </row>
    <row r="142" spans="1:7" x14ac:dyDescent="0.25">
      <c r="A142" s="2">
        <v>140</v>
      </c>
      <c r="B142" s="2">
        <v>80</v>
      </c>
      <c r="C142" s="3">
        <f t="shared" si="10"/>
        <v>0</v>
      </c>
      <c r="D142" s="3">
        <f t="shared" si="11"/>
        <v>0</v>
      </c>
      <c r="E142" s="3" t="str">
        <f t="shared" si="12"/>
        <v>same</v>
      </c>
      <c r="F142" s="3" t="str">
        <f t="shared" si="13"/>
        <v>no</v>
      </c>
      <c r="G142" s="3" t="str">
        <f t="shared" si="14"/>
        <v>ok</v>
      </c>
    </row>
    <row r="143" spans="1:7" x14ac:dyDescent="0.25">
      <c r="A143" s="2">
        <v>141</v>
      </c>
      <c r="B143" s="2">
        <v>45</v>
      </c>
      <c r="C143" s="3">
        <f t="shared" si="10"/>
        <v>1</v>
      </c>
      <c r="D143" s="3">
        <f t="shared" si="11"/>
        <v>1</v>
      </c>
      <c r="E143" s="3" t="str">
        <f t="shared" si="12"/>
        <v>same</v>
      </c>
      <c r="F143" s="3" t="str">
        <f t="shared" si="13"/>
        <v>no</v>
      </c>
      <c r="G143" s="3" t="str">
        <f t="shared" si="14"/>
        <v>ok</v>
      </c>
    </row>
    <row r="144" spans="1:7" x14ac:dyDescent="0.25">
      <c r="A144" s="2">
        <v>142</v>
      </c>
      <c r="B144" s="2">
        <v>68</v>
      </c>
      <c r="C144" s="3">
        <f t="shared" si="10"/>
        <v>0</v>
      </c>
      <c r="D144" s="3">
        <f t="shared" si="11"/>
        <v>0</v>
      </c>
      <c r="E144" s="3" t="str">
        <f t="shared" si="12"/>
        <v>same</v>
      </c>
      <c r="F144" s="3" t="str">
        <f t="shared" si="13"/>
        <v>no</v>
      </c>
      <c r="G144" s="3" t="str">
        <f t="shared" si="14"/>
        <v>ok</v>
      </c>
    </row>
    <row r="145" spans="1:7" x14ac:dyDescent="0.25">
      <c r="A145" s="2">
        <v>143</v>
      </c>
      <c r="B145" s="2">
        <v>19</v>
      </c>
      <c r="C145" s="3">
        <f t="shared" si="10"/>
        <v>1</v>
      </c>
      <c r="D145" s="3">
        <f t="shared" si="11"/>
        <v>1</v>
      </c>
      <c r="E145" s="3" t="str">
        <f t="shared" si="12"/>
        <v>same</v>
      </c>
      <c r="F145" s="3" t="str">
        <f t="shared" si="13"/>
        <v>no</v>
      </c>
      <c r="G145" s="3" t="str">
        <f t="shared" si="14"/>
        <v>ok</v>
      </c>
    </row>
    <row r="146" spans="1:7" x14ac:dyDescent="0.25">
      <c r="A146" s="2">
        <v>144</v>
      </c>
      <c r="B146" s="2">
        <v>81</v>
      </c>
      <c r="C146" s="3">
        <f t="shared" si="10"/>
        <v>1</v>
      </c>
      <c r="D146" s="3">
        <f t="shared" si="11"/>
        <v>0</v>
      </c>
      <c r="E146" s="3" t="str">
        <f t="shared" si="12"/>
        <v>diff</v>
      </c>
      <c r="F146" s="3" t="str">
        <f t="shared" si="13"/>
        <v>YES</v>
      </c>
      <c r="G146" s="3" t="str">
        <f t="shared" si="14"/>
        <v>ok</v>
      </c>
    </row>
    <row r="147" spans="1:7" x14ac:dyDescent="0.25">
      <c r="A147" s="2">
        <v>145</v>
      </c>
      <c r="B147" s="2">
        <v>29</v>
      </c>
      <c r="C147" s="3">
        <f t="shared" si="10"/>
        <v>1</v>
      </c>
      <c r="D147" s="3">
        <f t="shared" si="11"/>
        <v>1</v>
      </c>
      <c r="E147" s="3" t="str">
        <f t="shared" si="12"/>
        <v>same</v>
      </c>
      <c r="F147" s="3" t="str">
        <f t="shared" si="13"/>
        <v>no</v>
      </c>
      <c r="G147" s="3" t="str">
        <f t="shared" si="14"/>
        <v>ok</v>
      </c>
    </row>
    <row r="148" spans="1:7" x14ac:dyDescent="0.25">
      <c r="A148" s="2">
        <v>146</v>
      </c>
      <c r="B148" s="2">
        <v>70</v>
      </c>
      <c r="C148" s="3">
        <f t="shared" si="10"/>
        <v>0</v>
      </c>
      <c r="D148" s="3">
        <f t="shared" si="11"/>
        <v>0</v>
      </c>
      <c r="E148" s="3" t="str">
        <f t="shared" si="12"/>
        <v>same</v>
      </c>
      <c r="F148" s="3" t="str">
        <f t="shared" si="13"/>
        <v>no</v>
      </c>
      <c r="G148" s="3" t="str">
        <f t="shared" si="14"/>
        <v>ok</v>
      </c>
    </row>
    <row r="149" spans="1:7" x14ac:dyDescent="0.25">
      <c r="A149" s="2">
        <v>147</v>
      </c>
      <c r="B149" s="2">
        <v>57</v>
      </c>
      <c r="C149" s="3">
        <f t="shared" si="10"/>
        <v>1</v>
      </c>
      <c r="D149" s="3">
        <f t="shared" si="11"/>
        <v>1</v>
      </c>
      <c r="E149" s="3" t="str">
        <f t="shared" si="12"/>
        <v>same</v>
      </c>
      <c r="F149" s="3" t="str">
        <f t="shared" si="13"/>
        <v>no</v>
      </c>
      <c r="G149" s="3" t="str">
        <f t="shared" si="14"/>
        <v>ok</v>
      </c>
    </row>
    <row r="150" spans="1:7" x14ac:dyDescent="0.25">
      <c r="A150" s="2">
        <v>148</v>
      </c>
      <c r="B150" s="2">
        <v>70</v>
      </c>
      <c r="C150" s="3">
        <f t="shared" si="10"/>
        <v>0</v>
      </c>
      <c r="D150" s="3">
        <f t="shared" si="11"/>
        <v>0</v>
      </c>
      <c r="E150" s="3" t="str">
        <f t="shared" si="12"/>
        <v>same</v>
      </c>
      <c r="F150" s="3" t="str">
        <f t="shared" si="13"/>
        <v>no</v>
      </c>
      <c r="G150" s="3" t="str">
        <f t="shared" si="14"/>
        <v>ok</v>
      </c>
    </row>
    <row r="151" spans="1:7" x14ac:dyDescent="0.25">
      <c r="A151" s="2">
        <v>149</v>
      </c>
      <c r="B151" s="2">
        <v>-1</v>
      </c>
      <c r="C151" s="3">
        <f t="shared" si="10"/>
        <v>1</v>
      </c>
      <c r="D151" s="3">
        <f t="shared" si="11"/>
        <v>1</v>
      </c>
      <c r="E151" s="3" t="str">
        <f t="shared" si="12"/>
        <v>same</v>
      </c>
      <c r="F151" s="3" t="str">
        <f t="shared" si="13"/>
        <v>no</v>
      </c>
      <c r="G151" s="3" t="str">
        <f t="shared" si="14"/>
        <v>ok</v>
      </c>
    </row>
    <row r="152" spans="1:7" x14ac:dyDescent="0.25">
      <c r="A152" s="2">
        <v>150</v>
      </c>
      <c r="B152" s="2">
        <v>98</v>
      </c>
      <c r="C152" s="3">
        <f t="shared" si="10"/>
        <v>0</v>
      </c>
      <c r="D152" s="3">
        <f t="shared" si="11"/>
        <v>0</v>
      </c>
      <c r="E152" s="3" t="str">
        <f t="shared" si="12"/>
        <v>same</v>
      </c>
      <c r="F152" s="3" t="str">
        <f t="shared" si="13"/>
        <v>no</v>
      </c>
      <c r="G152" s="3" t="str">
        <f t="shared" si="14"/>
        <v>ok</v>
      </c>
    </row>
    <row r="153" spans="1:7" x14ac:dyDescent="0.25">
      <c r="A153" s="2">
        <v>151</v>
      </c>
      <c r="B153" s="2">
        <v>-1</v>
      </c>
      <c r="C153" s="3">
        <f t="shared" si="10"/>
        <v>1</v>
      </c>
      <c r="D153" s="3">
        <f t="shared" si="11"/>
        <v>1</v>
      </c>
      <c r="E153" s="3" t="str">
        <f t="shared" si="12"/>
        <v>same</v>
      </c>
      <c r="F153" s="3" t="str">
        <f t="shared" si="13"/>
        <v>no</v>
      </c>
      <c r="G153" s="3" t="str">
        <f t="shared" si="14"/>
        <v>ok</v>
      </c>
    </row>
    <row r="154" spans="1:7" x14ac:dyDescent="0.25">
      <c r="A154" s="2">
        <v>152</v>
      </c>
      <c r="B154" s="2">
        <v>72</v>
      </c>
      <c r="C154" s="3">
        <f t="shared" si="10"/>
        <v>0</v>
      </c>
      <c r="D154" s="3">
        <f t="shared" si="11"/>
        <v>0</v>
      </c>
      <c r="E154" s="3" t="str">
        <f t="shared" si="12"/>
        <v>same</v>
      </c>
      <c r="F154" s="3" t="str">
        <f t="shared" si="13"/>
        <v>no</v>
      </c>
      <c r="G154" s="3" t="str">
        <f t="shared" si="14"/>
        <v>ok</v>
      </c>
    </row>
    <row r="155" spans="1:7" x14ac:dyDescent="0.25">
      <c r="A155" s="2">
        <v>153</v>
      </c>
      <c r="B155" s="2">
        <v>51</v>
      </c>
      <c r="C155" s="3">
        <f t="shared" si="10"/>
        <v>1</v>
      </c>
      <c r="D155" s="3">
        <f t="shared" si="11"/>
        <v>1</v>
      </c>
      <c r="E155" s="3" t="str">
        <f t="shared" si="12"/>
        <v>same</v>
      </c>
      <c r="F155" s="3" t="str">
        <f t="shared" si="13"/>
        <v>no</v>
      </c>
      <c r="G155" s="3" t="str">
        <f t="shared" si="14"/>
        <v>ok</v>
      </c>
    </row>
    <row r="156" spans="1:7" x14ac:dyDescent="0.25">
      <c r="A156" s="2">
        <v>154</v>
      </c>
      <c r="B156" s="2">
        <v>86</v>
      </c>
      <c r="C156" s="3">
        <f t="shared" si="10"/>
        <v>0</v>
      </c>
      <c r="D156" s="3">
        <f t="shared" si="11"/>
        <v>0</v>
      </c>
      <c r="E156" s="3" t="str">
        <f t="shared" si="12"/>
        <v>same</v>
      </c>
      <c r="F156" s="3" t="str">
        <f t="shared" si="13"/>
        <v>no</v>
      </c>
      <c r="G156" s="3" t="str">
        <f t="shared" si="14"/>
        <v>ok</v>
      </c>
    </row>
    <row r="157" spans="1:7" x14ac:dyDescent="0.25">
      <c r="A157" s="2">
        <v>155</v>
      </c>
      <c r="B157" s="2">
        <v>31</v>
      </c>
      <c r="C157" s="3">
        <f t="shared" si="10"/>
        <v>1</v>
      </c>
      <c r="D157" s="3">
        <f t="shared" si="11"/>
        <v>1</v>
      </c>
      <c r="E157" s="3" t="str">
        <f t="shared" si="12"/>
        <v>same</v>
      </c>
      <c r="F157" s="3" t="str">
        <f t="shared" si="13"/>
        <v>no</v>
      </c>
      <c r="G157" s="3" t="str">
        <f t="shared" si="14"/>
        <v>ok</v>
      </c>
    </row>
    <row r="158" spans="1:7" x14ac:dyDescent="0.25">
      <c r="A158" s="2">
        <v>156</v>
      </c>
      <c r="B158" s="2">
        <v>96</v>
      </c>
      <c r="C158" s="3">
        <f t="shared" si="10"/>
        <v>0</v>
      </c>
      <c r="D158" s="3">
        <f t="shared" si="11"/>
        <v>0</v>
      </c>
      <c r="E158" s="3" t="str">
        <f t="shared" si="12"/>
        <v>same</v>
      </c>
      <c r="F158" s="3" t="str">
        <f t="shared" si="13"/>
        <v>no</v>
      </c>
      <c r="G158" s="3" t="str">
        <f t="shared" si="14"/>
        <v>ok</v>
      </c>
    </row>
    <row r="159" spans="1:7" x14ac:dyDescent="0.25">
      <c r="A159" s="2">
        <v>157</v>
      </c>
      <c r="B159" s="2">
        <v>-1</v>
      </c>
      <c r="C159" s="3">
        <f t="shared" si="10"/>
        <v>1</v>
      </c>
      <c r="D159" s="3">
        <f t="shared" si="11"/>
        <v>1</v>
      </c>
      <c r="E159" s="3" t="str">
        <f t="shared" si="12"/>
        <v>same</v>
      </c>
      <c r="F159" s="3" t="str">
        <f t="shared" si="13"/>
        <v>no</v>
      </c>
      <c r="G159" s="3" t="str">
        <f t="shared" si="14"/>
        <v>ok</v>
      </c>
    </row>
    <row r="160" spans="1:7" x14ac:dyDescent="0.25">
      <c r="A160" s="2">
        <v>158</v>
      </c>
      <c r="B160" s="2">
        <v>76</v>
      </c>
      <c r="C160" s="3">
        <f t="shared" si="10"/>
        <v>0</v>
      </c>
      <c r="D160" s="3">
        <f t="shared" si="11"/>
        <v>0</v>
      </c>
      <c r="E160" s="3" t="str">
        <f t="shared" si="12"/>
        <v>same</v>
      </c>
      <c r="F160" s="3" t="str">
        <f t="shared" si="13"/>
        <v>no</v>
      </c>
      <c r="G160" s="3" t="str">
        <f t="shared" si="14"/>
        <v>ok</v>
      </c>
    </row>
    <row r="161" spans="1:7" x14ac:dyDescent="0.25">
      <c r="A161" s="2">
        <v>159</v>
      </c>
      <c r="B161" s="2">
        <v>51</v>
      </c>
      <c r="C161" s="3">
        <f t="shared" si="10"/>
        <v>1</v>
      </c>
      <c r="D161" s="3">
        <f t="shared" si="11"/>
        <v>1</v>
      </c>
      <c r="E161" s="3" t="str">
        <f t="shared" si="12"/>
        <v>same</v>
      </c>
      <c r="F161" s="3" t="str">
        <f t="shared" si="13"/>
        <v>no</v>
      </c>
      <c r="G161" s="3" t="str">
        <f t="shared" si="14"/>
        <v>ok</v>
      </c>
    </row>
    <row r="162" spans="1:7" x14ac:dyDescent="0.25">
      <c r="A162" s="2">
        <v>160</v>
      </c>
      <c r="B162" s="2">
        <v>84</v>
      </c>
      <c r="C162" s="3">
        <f t="shared" si="10"/>
        <v>0</v>
      </c>
      <c r="D162" s="3">
        <f t="shared" si="11"/>
        <v>0</v>
      </c>
      <c r="E162" s="3" t="str">
        <f t="shared" si="12"/>
        <v>same</v>
      </c>
      <c r="F162" s="3" t="str">
        <f t="shared" si="13"/>
        <v>no</v>
      </c>
      <c r="G162" s="3" t="str">
        <f t="shared" si="14"/>
        <v>ok</v>
      </c>
    </row>
    <row r="163" spans="1:7" x14ac:dyDescent="0.25">
      <c r="A163" s="2">
        <v>161</v>
      </c>
      <c r="B163" s="2">
        <v>25</v>
      </c>
      <c r="C163" s="3">
        <f t="shared" si="10"/>
        <v>1</v>
      </c>
      <c r="D163" s="3">
        <f t="shared" si="11"/>
        <v>1</v>
      </c>
      <c r="E163" s="3" t="str">
        <f t="shared" si="12"/>
        <v>same</v>
      </c>
      <c r="F163" s="3" t="str">
        <f t="shared" si="13"/>
        <v>no</v>
      </c>
      <c r="G163" s="3" t="str">
        <f t="shared" si="14"/>
        <v>ok</v>
      </c>
    </row>
    <row r="164" spans="1:7" x14ac:dyDescent="0.25">
      <c r="A164" s="2">
        <v>162</v>
      </c>
      <c r="B164" s="2">
        <v>98</v>
      </c>
      <c r="C164" s="3">
        <f t="shared" si="10"/>
        <v>0</v>
      </c>
      <c r="D164" s="3">
        <f t="shared" si="11"/>
        <v>0</v>
      </c>
      <c r="E164" s="3" t="str">
        <f t="shared" si="12"/>
        <v>same</v>
      </c>
      <c r="F164" s="3" t="str">
        <f t="shared" si="13"/>
        <v>no</v>
      </c>
      <c r="G164" s="3" t="str">
        <f t="shared" si="14"/>
        <v>ok</v>
      </c>
    </row>
    <row r="165" spans="1:7" x14ac:dyDescent="0.25">
      <c r="A165" s="2">
        <v>163</v>
      </c>
      <c r="B165" s="2">
        <v>-1</v>
      </c>
      <c r="C165" s="3">
        <f t="shared" si="10"/>
        <v>1</v>
      </c>
      <c r="D165" s="3">
        <f t="shared" si="11"/>
        <v>1</v>
      </c>
      <c r="E165" s="3" t="str">
        <f t="shared" si="12"/>
        <v>same</v>
      </c>
      <c r="F165" s="3" t="str">
        <f t="shared" si="13"/>
        <v>no</v>
      </c>
      <c r="G165" s="3" t="str">
        <f t="shared" si="14"/>
        <v>ok</v>
      </c>
    </row>
    <row r="166" spans="1:7" x14ac:dyDescent="0.25">
      <c r="A166" s="2">
        <v>164</v>
      </c>
      <c r="B166" s="2">
        <v>78</v>
      </c>
      <c r="C166" s="3">
        <f t="shared" si="10"/>
        <v>0</v>
      </c>
      <c r="D166" s="3">
        <f t="shared" si="11"/>
        <v>0</v>
      </c>
      <c r="E166" s="3" t="str">
        <f t="shared" si="12"/>
        <v>same</v>
      </c>
      <c r="F166" s="3" t="str">
        <f t="shared" si="13"/>
        <v>no</v>
      </c>
      <c r="G166" s="3" t="str">
        <f t="shared" si="14"/>
        <v>ok</v>
      </c>
    </row>
    <row r="167" spans="1:7" x14ac:dyDescent="0.25">
      <c r="A167" s="2">
        <v>165</v>
      </c>
      <c r="B167" s="2">
        <v>77</v>
      </c>
      <c r="C167" s="3">
        <f t="shared" si="10"/>
        <v>1</v>
      </c>
      <c r="D167" s="3">
        <f t="shared" si="11"/>
        <v>1</v>
      </c>
      <c r="E167" s="3" t="str">
        <f t="shared" si="12"/>
        <v>same</v>
      </c>
      <c r="F167" s="3" t="str">
        <f t="shared" si="13"/>
        <v>no</v>
      </c>
      <c r="G167" s="3" t="str">
        <f t="shared" si="14"/>
        <v>ok</v>
      </c>
    </row>
    <row r="168" spans="1:7" x14ac:dyDescent="0.25">
      <c r="A168" s="2">
        <v>166</v>
      </c>
      <c r="B168" s="2">
        <v>80</v>
      </c>
      <c r="C168" s="3">
        <f t="shared" si="10"/>
        <v>0</v>
      </c>
      <c r="D168" s="3">
        <f t="shared" si="11"/>
        <v>0</v>
      </c>
      <c r="E168" s="3" t="str">
        <f t="shared" si="12"/>
        <v>same</v>
      </c>
      <c r="F168" s="3" t="str">
        <f t="shared" si="13"/>
        <v>no</v>
      </c>
      <c r="G168" s="3" t="str">
        <f t="shared" si="14"/>
        <v>ok</v>
      </c>
    </row>
    <row r="169" spans="1:7" x14ac:dyDescent="0.25">
      <c r="A169" s="2">
        <v>167</v>
      </c>
      <c r="B169" s="2">
        <v>-1</v>
      </c>
      <c r="C169" s="3">
        <f t="shared" si="10"/>
        <v>1</v>
      </c>
      <c r="D169" s="3">
        <f t="shared" si="11"/>
        <v>1</v>
      </c>
      <c r="E169" s="3" t="str">
        <f t="shared" si="12"/>
        <v>same</v>
      </c>
      <c r="F169" s="3" t="str">
        <f t="shared" si="13"/>
        <v>no</v>
      </c>
      <c r="G169" s="3" t="str">
        <f t="shared" si="14"/>
        <v>ok</v>
      </c>
    </row>
    <row r="170" spans="1:7" x14ac:dyDescent="0.25">
      <c r="A170" s="2">
        <v>168</v>
      </c>
      <c r="B170" s="2">
        <v>104</v>
      </c>
      <c r="C170" s="3">
        <f t="shared" si="10"/>
        <v>0</v>
      </c>
      <c r="D170" s="3">
        <f t="shared" si="11"/>
        <v>0</v>
      </c>
      <c r="E170" s="3" t="str">
        <f t="shared" si="12"/>
        <v>same</v>
      </c>
      <c r="F170" s="3" t="str">
        <f t="shared" si="13"/>
        <v>no</v>
      </c>
      <c r="G170" s="3" t="str">
        <f t="shared" si="14"/>
        <v>ok</v>
      </c>
    </row>
    <row r="171" spans="1:7" x14ac:dyDescent="0.25">
      <c r="A171" s="2">
        <v>169</v>
      </c>
      <c r="B171" s="2">
        <v>10</v>
      </c>
      <c r="C171" s="3">
        <f t="shared" si="10"/>
        <v>0</v>
      </c>
      <c r="D171" s="3">
        <f t="shared" si="11"/>
        <v>1</v>
      </c>
      <c r="E171" s="3" t="str">
        <f t="shared" si="12"/>
        <v>diff</v>
      </c>
      <c r="F171" s="3" t="str">
        <f t="shared" si="13"/>
        <v>YES</v>
      </c>
      <c r="G171" s="3" t="str">
        <f t="shared" si="14"/>
        <v>ok</v>
      </c>
    </row>
    <row r="172" spans="1:7" x14ac:dyDescent="0.25">
      <c r="A172" s="2">
        <v>170</v>
      </c>
      <c r="B172" s="2">
        <v>98</v>
      </c>
      <c r="C172" s="3">
        <f t="shared" si="10"/>
        <v>0</v>
      </c>
      <c r="D172" s="3">
        <f t="shared" si="11"/>
        <v>0</v>
      </c>
      <c r="E172" s="3" t="str">
        <f t="shared" si="12"/>
        <v>same</v>
      </c>
      <c r="F172" s="3" t="str">
        <f t="shared" si="13"/>
        <v>no</v>
      </c>
      <c r="G172" s="3" t="str">
        <f t="shared" si="14"/>
        <v>ok</v>
      </c>
    </row>
    <row r="173" spans="1:7" x14ac:dyDescent="0.25">
      <c r="A173" s="2">
        <v>171</v>
      </c>
      <c r="B173" s="2">
        <v>57</v>
      </c>
      <c r="C173" s="3">
        <f t="shared" si="10"/>
        <v>1</v>
      </c>
      <c r="D173" s="3">
        <f t="shared" si="11"/>
        <v>1</v>
      </c>
      <c r="E173" s="3" t="str">
        <f t="shared" si="12"/>
        <v>same</v>
      </c>
      <c r="F173" s="3" t="str">
        <f t="shared" si="13"/>
        <v>no</v>
      </c>
      <c r="G173" s="3" t="str">
        <f t="shared" si="14"/>
        <v>ok</v>
      </c>
    </row>
    <row r="174" spans="1:7" x14ac:dyDescent="0.25">
      <c r="A174" s="2">
        <v>172</v>
      </c>
      <c r="B174" s="2">
        <v>82</v>
      </c>
      <c r="C174" s="3">
        <f t="shared" si="10"/>
        <v>0</v>
      </c>
      <c r="D174" s="3">
        <f t="shared" si="11"/>
        <v>0</v>
      </c>
      <c r="E174" s="3" t="str">
        <f t="shared" si="12"/>
        <v>same</v>
      </c>
      <c r="F174" s="3" t="str">
        <f t="shared" si="13"/>
        <v>no</v>
      </c>
      <c r="G174" s="3" t="str">
        <f t="shared" si="14"/>
        <v>ok</v>
      </c>
    </row>
    <row r="175" spans="1:7" x14ac:dyDescent="0.25">
      <c r="A175" s="2">
        <v>173</v>
      </c>
      <c r="B175" s="2">
        <v>-1</v>
      </c>
      <c r="C175" s="3">
        <f t="shared" si="10"/>
        <v>1</v>
      </c>
      <c r="D175" s="3">
        <f t="shared" si="11"/>
        <v>1</v>
      </c>
      <c r="E175" s="3" t="str">
        <f t="shared" si="12"/>
        <v>same</v>
      </c>
      <c r="F175" s="3" t="str">
        <f t="shared" si="13"/>
        <v>no</v>
      </c>
      <c r="G175" s="3" t="str">
        <f t="shared" si="14"/>
        <v>ok</v>
      </c>
    </row>
    <row r="176" spans="1:7" x14ac:dyDescent="0.25">
      <c r="A176" s="2">
        <v>174</v>
      </c>
      <c r="B176" s="2">
        <v>110</v>
      </c>
      <c r="C176" s="3">
        <f t="shared" si="10"/>
        <v>0</v>
      </c>
      <c r="D176" s="3">
        <f t="shared" si="11"/>
        <v>0</v>
      </c>
      <c r="E176" s="3" t="str">
        <f t="shared" si="12"/>
        <v>same</v>
      </c>
      <c r="F176" s="3" t="str">
        <f t="shared" si="13"/>
        <v>no</v>
      </c>
      <c r="G176" s="3" t="str">
        <f t="shared" si="14"/>
        <v>ok</v>
      </c>
    </row>
    <row r="177" spans="1:7" x14ac:dyDescent="0.25">
      <c r="A177" s="2">
        <v>175</v>
      </c>
      <c r="B177" s="2">
        <v>49</v>
      </c>
      <c r="C177" s="3">
        <f t="shared" si="10"/>
        <v>1</v>
      </c>
      <c r="D177" s="3">
        <f t="shared" si="11"/>
        <v>1</v>
      </c>
      <c r="E177" s="3" t="str">
        <f t="shared" si="12"/>
        <v>same</v>
      </c>
      <c r="F177" s="3" t="str">
        <f t="shared" si="13"/>
        <v>no</v>
      </c>
      <c r="G177" s="3" t="str">
        <f t="shared" si="14"/>
        <v>ok</v>
      </c>
    </row>
    <row r="178" spans="1:7" x14ac:dyDescent="0.25">
      <c r="A178" s="2">
        <v>176</v>
      </c>
      <c r="B178" s="2">
        <v>86</v>
      </c>
      <c r="C178" s="3">
        <f t="shared" si="10"/>
        <v>0</v>
      </c>
      <c r="D178" s="3">
        <f t="shared" si="11"/>
        <v>0</v>
      </c>
      <c r="E178" s="3" t="str">
        <f t="shared" si="12"/>
        <v>same</v>
      </c>
      <c r="F178" s="3" t="str">
        <f t="shared" si="13"/>
        <v>no</v>
      </c>
      <c r="G178" s="3" t="str">
        <f t="shared" si="14"/>
        <v>ok</v>
      </c>
    </row>
    <row r="179" spans="1:7" x14ac:dyDescent="0.25">
      <c r="A179" s="2">
        <v>177</v>
      </c>
      <c r="B179" s="2">
        <v>57</v>
      </c>
      <c r="C179" s="3">
        <f t="shared" si="10"/>
        <v>1</v>
      </c>
      <c r="D179" s="3">
        <f t="shared" si="11"/>
        <v>1</v>
      </c>
      <c r="E179" s="3" t="str">
        <f t="shared" si="12"/>
        <v>same</v>
      </c>
      <c r="F179" s="3" t="str">
        <f t="shared" si="13"/>
        <v>no</v>
      </c>
      <c r="G179" s="3" t="str">
        <f t="shared" si="14"/>
        <v>ok</v>
      </c>
    </row>
    <row r="180" spans="1:7" x14ac:dyDescent="0.25">
      <c r="A180" s="2">
        <v>178</v>
      </c>
      <c r="B180" s="2">
        <v>86</v>
      </c>
      <c r="C180" s="3">
        <f t="shared" si="10"/>
        <v>0</v>
      </c>
      <c r="D180" s="3">
        <f t="shared" si="11"/>
        <v>0</v>
      </c>
      <c r="E180" s="3" t="str">
        <f t="shared" si="12"/>
        <v>same</v>
      </c>
      <c r="F180" s="3" t="str">
        <f t="shared" si="13"/>
        <v>no</v>
      </c>
      <c r="G180" s="3" t="str">
        <f t="shared" si="14"/>
        <v>ok</v>
      </c>
    </row>
    <row r="181" spans="1:7" x14ac:dyDescent="0.25">
      <c r="A181" s="2">
        <v>179</v>
      </c>
      <c r="B181" s="2">
        <v>-1</v>
      </c>
      <c r="C181" s="3">
        <f t="shared" si="10"/>
        <v>1</v>
      </c>
      <c r="D181" s="3">
        <f t="shared" si="11"/>
        <v>1</v>
      </c>
      <c r="E181" s="3" t="str">
        <f t="shared" si="12"/>
        <v>same</v>
      </c>
      <c r="F181" s="3" t="str">
        <f t="shared" si="13"/>
        <v>no</v>
      </c>
      <c r="G181" s="3" t="str">
        <f t="shared" si="14"/>
        <v>ok</v>
      </c>
    </row>
    <row r="182" spans="1:7" x14ac:dyDescent="0.25">
      <c r="A182" s="2">
        <v>180</v>
      </c>
      <c r="B182" s="2">
        <v>114</v>
      </c>
      <c r="C182" s="3">
        <f t="shared" si="10"/>
        <v>0</v>
      </c>
      <c r="D182" s="3">
        <f t="shared" si="11"/>
        <v>0</v>
      </c>
      <c r="E182" s="3" t="str">
        <f t="shared" si="12"/>
        <v>same</v>
      </c>
      <c r="F182" s="3" t="str">
        <f t="shared" si="13"/>
        <v>no</v>
      </c>
      <c r="G182" s="3" t="str">
        <f t="shared" si="14"/>
        <v>ok</v>
      </c>
    </row>
    <row r="183" spans="1:7" x14ac:dyDescent="0.25">
      <c r="A183" s="2">
        <v>181</v>
      </c>
      <c r="B183" s="2">
        <v>-1</v>
      </c>
      <c r="C183" s="3">
        <f t="shared" si="10"/>
        <v>1</v>
      </c>
      <c r="D183" s="3">
        <f t="shared" si="11"/>
        <v>1</v>
      </c>
      <c r="E183" s="3" t="str">
        <f t="shared" si="12"/>
        <v>same</v>
      </c>
      <c r="F183" s="3" t="str">
        <f t="shared" si="13"/>
        <v>no</v>
      </c>
      <c r="G183" s="3" t="str">
        <f t="shared" si="14"/>
        <v>ok</v>
      </c>
    </row>
    <row r="184" spans="1:7" x14ac:dyDescent="0.25">
      <c r="A184" s="2">
        <v>182</v>
      </c>
      <c r="B184" s="2">
        <v>102</v>
      </c>
      <c r="C184" s="3">
        <f t="shared" si="10"/>
        <v>0</v>
      </c>
      <c r="D184" s="3">
        <f t="shared" si="11"/>
        <v>0</v>
      </c>
      <c r="E184" s="3" t="str">
        <f t="shared" si="12"/>
        <v>same</v>
      </c>
      <c r="F184" s="3" t="str">
        <f t="shared" si="13"/>
        <v>no</v>
      </c>
      <c r="G184" s="3" t="str">
        <f t="shared" si="14"/>
        <v>ok</v>
      </c>
    </row>
    <row r="185" spans="1:7" x14ac:dyDescent="0.25">
      <c r="A185" s="2">
        <v>183</v>
      </c>
      <c r="B185" s="2">
        <v>59</v>
      </c>
      <c r="C185" s="3">
        <f t="shared" si="10"/>
        <v>1</v>
      </c>
      <c r="D185" s="3">
        <f t="shared" si="11"/>
        <v>1</v>
      </c>
      <c r="E185" s="3" t="str">
        <f t="shared" si="12"/>
        <v>same</v>
      </c>
      <c r="F185" s="3" t="str">
        <f t="shared" si="13"/>
        <v>no</v>
      </c>
      <c r="G185" s="3" t="str">
        <f t="shared" si="14"/>
        <v>ok</v>
      </c>
    </row>
    <row r="186" spans="1:7" x14ac:dyDescent="0.25">
      <c r="A186" s="2">
        <v>184</v>
      </c>
      <c r="B186" s="2">
        <v>88</v>
      </c>
      <c r="C186" s="3">
        <f t="shared" si="10"/>
        <v>0</v>
      </c>
      <c r="D186" s="3">
        <f t="shared" si="11"/>
        <v>0</v>
      </c>
      <c r="E186" s="3" t="str">
        <f t="shared" si="12"/>
        <v>same</v>
      </c>
      <c r="F186" s="3" t="str">
        <f t="shared" si="13"/>
        <v>no</v>
      </c>
      <c r="G186" s="3" t="str">
        <f t="shared" si="14"/>
        <v>ok</v>
      </c>
    </row>
    <row r="187" spans="1:7" x14ac:dyDescent="0.25">
      <c r="A187" s="2">
        <v>185</v>
      </c>
      <c r="B187" s="2">
        <v>37</v>
      </c>
      <c r="C187" s="3">
        <f t="shared" si="10"/>
        <v>1</v>
      </c>
      <c r="D187" s="3">
        <f t="shared" si="11"/>
        <v>1</v>
      </c>
      <c r="E187" s="3" t="str">
        <f t="shared" si="12"/>
        <v>same</v>
      </c>
      <c r="F187" s="3" t="str">
        <f t="shared" si="13"/>
        <v>no</v>
      </c>
      <c r="G187" s="3" t="str">
        <f t="shared" si="14"/>
        <v>ok</v>
      </c>
    </row>
    <row r="188" spans="1:7" x14ac:dyDescent="0.25">
      <c r="A188" s="2">
        <v>186</v>
      </c>
      <c r="B188" s="2">
        <v>118</v>
      </c>
      <c r="C188" s="3">
        <f t="shared" si="10"/>
        <v>0</v>
      </c>
      <c r="D188" s="3">
        <f t="shared" si="11"/>
        <v>0</v>
      </c>
      <c r="E188" s="3" t="str">
        <f t="shared" si="12"/>
        <v>same</v>
      </c>
      <c r="F188" s="3" t="str">
        <f t="shared" si="13"/>
        <v>no</v>
      </c>
      <c r="G188" s="3" t="str">
        <f t="shared" si="14"/>
        <v>ok</v>
      </c>
    </row>
    <row r="189" spans="1:7" x14ac:dyDescent="0.25">
      <c r="A189" s="2">
        <v>187</v>
      </c>
      <c r="B189" s="2">
        <v>23</v>
      </c>
      <c r="C189" s="3">
        <f t="shared" si="10"/>
        <v>1</v>
      </c>
      <c r="D189" s="3">
        <f t="shared" si="11"/>
        <v>1</v>
      </c>
      <c r="E189" s="3" t="str">
        <f t="shared" si="12"/>
        <v>same</v>
      </c>
      <c r="F189" s="3" t="str">
        <f t="shared" si="13"/>
        <v>no</v>
      </c>
      <c r="G189" s="3" t="str">
        <f t="shared" si="14"/>
        <v>ok</v>
      </c>
    </row>
    <row r="190" spans="1:7" x14ac:dyDescent="0.25">
      <c r="A190" s="2">
        <v>188</v>
      </c>
      <c r="B190" s="2">
        <v>90</v>
      </c>
      <c r="C190" s="3">
        <f t="shared" si="10"/>
        <v>0</v>
      </c>
      <c r="D190" s="3">
        <f t="shared" si="11"/>
        <v>0</v>
      </c>
      <c r="E190" s="3" t="str">
        <f t="shared" si="12"/>
        <v>same</v>
      </c>
      <c r="F190" s="3" t="str">
        <f t="shared" si="13"/>
        <v>no</v>
      </c>
      <c r="G190" s="3" t="str">
        <f t="shared" si="14"/>
        <v>ok</v>
      </c>
    </row>
    <row r="191" spans="1:7" x14ac:dyDescent="0.25">
      <c r="A191" s="2">
        <v>189</v>
      </c>
      <c r="B191" s="2">
        <v>73</v>
      </c>
      <c r="C191" s="3">
        <f t="shared" si="10"/>
        <v>1</v>
      </c>
      <c r="D191" s="3">
        <f t="shared" si="11"/>
        <v>1</v>
      </c>
      <c r="E191" s="3" t="str">
        <f t="shared" si="12"/>
        <v>same</v>
      </c>
      <c r="F191" s="3" t="str">
        <f t="shared" si="13"/>
        <v>no</v>
      </c>
      <c r="G191" s="3" t="str">
        <f t="shared" si="14"/>
        <v>ok</v>
      </c>
    </row>
    <row r="192" spans="1:7" x14ac:dyDescent="0.25">
      <c r="A192" s="2">
        <v>190</v>
      </c>
      <c r="B192" s="2">
        <v>110</v>
      </c>
      <c r="C192" s="3">
        <f t="shared" si="10"/>
        <v>0</v>
      </c>
      <c r="D192" s="3">
        <f t="shared" si="11"/>
        <v>0</v>
      </c>
      <c r="E192" s="3" t="str">
        <f t="shared" si="12"/>
        <v>same</v>
      </c>
      <c r="F192" s="3" t="str">
        <f t="shared" si="13"/>
        <v>no</v>
      </c>
      <c r="G192" s="3" t="str">
        <f t="shared" si="14"/>
        <v>ok</v>
      </c>
    </row>
    <row r="193" spans="1:7" x14ac:dyDescent="0.25">
      <c r="A193" s="2">
        <v>191</v>
      </c>
      <c r="B193" s="2">
        <v>-1</v>
      </c>
      <c r="C193" s="3">
        <f t="shared" si="10"/>
        <v>1</v>
      </c>
      <c r="D193" s="3">
        <f t="shared" si="11"/>
        <v>1</v>
      </c>
      <c r="E193" s="3" t="str">
        <f t="shared" si="12"/>
        <v>same</v>
      </c>
      <c r="F193" s="3" t="str">
        <f t="shared" si="13"/>
        <v>no</v>
      </c>
      <c r="G193" s="3" t="str">
        <f t="shared" si="14"/>
        <v>ok</v>
      </c>
    </row>
    <row r="194" spans="1:7" x14ac:dyDescent="0.25">
      <c r="A194" s="2">
        <v>192</v>
      </c>
      <c r="B194" s="2">
        <v>114</v>
      </c>
      <c r="C194" s="3">
        <f t="shared" si="10"/>
        <v>0</v>
      </c>
      <c r="D194" s="3">
        <f t="shared" si="11"/>
        <v>0</v>
      </c>
      <c r="E194" s="3" t="str">
        <f t="shared" si="12"/>
        <v>same</v>
      </c>
      <c r="F194" s="3" t="str">
        <f t="shared" si="13"/>
        <v>no</v>
      </c>
      <c r="G194" s="3" t="str">
        <f t="shared" si="14"/>
        <v>ok</v>
      </c>
    </row>
    <row r="195" spans="1:7" x14ac:dyDescent="0.25">
      <c r="A195" s="2">
        <v>193</v>
      </c>
      <c r="B195" s="2">
        <v>-1</v>
      </c>
      <c r="C195" s="3">
        <f t="shared" si="10"/>
        <v>1</v>
      </c>
      <c r="D195" s="3">
        <f t="shared" si="11"/>
        <v>1</v>
      </c>
      <c r="E195" s="3" t="str">
        <f t="shared" si="12"/>
        <v>same</v>
      </c>
      <c r="F195" s="3" t="str">
        <f t="shared" si="13"/>
        <v>no</v>
      </c>
      <c r="G195" s="3" t="str">
        <f t="shared" si="14"/>
        <v>ok</v>
      </c>
    </row>
    <row r="196" spans="1:7" x14ac:dyDescent="0.25">
      <c r="A196" s="2">
        <v>194</v>
      </c>
      <c r="B196" s="2">
        <v>94</v>
      </c>
      <c r="C196" s="3">
        <f t="shared" si="10"/>
        <v>0</v>
      </c>
      <c r="D196" s="3">
        <f t="shared" si="11"/>
        <v>0</v>
      </c>
      <c r="E196" s="3" t="str">
        <f t="shared" si="12"/>
        <v>same</v>
      </c>
      <c r="F196" s="3" t="str">
        <f t="shared" si="13"/>
        <v>no</v>
      </c>
      <c r="G196" s="3" t="str">
        <f t="shared" si="14"/>
        <v>ok</v>
      </c>
    </row>
    <row r="197" spans="1:7" x14ac:dyDescent="0.25">
      <c r="A197" s="2">
        <v>195</v>
      </c>
      <c r="B197" s="2">
        <v>91</v>
      </c>
      <c r="C197" s="3">
        <f t="shared" ref="C197:C260" si="15">MOD(B197,2)</f>
        <v>1</v>
      </c>
      <c r="D197" s="3">
        <f t="shared" ref="D197:D260" si="16">MOD(A197,2)</f>
        <v>1</v>
      </c>
      <c r="E197" s="3" t="str">
        <f t="shared" ref="E197:E260" si="17">IF(C197=D197,"same","diff")</f>
        <v>same</v>
      </c>
      <c r="F197" s="3" t="str">
        <f t="shared" ref="F197:F260" si="18">IF(SQRT(A197)=INT(SQRT(A197)),"YES","no")</f>
        <v>no</v>
      </c>
      <c r="G197" s="3" t="str">
        <f t="shared" ref="G197:G260" si="19">IF(AND(E197="same",F197="no"),"ok",IF(AND(E197="diff",F197="YES"),"ok","FAIL"))</f>
        <v>ok</v>
      </c>
    </row>
    <row r="198" spans="1:7" x14ac:dyDescent="0.25">
      <c r="A198" s="2">
        <v>196</v>
      </c>
      <c r="B198" s="2">
        <v>103</v>
      </c>
      <c r="C198" s="3">
        <f t="shared" si="15"/>
        <v>1</v>
      </c>
      <c r="D198" s="3">
        <f t="shared" si="16"/>
        <v>0</v>
      </c>
      <c r="E198" s="3" t="str">
        <f t="shared" si="17"/>
        <v>diff</v>
      </c>
      <c r="F198" s="3" t="str">
        <f t="shared" si="18"/>
        <v>YES</v>
      </c>
      <c r="G198" s="3" t="str">
        <f t="shared" si="19"/>
        <v>ok</v>
      </c>
    </row>
    <row r="199" spans="1:7" x14ac:dyDescent="0.25">
      <c r="A199" s="2">
        <v>197</v>
      </c>
      <c r="B199" s="2">
        <v>-1</v>
      </c>
      <c r="C199" s="3">
        <f t="shared" si="15"/>
        <v>1</v>
      </c>
      <c r="D199" s="3">
        <f t="shared" si="16"/>
        <v>1</v>
      </c>
      <c r="E199" s="3" t="str">
        <f t="shared" si="17"/>
        <v>same</v>
      </c>
      <c r="F199" s="3" t="str">
        <f t="shared" si="18"/>
        <v>no</v>
      </c>
      <c r="G199" s="3" t="str">
        <f t="shared" si="19"/>
        <v>ok</v>
      </c>
    </row>
    <row r="200" spans="1:7" x14ac:dyDescent="0.25">
      <c r="A200" s="2">
        <v>198</v>
      </c>
      <c r="B200" s="2">
        <v>126</v>
      </c>
      <c r="C200" s="3">
        <f t="shared" si="15"/>
        <v>0</v>
      </c>
      <c r="D200" s="3">
        <f t="shared" si="16"/>
        <v>0</v>
      </c>
      <c r="E200" s="3" t="str">
        <f t="shared" si="17"/>
        <v>same</v>
      </c>
      <c r="F200" s="3" t="str">
        <f t="shared" si="18"/>
        <v>no</v>
      </c>
      <c r="G200" s="3" t="str">
        <f t="shared" si="19"/>
        <v>ok</v>
      </c>
    </row>
    <row r="201" spans="1:7" x14ac:dyDescent="0.25">
      <c r="A201" s="2">
        <v>199</v>
      </c>
      <c r="B201" s="2">
        <v>-1</v>
      </c>
      <c r="C201" s="3">
        <f t="shared" si="15"/>
        <v>1</v>
      </c>
      <c r="D201" s="3">
        <f t="shared" si="16"/>
        <v>1</v>
      </c>
      <c r="E201" s="3" t="str">
        <f t="shared" si="17"/>
        <v>same</v>
      </c>
      <c r="F201" s="3" t="str">
        <f t="shared" si="18"/>
        <v>no</v>
      </c>
      <c r="G201" s="3" t="str">
        <f t="shared" si="19"/>
        <v>ok</v>
      </c>
    </row>
    <row r="202" spans="1:7" x14ac:dyDescent="0.25">
      <c r="A202" s="2">
        <v>200</v>
      </c>
      <c r="B202" s="2">
        <v>108</v>
      </c>
      <c r="C202" s="3">
        <f t="shared" si="15"/>
        <v>0</v>
      </c>
      <c r="D202" s="3">
        <f t="shared" si="16"/>
        <v>0</v>
      </c>
      <c r="E202" s="3" t="str">
        <f t="shared" si="17"/>
        <v>same</v>
      </c>
      <c r="F202" s="3" t="str">
        <f t="shared" si="18"/>
        <v>no</v>
      </c>
      <c r="G202" s="3" t="str">
        <f t="shared" si="19"/>
        <v>ok</v>
      </c>
    </row>
    <row r="203" spans="1:7" x14ac:dyDescent="0.25">
      <c r="A203" s="2">
        <v>201</v>
      </c>
      <c r="B203" s="2">
        <v>65</v>
      </c>
      <c r="C203" s="3">
        <f t="shared" si="15"/>
        <v>1</v>
      </c>
      <c r="D203" s="3">
        <f t="shared" si="16"/>
        <v>1</v>
      </c>
      <c r="E203" s="3" t="str">
        <f t="shared" si="17"/>
        <v>same</v>
      </c>
      <c r="F203" s="3" t="str">
        <f t="shared" si="18"/>
        <v>no</v>
      </c>
      <c r="G203" s="3" t="str">
        <f t="shared" si="19"/>
        <v>ok</v>
      </c>
    </row>
    <row r="204" spans="1:7" x14ac:dyDescent="0.25">
      <c r="A204" s="2">
        <v>202</v>
      </c>
      <c r="B204" s="2">
        <v>98</v>
      </c>
      <c r="C204" s="3">
        <f t="shared" si="15"/>
        <v>0</v>
      </c>
      <c r="D204" s="3">
        <f t="shared" si="16"/>
        <v>0</v>
      </c>
      <c r="E204" s="3" t="str">
        <f t="shared" si="17"/>
        <v>same</v>
      </c>
      <c r="F204" s="3" t="str">
        <f t="shared" si="18"/>
        <v>no</v>
      </c>
      <c r="G204" s="3" t="str">
        <f t="shared" si="19"/>
        <v>ok</v>
      </c>
    </row>
    <row r="205" spans="1:7" x14ac:dyDescent="0.25">
      <c r="A205" s="2">
        <v>203</v>
      </c>
      <c r="B205" s="2">
        <v>31</v>
      </c>
      <c r="C205" s="3">
        <f t="shared" si="15"/>
        <v>1</v>
      </c>
      <c r="D205" s="3">
        <f t="shared" si="16"/>
        <v>1</v>
      </c>
      <c r="E205" s="3" t="str">
        <f t="shared" si="17"/>
        <v>same</v>
      </c>
      <c r="F205" s="3" t="str">
        <f t="shared" si="18"/>
        <v>no</v>
      </c>
      <c r="G205" s="3" t="str">
        <f t="shared" si="19"/>
        <v>ok</v>
      </c>
    </row>
    <row r="206" spans="1:7" x14ac:dyDescent="0.25">
      <c r="A206" s="2">
        <v>204</v>
      </c>
      <c r="B206" s="2">
        <v>128</v>
      </c>
      <c r="C206" s="3">
        <f t="shared" si="15"/>
        <v>0</v>
      </c>
      <c r="D206" s="3">
        <f t="shared" si="16"/>
        <v>0</v>
      </c>
      <c r="E206" s="3" t="str">
        <f t="shared" si="17"/>
        <v>same</v>
      </c>
      <c r="F206" s="3" t="str">
        <f t="shared" si="18"/>
        <v>no</v>
      </c>
      <c r="G206" s="3" t="str">
        <f t="shared" si="19"/>
        <v>ok</v>
      </c>
    </row>
    <row r="207" spans="1:7" x14ac:dyDescent="0.25">
      <c r="A207" s="2">
        <v>205</v>
      </c>
      <c r="B207" s="2">
        <v>41</v>
      </c>
      <c r="C207" s="3">
        <f t="shared" si="15"/>
        <v>1</v>
      </c>
      <c r="D207" s="3">
        <f t="shared" si="16"/>
        <v>1</v>
      </c>
      <c r="E207" s="3" t="str">
        <f t="shared" si="17"/>
        <v>same</v>
      </c>
      <c r="F207" s="3" t="str">
        <f t="shared" si="18"/>
        <v>no</v>
      </c>
      <c r="G207" s="3" t="str">
        <f t="shared" si="19"/>
        <v>ok</v>
      </c>
    </row>
    <row r="208" spans="1:7" x14ac:dyDescent="0.25">
      <c r="A208" s="2">
        <v>206</v>
      </c>
      <c r="B208" s="2">
        <v>100</v>
      </c>
      <c r="C208" s="3">
        <f t="shared" si="15"/>
        <v>0</v>
      </c>
      <c r="D208" s="3">
        <f t="shared" si="16"/>
        <v>0</v>
      </c>
      <c r="E208" s="3" t="str">
        <f t="shared" si="17"/>
        <v>same</v>
      </c>
      <c r="F208" s="3" t="str">
        <f t="shared" si="18"/>
        <v>no</v>
      </c>
      <c r="G208" s="3" t="str">
        <f t="shared" si="19"/>
        <v>ok</v>
      </c>
    </row>
    <row r="209" spans="1:7" x14ac:dyDescent="0.25">
      <c r="A209" s="2">
        <v>207</v>
      </c>
      <c r="B209" s="2">
        <v>69</v>
      </c>
      <c r="C209" s="3">
        <f t="shared" si="15"/>
        <v>1</v>
      </c>
      <c r="D209" s="3">
        <f t="shared" si="16"/>
        <v>1</v>
      </c>
      <c r="E209" s="3" t="str">
        <f t="shared" si="17"/>
        <v>same</v>
      </c>
      <c r="F209" s="3" t="str">
        <f t="shared" si="18"/>
        <v>no</v>
      </c>
      <c r="G209" s="3" t="str">
        <f t="shared" si="19"/>
        <v>ok</v>
      </c>
    </row>
    <row r="210" spans="1:7" x14ac:dyDescent="0.25">
      <c r="A210" s="2">
        <v>208</v>
      </c>
      <c r="B210" s="2">
        <v>102</v>
      </c>
      <c r="C210" s="3">
        <f t="shared" si="15"/>
        <v>0</v>
      </c>
      <c r="D210" s="3">
        <f t="shared" si="16"/>
        <v>0</v>
      </c>
      <c r="E210" s="3" t="str">
        <f t="shared" si="17"/>
        <v>same</v>
      </c>
      <c r="F210" s="3" t="str">
        <f t="shared" si="18"/>
        <v>no</v>
      </c>
      <c r="G210" s="3" t="str">
        <f t="shared" si="19"/>
        <v>ok</v>
      </c>
    </row>
    <row r="211" spans="1:7" x14ac:dyDescent="0.25">
      <c r="A211" s="2">
        <v>209</v>
      </c>
      <c r="B211" s="2">
        <v>25</v>
      </c>
      <c r="C211" s="3">
        <f t="shared" si="15"/>
        <v>1</v>
      </c>
      <c r="D211" s="3">
        <f t="shared" si="16"/>
        <v>1</v>
      </c>
      <c r="E211" s="3" t="str">
        <f t="shared" si="17"/>
        <v>same</v>
      </c>
      <c r="F211" s="3" t="str">
        <f t="shared" si="18"/>
        <v>no</v>
      </c>
      <c r="G211" s="3" t="str">
        <f t="shared" si="19"/>
        <v>ok</v>
      </c>
    </row>
    <row r="212" spans="1:7" x14ac:dyDescent="0.25">
      <c r="A212" s="2">
        <v>210</v>
      </c>
      <c r="B212" s="2">
        <v>146</v>
      </c>
      <c r="C212" s="3">
        <f t="shared" si="15"/>
        <v>0</v>
      </c>
      <c r="D212" s="3">
        <f t="shared" si="16"/>
        <v>0</v>
      </c>
      <c r="E212" s="3" t="str">
        <f t="shared" si="17"/>
        <v>same</v>
      </c>
      <c r="F212" s="3" t="str">
        <f t="shared" si="18"/>
        <v>no</v>
      </c>
      <c r="G212" s="3" t="str">
        <f t="shared" si="19"/>
        <v>ok</v>
      </c>
    </row>
    <row r="213" spans="1:7" x14ac:dyDescent="0.25">
      <c r="A213" s="2">
        <v>211</v>
      </c>
      <c r="B213" s="2">
        <v>-1</v>
      </c>
      <c r="C213" s="3">
        <f t="shared" si="15"/>
        <v>1</v>
      </c>
      <c r="D213" s="3">
        <f t="shared" si="16"/>
        <v>1</v>
      </c>
      <c r="E213" s="3" t="str">
        <f t="shared" si="17"/>
        <v>same</v>
      </c>
      <c r="F213" s="3" t="str">
        <f t="shared" si="18"/>
        <v>no</v>
      </c>
      <c r="G213" s="3" t="str">
        <f t="shared" si="19"/>
        <v>ok</v>
      </c>
    </row>
    <row r="214" spans="1:7" x14ac:dyDescent="0.25">
      <c r="A214" s="2">
        <v>212</v>
      </c>
      <c r="B214" s="2">
        <v>102</v>
      </c>
      <c r="C214" s="3">
        <f t="shared" si="15"/>
        <v>0</v>
      </c>
      <c r="D214" s="3">
        <f t="shared" si="16"/>
        <v>0</v>
      </c>
      <c r="E214" s="3" t="str">
        <f t="shared" si="17"/>
        <v>same</v>
      </c>
      <c r="F214" s="3" t="str">
        <f t="shared" si="18"/>
        <v>no</v>
      </c>
      <c r="G214" s="3" t="str">
        <f t="shared" si="19"/>
        <v>ok</v>
      </c>
    </row>
    <row r="215" spans="1:7" x14ac:dyDescent="0.25">
      <c r="A215" s="2">
        <v>213</v>
      </c>
      <c r="B215" s="2">
        <v>69</v>
      </c>
      <c r="C215" s="3">
        <f t="shared" si="15"/>
        <v>1</v>
      </c>
      <c r="D215" s="3">
        <f t="shared" si="16"/>
        <v>1</v>
      </c>
      <c r="E215" s="3" t="str">
        <f t="shared" si="17"/>
        <v>same</v>
      </c>
      <c r="F215" s="3" t="str">
        <f t="shared" si="18"/>
        <v>no</v>
      </c>
      <c r="G215" s="3" t="str">
        <f t="shared" si="19"/>
        <v>ok</v>
      </c>
    </row>
    <row r="216" spans="1:7" x14ac:dyDescent="0.25">
      <c r="A216" s="2">
        <v>214</v>
      </c>
      <c r="B216" s="2">
        <v>104</v>
      </c>
      <c r="C216" s="3">
        <f t="shared" si="15"/>
        <v>0</v>
      </c>
      <c r="D216" s="3">
        <f t="shared" si="16"/>
        <v>0</v>
      </c>
      <c r="E216" s="3" t="str">
        <f t="shared" si="17"/>
        <v>same</v>
      </c>
      <c r="F216" s="3" t="str">
        <f t="shared" si="18"/>
        <v>no</v>
      </c>
      <c r="G216" s="3" t="str">
        <f t="shared" si="19"/>
        <v>ok</v>
      </c>
    </row>
    <row r="217" spans="1:7" x14ac:dyDescent="0.25">
      <c r="A217" s="2">
        <v>215</v>
      </c>
      <c r="B217" s="2">
        <v>43</v>
      </c>
      <c r="C217" s="3">
        <f t="shared" si="15"/>
        <v>1</v>
      </c>
      <c r="D217" s="3">
        <f t="shared" si="16"/>
        <v>1</v>
      </c>
      <c r="E217" s="3" t="str">
        <f t="shared" si="17"/>
        <v>same</v>
      </c>
      <c r="F217" s="3" t="str">
        <f t="shared" si="18"/>
        <v>no</v>
      </c>
      <c r="G217" s="3" t="str">
        <f t="shared" si="19"/>
        <v>ok</v>
      </c>
    </row>
    <row r="218" spans="1:7" x14ac:dyDescent="0.25">
      <c r="A218" s="2">
        <v>216</v>
      </c>
      <c r="B218" s="2">
        <v>128</v>
      </c>
      <c r="C218" s="3">
        <f t="shared" si="15"/>
        <v>0</v>
      </c>
      <c r="D218" s="3">
        <f t="shared" si="16"/>
        <v>0</v>
      </c>
      <c r="E218" s="3" t="str">
        <f t="shared" si="17"/>
        <v>same</v>
      </c>
      <c r="F218" s="3" t="str">
        <f t="shared" si="18"/>
        <v>no</v>
      </c>
      <c r="G218" s="3" t="str">
        <f t="shared" si="19"/>
        <v>ok</v>
      </c>
    </row>
    <row r="219" spans="1:7" x14ac:dyDescent="0.25">
      <c r="A219" s="2">
        <v>217</v>
      </c>
      <c r="B219" s="2">
        <v>33</v>
      </c>
      <c r="C219" s="3">
        <f t="shared" si="15"/>
        <v>1</v>
      </c>
      <c r="D219" s="3">
        <f t="shared" si="16"/>
        <v>1</v>
      </c>
      <c r="E219" s="3" t="str">
        <f t="shared" si="17"/>
        <v>same</v>
      </c>
      <c r="F219" s="3" t="str">
        <f t="shared" si="18"/>
        <v>no</v>
      </c>
      <c r="G219" s="3" t="str">
        <f t="shared" si="19"/>
        <v>ok</v>
      </c>
    </row>
    <row r="220" spans="1:7" x14ac:dyDescent="0.25">
      <c r="A220" s="2">
        <v>218</v>
      </c>
      <c r="B220" s="2">
        <v>106</v>
      </c>
      <c r="C220" s="3">
        <f t="shared" si="15"/>
        <v>0</v>
      </c>
      <c r="D220" s="3">
        <f t="shared" si="16"/>
        <v>0</v>
      </c>
      <c r="E220" s="3" t="str">
        <f t="shared" si="17"/>
        <v>same</v>
      </c>
      <c r="F220" s="3" t="str">
        <f t="shared" si="18"/>
        <v>no</v>
      </c>
      <c r="G220" s="3" t="str">
        <f t="shared" si="19"/>
        <v>ok</v>
      </c>
    </row>
    <row r="221" spans="1:7" x14ac:dyDescent="0.25">
      <c r="A221" s="2">
        <v>219</v>
      </c>
      <c r="B221" s="2">
        <v>71</v>
      </c>
      <c r="C221" s="3">
        <f t="shared" si="15"/>
        <v>1</v>
      </c>
      <c r="D221" s="3">
        <f t="shared" si="16"/>
        <v>1</v>
      </c>
      <c r="E221" s="3" t="str">
        <f t="shared" si="17"/>
        <v>same</v>
      </c>
      <c r="F221" s="3" t="str">
        <f t="shared" si="18"/>
        <v>no</v>
      </c>
      <c r="G221" s="3" t="str">
        <f t="shared" si="19"/>
        <v>ok</v>
      </c>
    </row>
    <row r="222" spans="1:7" x14ac:dyDescent="0.25">
      <c r="A222" s="2">
        <v>220</v>
      </c>
      <c r="B222" s="2">
        <v>128</v>
      </c>
      <c r="C222" s="3">
        <f t="shared" si="15"/>
        <v>0</v>
      </c>
      <c r="D222" s="3">
        <f t="shared" si="16"/>
        <v>0</v>
      </c>
      <c r="E222" s="3" t="str">
        <f t="shared" si="17"/>
        <v>same</v>
      </c>
      <c r="F222" s="3" t="str">
        <f t="shared" si="18"/>
        <v>no</v>
      </c>
      <c r="G222" s="3" t="str">
        <f t="shared" si="19"/>
        <v>ok</v>
      </c>
    </row>
    <row r="223" spans="1:7" x14ac:dyDescent="0.25">
      <c r="A223" s="2">
        <v>221</v>
      </c>
      <c r="B223" s="2">
        <v>25</v>
      </c>
      <c r="C223" s="3">
        <f t="shared" si="15"/>
        <v>1</v>
      </c>
      <c r="D223" s="3">
        <f t="shared" si="16"/>
        <v>1</v>
      </c>
      <c r="E223" s="3" t="str">
        <f t="shared" si="17"/>
        <v>same</v>
      </c>
      <c r="F223" s="3" t="str">
        <f t="shared" si="18"/>
        <v>no</v>
      </c>
      <c r="G223" s="3" t="str">
        <f t="shared" si="19"/>
        <v>ok</v>
      </c>
    </row>
    <row r="224" spans="1:7" x14ac:dyDescent="0.25">
      <c r="A224" s="2">
        <v>222</v>
      </c>
      <c r="B224" s="2">
        <v>142</v>
      </c>
      <c r="C224" s="3">
        <f t="shared" si="15"/>
        <v>0</v>
      </c>
      <c r="D224" s="3">
        <f t="shared" si="16"/>
        <v>0</v>
      </c>
      <c r="E224" s="3" t="str">
        <f t="shared" si="17"/>
        <v>same</v>
      </c>
      <c r="F224" s="3" t="str">
        <f t="shared" si="18"/>
        <v>no</v>
      </c>
      <c r="G224" s="3" t="str">
        <f t="shared" si="19"/>
        <v>ok</v>
      </c>
    </row>
    <row r="225" spans="1:7" x14ac:dyDescent="0.25">
      <c r="A225" s="2">
        <v>223</v>
      </c>
      <c r="B225" s="2">
        <v>-1</v>
      </c>
      <c r="C225" s="3">
        <f t="shared" si="15"/>
        <v>1</v>
      </c>
      <c r="D225" s="3">
        <f t="shared" si="16"/>
        <v>1</v>
      </c>
      <c r="E225" s="3" t="str">
        <f t="shared" si="17"/>
        <v>same</v>
      </c>
      <c r="F225" s="3" t="str">
        <f t="shared" si="18"/>
        <v>no</v>
      </c>
      <c r="G225" s="3" t="str">
        <f t="shared" si="19"/>
        <v>ok</v>
      </c>
    </row>
    <row r="226" spans="1:7" x14ac:dyDescent="0.25">
      <c r="A226" s="2">
        <v>224</v>
      </c>
      <c r="B226" s="2">
        <v>116</v>
      </c>
      <c r="C226" s="3">
        <f t="shared" si="15"/>
        <v>0</v>
      </c>
      <c r="D226" s="3">
        <f t="shared" si="16"/>
        <v>0</v>
      </c>
      <c r="E226" s="3" t="str">
        <f t="shared" si="17"/>
        <v>same</v>
      </c>
      <c r="F226" s="3" t="str">
        <f t="shared" si="18"/>
        <v>no</v>
      </c>
      <c r="G226" s="3" t="str">
        <f t="shared" si="19"/>
        <v>ok</v>
      </c>
    </row>
    <row r="227" spans="1:7" x14ac:dyDescent="0.25">
      <c r="A227" s="2">
        <v>225</v>
      </c>
      <c r="B227" s="2">
        <v>96</v>
      </c>
      <c r="C227" s="3">
        <f t="shared" si="15"/>
        <v>0</v>
      </c>
      <c r="D227" s="3">
        <f t="shared" si="16"/>
        <v>1</v>
      </c>
      <c r="E227" s="3" t="str">
        <f t="shared" si="17"/>
        <v>diff</v>
      </c>
      <c r="F227" s="3" t="str">
        <f t="shared" si="18"/>
        <v>YES</v>
      </c>
      <c r="G227" s="3" t="str">
        <f t="shared" si="19"/>
        <v>ok</v>
      </c>
    </row>
    <row r="228" spans="1:7" x14ac:dyDescent="0.25">
      <c r="A228" s="2">
        <v>226</v>
      </c>
      <c r="B228" s="2">
        <v>110</v>
      </c>
      <c r="C228" s="3">
        <f t="shared" si="15"/>
        <v>0</v>
      </c>
      <c r="D228" s="3">
        <f t="shared" si="16"/>
        <v>0</v>
      </c>
      <c r="E228" s="3" t="str">
        <f t="shared" si="17"/>
        <v>same</v>
      </c>
      <c r="F228" s="3" t="str">
        <f t="shared" si="18"/>
        <v>no</v>
      </c>
      <c r="G228" s="3" t="str">
        <f t="shared" si="19"/>
        <v>ok</v>
      </c>
    </row>
    <row r="229" spans="1:7" x14ac:dyDescent="0.25">
      <c r="A229" s="2">
        <v>227</v>
      </c>
      <c r="B229" s="2">
        <v>-1</v>
      </c>
      <c r="C229" s="3">
        <f t="shared" si="15"/>
        <v>1</v>
      </c>
      <c r="D229" s="3">
        <f t="shared" si="16"/>
        <v>1</v>
      </c>
      <c r="E229" s="3" t="str">
        <f t="shared" si="17"/>
        <v>same</v>
      </c>
      <c r="F229" s="3" t="str">
        <f t="shared" si="18"/>
        <v>no</v>
      </c>
      <c r="G229" s="3" t="str">
        <f t="shared" si="19"/>
        <v>ok</v>
      </c>
    </row>
    <row r="230" spans="1:7" x14ac:dyDescent="0.25">
      <c r="A230" s="2">
        <v>228</v>
      </c>
      <c r="B230" s="2">
        <v>144</v>
      </c>
      <c r="C230" s="3">
        <f t="shared" si="15"/>
        <v>0</v>
      </c>
      <c r="D230" s="3">
        <f t="shared" si="16"/>
        <v>0</v>
      </c>
      <c r="E230" s="3" t="str">
        <f t="shared" si="17"/>
        <v>same</v>
      </c>
      <c r="F230" s="3" t="str">
        <f t="shared" si="18"/>
        <v>no</v>
      </c>
      <c r="G230" s="3" t="str">
        <f t="shared" si="19"/>
        <v>ok</v>
      </c>
    </row>
    <row r="231" spans="1:7" x14ac:dyDescent="0.25">
      <c r="A231" s="2">
        <v>229</v>
      </c>
      <c r="B231" s="2">
        <v>-1</v>
      </c>
      <c r="C231" s="3">
        <f t="shared" si="15"/>
        <v>1</v>
      </c>
      <c r="D231" s="3">
        <f t="shared" si="16"/>
        <v>1</v>
      </c>
      <c r="E231" s="3" t="str">
        <f t="shared" si="17"/>
        <v>same</v>
      </c>
      <c r="F231" s="3" t="str">
        <f t="shared" si="18"/>
        <v>no</v>
      </c>
      <c r="G231" s="3" t="str">
        <f t="shared" si="19"/>
        <v>ok</v>
      </c>
    </row>
    <row r="232" spans="1:7" x14ac:dyDescent="0.25">
      <c r="A232" s="2">
        <v>230</v>
      </c>
      <c r="B232" s="2">
        <v>134</v>
      </c>
      <c r="C232" s="3">
        <f t="shared" si="15"/>
        <v>0</v>
      </c>
      <c r="D232" s="3">
        <f t="shared" si="16"/>
        <v>0</v>
      </c>
      <c r="E232" s="3" t="str">
        <f t="shared" si="17"/>
        <v>same</v>
      </c>
      <c r="F232" s="3" t="str">
        <f t="shared" si="18"/>
        <v>no</v>
      </c>
      <c r="G232" s="3" t="str">
        <f t="shared" si="19"/>
        <v>ok</v>
      </c>
    </row>
    <row r="233" spans="1:7" x14ac:dyDescent="0.25">
      <c r="A233" s="2">
        <v>231</v>
      </c>
      <c r="B233" s="2">
        <v>103</v>
      </c>
      <c r="C233" s="3">
        <f t="shared" si="15"/>
        <v>1</v>
      </c>
      <c r="D233" s="3">
        <f t="shared" si="16"/>
        <v>1</v>
      </c>
      <c r="E233" s="3" t="str">
        <f t="shared" si="17"/>
        <v>same</v>
      </c>
      <c r="F233" s="3" t="str">
        <f t="shared" si="18"/>
        <v>no</v>
      </c>
      <c r="G233" s="3" t="str">
        <f t="shared" si="19"/>
        <v>ok</v>
      </c>
    </row>
    <row r="234" spans="1:7" x14ac:dyDescent="0.25">
      <c r="A234" s="2">
        <v>232</v>
      </c>
      <c r="B234" s="2">
        <v>112</v>
      </c>
      <c r="C234" s="3">
        <f t="shared" si="15"/>
        <v>0</v>
      </c>
      <c r="D234" s="3">
        <f t="shared" si="16"/>
        <v>0</v>
      </c>
      <c r="E234" s="3" t="str">
        <f t="shared" si="17"/>
        <v>same</v>
      </c>
      <c r="F234" s="3" t="str">
        <f t="shared" si="18"/>
        <v>no</v>
      </c>
      <c r="G234" s="3" t="str">
        <f t="shared" si="19"/>
        <v>ok</v>
      </c>
    </row>
    <row r="235" spans="1:7" x14ac:dyDescent="0.25">
      <c r="A235" s="2">
        <v>233</v>
      </c>
      <c r="B235" s="2">
        <v>-1</v>
      </c>
      <c r="C235" s="3">
        <f t="shared" si="15"/>
        <v>1</v>
      </c>
      <c r="D235" s="3">
        <f t="shared" si="16"/>
        <v>1</v>
      </c>
      <c r="E235" s="3" t="str">
        <f t="shared" si="17"/>
        <v>same</v>
      </c>
      <c r="F235" s="3" t="str">
        <f t="shared" si="18"/>
        <v>no</v>
      </c>
      <c r="G235" s="3" t="str">
        <f t="shared" si="19"/>
        <v>ok</v>
      </c>
    </row>
    <row r="236" spans="1:7" x14ac:dyDescent="0.25">
      <c r="A236" s="2">
        <v>234</v>
      </c>
      <c r="B236" s="2">
        <v>150</v>
      </c>
      <c r="C236" s="3">
        <f t="shared" si="15"/>
        <v>0</v>
      </c>
      <c r="D236" s="3">
        <f t="shared" si="16"/>
        <v>0</v>
      </c>
      <c r="E236" s="3" t="str">
        <f t="shared" si="17"/>
        <v>same</v>
      </c>
      <c r="F236" s="3" t="str">
        <f t="shared" si="18"/>
        <v>no</v>
      </c>
      <c r="G236" s="3" t="str">
        <f t="shared" si="19"/>
        <v>ok</v>
      </c>
    </row>
    <row r="237" spans="1:7" x14ac:dyDescent="0.25">
      <c r="A237" s="2">
        <v>235</v>
      </c>
      <c r="B237" s="2">
        <v>47</v>
      </c>
      <c r="C237" s="3">
        <f t="shared" si="15"/>
        <v>1</v>
      </c>
      <c r="D237" s="3">
        <f t="shared" si="16"/>
        <v>1</v>
      </c>
      <c r="E237" s="3" t="str">
        <f t="shared" si="17"/>
        <v>same</v>
      </c>
      <c r="F237" s="3" t="str">
        <f t="shared" si="18"/>
        <v>no</v>
      </c>
      <c r="G237" s="3" t="str">
        <f t="shared" si="19"/>
        <v>ok</v>
      </c>
    </row>
    <row r="238" spans="1:7" x14ac:dyDescent="0.25">
      <c r="A238" s="2">
        <v>236</v>
      </c>
      <c r="B238" s="2">
        <v>114</v>
      </c>
      <c r="C238" s="3">
        <f t="shared" si="15"/>
        <v>0</v>
      </c>
      <c r="D238" s="3">
        <f t="shared" si="16"/>
        <v>0</v>
      </c>
      <c r="E238" s="3" t="str">
        <f t="shared" si="17"/>
        <v>same</v>
      </c>
      <c r="F238" s="3" t="str">
        <f t="shared" si="18"/>
        <v>no</v>
      </c>
      <c r="G238" s="3" t="str">
        <f t="shared" si="19"/>
        <v>ok</v>
      </c>
    </row>
    <row r="239" spans="1:7" x14ac:dyDescent="0.25">
      <c r="A239" s="2">
        <v>237</v>
      </c>
      <c r="B239" s="2">
        <v>77</v>
      </c>
      <c r="C239" s="3">
        <f t="shared" si="15"/>
        <v>1</v>
      </c>
      <c r="D239" s="3">
        <f t="shared" si="16"/>
        <v>1</v>
      </c>
      <c r="E239" s="3" t="str">
        <f t="shared" si="17"/>
        <v>same</v>
      </c>
      <c r="F239" s="3" t="str">
        <f t="shared" si="18"/>
        <v>no</v>
      </c>
      <c r="G239" s="3" t="str">
        <f t="shared" si="19"/>
        <v>ok</v>
      </c>
    </row>
    <row r="240" spans="1:7" x14ac:dyDescent="0.25">
      <c r="A240" s="2">
        <v>238</v>
      </c>
      <c r="B240" s="2">
        <v>134</v>
      </c>
      <c r="C240" s="3">
        <f t="shared" si="15"/>
        <v>0</v>
      </c>
      <c r="D240" s="3">
        <f t="shared" si="16"/>
        <v>0</v>
      </c>
      <c r="E240" s="3" t="str">
        <f t="shared" si="17"/>
        <v>same</v>
      </c>
      <c r="F240" s="3" t="str">
        <f t="shared" si="18"/>
        <v>no</v>
      </c>
      <c r="G240" s="3" t="str">
        <f t="shared" si="19"/>
        <v>ok</v>
      </c>
    </row>
    <row r="241" spans="1:7" x14ac:dyDescent="0.25">
      <c r="A241" s="2">
        <v>239</v>
      </c>
      <c r="B241" s="2">
        <v>-1</v>
      </c>
      <c r="C241" s="3">
        <f t="shared" si="15"/>
        <v>1</v>
      </c>
      <c r="D241" s="3">
        <f t="shared" si="16"/>
        <v>1</v>
      </c>
      <c r="E241" s="3" t="str">
        <f t="shared" si="17"/>
        <v>same</v>
      </c>
      <c r="F241" s="3" t="str">
        <f t="shared" si="18"/>
        <v>no</v>
      </c>
      <c r="G241" s="3" t="str">
        <f t="shared" si="19"/>
        <v>ok</v>
      </c>
    </row>
    <row r="242" spans="1:7" x14ac:dyDescent="0.25">
      <c r="A242" s="2">
        <v>240</v>
      </c>
      <c r="B242" s="2">
        <v>156</v>
      </c>
      <c r="C242" s="3">
        <f t="shared" si="15"/>
        <v>0</v>
      </c>
      <c r="D242" s="3">
        <f t="shared" si="16"/>
        <v>0</v>
      </c>
      <c r="E242" s="3" t="str">
        <f t="shared" si="17"/>
        <v>same</v>
      </c>
      <c r="F242" s="3" t="str">
        <f t="shared" si="18"/>
        <v>no</v>
      </c>
      <c r="G242" s="3" t="str">
        <f t="shared" si="19"/>
        <v>ok</v>
      </c>
    </row>
    <row r="243" spans="1:7" x14ac:dyDescent="0.25">
      <c r="A243" s="2">
        <v>241</v>
      </c>
      <c r="B243" s="2">
        <v>-1</v>
      </c>
      <c r="C243" s="3">
        <f t="shared" si="15"/>
        <v>1</v>
      </c>
      <c r="D243" s="3">
        <f t="shared" si="16"/>
        <v>1</v>
      </c>
      <c r="E243" s="3" t="str">
        <f t="shared" si="17"/>
        <v>same</v>
      </c>
      <c r="F243" s="3" t="str">
        <f t="shared" si="18"/>
        <v>no</v>
      </c>
      <c r="G243" s="3" t="str">
        <f t="shared" si="19"/>
        <v>ok</v>
      </c>
    </row>
    <row r="244" spans="1:7" x14ac:dyDescent="0.25">
      <c r="A244" s="2">
        <v>242</v>
      </c>
      <c r="B244" s="2">
        <v>126</v>
      </c>
      <c r="C244" s="3">
        <f t="shared" si="15"/>
        <v>0</v>
      </c>
      <c r="D244" s="3">
        <f t="shared" si="16"/>
        <v>0</v>
      </c>
      <c r="E244" s="3" t="str">
        <f t="shared" si="17"/>
        <v>same</v>
      </c>
      <c r="F244" s="3" t="str">
        <f t="shared" si="18"/>
        <v>no</v>
      </c>
      <c r="G244" s="3" t="str">
        <f t="shared" si="19"/>
        <v>ok</v>
      </c>
    </row>
    <row r="245" spans="1:7" x14ac:dyDescent="0.25">
      <c r="A245" s="2">
        <v>243</v>
      </c>
      <c r="B245" s="2">
        <v>75</v>
      </c>
      <c r="C245" s="3">
        <f t="shared" si="15"/>
        <v>1</v>
      </c>
      <c r="D245" s="3">
        <f t="shared" si="16"/>
        <v>1</v>
      </c>
      <c r="E245" s="3" t="str">
        <f t="shared" si="17"/>
        <v>same</v>
      </c>
      <c r="F245" s="3" t="str">
        <f t="shared" si="18"/>
        <v>no</v>
      </c>
      <c r="G245" s="3" t="str">
        <f t="shared" si="19"/>
        <v>ok</v>
      </c>
    </row>
    <row r="246" spans="1:7" x14ac:dyDescent="0.25">
      <c r="A246" s="2">
        <v>244</v>
      </c>
      <c r="B246" s="2">
        <v>118</v>
      </c>
      <c r="C246" s="3">
        <f t="shared" si="15"/>
        <v>0</v>
      </c>
      <c r="D246" s="3">
        <f t="shared" si="16"/>
        <v>0</v>
      </c>
      <c r="E246" s="3" t="str">
        <f t="shared" si="17"/>
        <v>same</v>
      </c>
      <c r="F246" s="3" t="str">
        <f t="shared" si="18"/>
        <v>no</v>
      </c>
      <c r="G246" s="3" t="str">
        <f t="shared" si="19"/>
        <v>ok</v>
      </c>
    </row>
    <row r="247" spans="1:7" x14ac:dyDescent="0.25">
      <c r="A247" s="2">
        <v>245</v>
      </c>
      <c r="B247" s="2">
        <v>71</v>
      </c>
      <c r="C247" s="3">
        <f t="shared" si="15"/>
        <v>1</v>
      </c>
      <c r="D247" s="3">
        <f t="shared" si="16"/>
        <v>1</v>
      </c>
      <c r="E247" s="3" t="str">
        <f t="shared" si="17"/>
        <v>same</v>
      </c>
      <c r="F247" s="3" t="str">
        <f t="shared" si="18"/>
        <v>no</v>
      </c>
      <c r="G247" s="3" t="str">
        <f t="shared" si="19"/>
        <v>ok</v>
      </c>
    </row>
    <row r="248" spans="1:7" x14ac:dyDescent="0.25">
      <c r="A248" s="2">
        <v>246</v>
      </c>
      <c r="B248" s="2">
        <v>158</v>
      </c>
      <c r="C248" s="3">
        <f t="shared" si="15"/>
        <v>0</v>
      </c>
      <c r="D248" s="3">
        <f t="shared" si="16"/>
        <v>0</v>
      </c>
      <c r="E248" s="3" t="str">
        <f t="shared" si="17"/>
        <v>same</v>
      </c>
      <c r="F248" s="3" t="str">
        <f t="shared" si="18"/>
        <v>no</v>
      </c>
      <c r="G248" s="3" t="str">
        <f t="shared" si="19"/>
        <v>ok</v>
      </c>
    </row>
    <row r="249" spans="1:7" x14ac:dyDescent="0.25">
      <c r="A249" s="2">
        <v>247</v>
      </c>
      <c r="B249" s="2">
        <v>27</v>
      </c>
      <c r="C249" s="3">
        <f t="shared" si="15"/>
        <v>1</v>
      </c>
      <c r="D249" s="3">
        <f t="shared" si="16"/>
        <v>1</v>
      </c>
      <c r="E249" s="3" t="str">
        <f t="shared" si="17"/>
        <v>same</v>
      </c>
      <c r="F249" s="3" t="str">
        <f t="shared" si="18"/>
        <v>no</v>
      </c>
      <c r="G249" s="3" t="str">
        <f t="shared" si="19"/>
        <v>ok</v>
      </c>
    </row>
    <row r="250" spans="1:7" x14ac:dyDescent="0.25">
      <c r="A250" s="2">
        <v>248</v>
      </c>
      <c r="B250" s="2">
        <v>120</v>
      </c>
      <c r="C250" s="3">
        <f t="shared" si="15"/>
        <v>0</v>
      </c>
      <c r="D250" s="3">
        <f t="shared" si="16"/>
        <v>0</v>
      </c>
      <c r="E250" s="3" t="str">
        <f t="shared" si="17"/>
        <v>same</v>
      </c>
      <c r="F250" s="3" t="str">
        <f t="shared" si="18"/>
        <v>no</v>
      </c>
      <c r="G250" s="3" t="str">
        <f t="shared" si="19"/>
        <v>ok</v>
      </c>
    </row>
    <row r="251" spans="1:7" x14ac:dyDescent="0.25">
      <c r="A251" s="2">
        <v>249</v>
      </c>
      <c r="B251" s="2">
        <v>81</v>
      </c>
      <c r="C251" s="3">
        <f t="shared" si="15"/>
        <v>1</v>
      </c>
      <c r="D251" s="3">
        <f t="shared" si="16"/>
        <v>1</v>
      </c>
      <c r="E251" s="3" t="str">
        <f t="shared" si="17"/>
        <v>same</v>
      </c>
      <c r="F251" s="3" t="str">
        <f t="shared" si="18"/>
        <v>no</v>
      </c>
      <c r="G251" s="3" t="str">
        <f t="shared" si="19"/>
        <v>ok</v>
      </c>
    </row>
    <row r="252" spans="1:7" x14ac:dyDescent="0.25">
      <c r="A252" s="2">
        <v>250</v>
      </c>
      <c r="B252" s="2">
        <v>142</v>
      </c>
      <c r="C252" s="3">
        <f t="shared" si="15"/>
        <v>0</v>
      </c>
      <c r="D252" s="3">
        <f t="shared" si="16"/>
        <v>0</v>
      </c>
      <c r="E252" s="3" t="str">
        <f t="shared" si="17"/>
        <v>same</v>
      </c>
      <c r="F252" s="3" t="str">
        <f t="shared" si="18"/>
        <v>no</v>
      </c>
      <c r="G252" s="3" t="str">
        <f t="shared" si="19"/>
        <v>ok</v>
      </c>
    </row>
    <row r="253" spans="1:7" x14ac:dyDescent="0.25">
      <c r="A253" s="2">
        <v>251</v>
      </c>
      <c r="B253" s="2">
        <v>-1</v>
      </c>
      <c r="C253" s="3">
        <f t="shared" si="15"/>
        <v>1</v>
      </c>
      <c r="D253" s="3">
        <f t="shared" si="16"/>
        <v>1</v>
      </c>
      <c r="E253" s="3" t="str">
        <f t="shared" si="17"/>
        <v>same</v>
      </c>
      <c r="F253" s="3" t="str">
        <f t="shared" si="18"/>
        <v>no</v>
      </c>
      <c r="G253" s="3" t="str">
        <f t="shared" si="19"/>
        <v>ok</v>
      </c>
    </row>
    <row r="254" spans="1:7" x14ac:dyDescent="0.25">
      <c r="A254" s="2">
        <v>252</v>
      </c>
      <c r="B254" s="2">
        <v>162</v>
      </c>
      <c r="C254" s="3">
        <f t="shared" si="15"/>
        <v>0</v>
      </c>
      <c r="D254" s="3">
        <f t="shared" si="16"/>
        <v>0</v>
      </c>
      <c r="E254" s="3" t="str">
        <f t="shared" si="17"/>
        <v>same</v>
      </c>
      <c r="F254" s="3" t="str">
        <f t="shared" si="18"/>
        <v>no</v>
      </c>
      <c r="G254" s="3" t="str">
        <f t="shared" si="19"/>
        <v>ok</v>
      </c>
    </row>
    <row r="255" spans="1:7" x14ac:dyDescent="0.25">
      <c r="A255" s="2">
        <v>253</v>
      </c>
      <c r="B255" s="2">
        <v>29</v>
      </c>
      <c r="C255" s="3">
        <f t="shared" si="15"/>
        <v>1</v>
      </c>
      <c r="D255" s="3">
        <f t="shared" si="16"/>
        <v>1</v>
      </c>
      <c r="E255" s="3" t="str">
        <f t="shared" si="17"/>
        <v>same</v>
      </c>
      <c r="F255" s="3" t="str">
        <f t="shared" si="18"/>
        <v>no</v>
      </c>
      <c r="G255" s="3" t="str">
        <f t="shared" si="19"/>
        <v>ok</v>
      </c>
    </row>
    <row r="256" spans="1:7" x14ac:dyDescent="0.25">
      <c r="A256" s="2">
        <v>254</v>
      </c>
      <c r="B256" s="2">
        <v>124</v>
      </c>
      <c r="C256" s="3">
        <f t="shared" si="15"/>
        <v>0</v>
      </c>
      <c r="D256" s="3">
        <f t="shared" si="16"/>
        <v>0</v>
      </c>
      <c r="E256" s="3" t="str">
        <f t="shared" si="17"/>
        <v>same</v>
      </c>
      <c r="F256" s="3" t="str">
        <f t="shared" si="18"/>
        <v>no</v>
      </c>
      <c r="G256" s="3" t="str">
        <f t="shared" si="19"/>
        <v>ok</v>
      </c>
    </row>
    <row r="257" spans="1:7" x14ac:dyDescent="0.25">
      <c r="A257" s="2">
        <v>255</v>
      </c>
      <c r="B257" s="2">
        <v>119</v>
      </c>
      <c r="C257" s="3">
        <f t="shared" si="15"/>
        <v>1</v>
      </c>
      <c r="D257" s="3">
        <f t="shared" si="16"/>
        <v>1</v>
      </c>
      <c r="E257" s="3" t="str">
        <f t="shared" si="17"/>
        <v>same</v>
      </c>
      <c r="F257" s="3" t="str">
        <f t="shared" si="18"/>
        <v>no</v>
      </c>
      <c r="G257" s="3" t="str">
        <f t="shared" si="19"/>
        <v>ok</v>
      </c>
    </row>
    <row r="258" spans="1:7" x14ac:dyDescent="0.25">
      <c r="A258" s="2">
        <v>256</v>
      </c>
      <c r="B258" s="2">
        <v>119</v>
      </c>
      <c r="C258" s="3">
        <f t="shared" si="15"/>
        <v>1</v>
      </c>
      <c r="D258" s="3">
        <f t="shared" si="16"/>
        <v>0</v>
      </c>
      <c r="E258" s="3" t="str">
        <f t="shared" si="17"/>
        <v>diff</v>
      </c>
      <c r="F258" s="3" t="str">
        <f t="shared" si="18"/>
        <v>YES</v>
      </c>
      <c r="G258" s="3" t="str">
        <f t="shared" si="19"/>
        <v>ok</v>
      </c>
    </row>
    <row r="259" spans="1:7" x14ac:dyDescent="0.25">
      <c r="A259" s="2">
        <v>257</v>
      </c>
      <c r="B259" s="2">
        <v>-1</v>
      </c>
      <c r="C259" s="3">
        <f t="shared" si="15"/>
        <v>1</v>
      </c>
      <c r="D259" s="3">
        <f t="shared" si="16"/>
        <v>1</v>
      </c>
      <c r="E259" s="3" t="str">
        <f t="shared" si="17"/>
        <v>same</v>
      </c>
      <c r="F259" s="3" t="str">
        <f t="shared" si="18"/>
        <v>no</v>
      </c>
      <c r="G259" s="3" t="str">
        <f t="shared" si="19"/>
        <v>ok</v>
      </c>
    </row>
    <row r="260" spans="1:7" x14ac:dyDescent="0.25">
      <c r="A260" s="2">
        <v>258</v>
      </c>
      <c r="B260" s="2">
        <v>166</v>
      </c>
      <c r="C260" s="3">
        <f t="shared" si="15"/>
        <v>0</v>
      </c>
      <c r="D260" s="3">
        <f t="shared" si="16"/>
        <v>0</v>
      </c>
      <c r="E260" s="3" t="str">
        <f t="shared" si="17"/>
        <v>same</v>
      </c>
      <c r="F260" s="3" t="str">
        <f t="shared" si="18"/>
        <v>no</v>
      </c>
      <c r="G260" s="3" t="str">
        <f t="shared" si="19"/>
        <v>ok</v>
      </c>
    </row>
    <row r="261" spans="1:7" x14ac:dyDescent="0.25">
      <c r="A261" s="2">
        <v>259</v>
      </c>
      <c r="B261" s="2">
        <v>39</v>
      </c>
      <c r="C261" s="3">
        <f t="shared" ref="C261:C324" si="20">MOD(B261,2)</f>
        <v>1</v>
      </c>
      <c r="D261" s="3">
        <f t="shared" ref="D261:D324" si="21">MOD(A261,2)</f>
        <v>1</v>
      </c>
      <c r="E261" s="3" t="str">
        <f t="shared" ref="E261:E324" si="22">IF(C261=D261,"same","diff")</f>
        <v>same</v>
      </c>
      <c r="F261" s="3" t="str">
        <f t="shared" ref="F261:F324" si="23">IF(SQRT(A261)=INT(SQRT(A261)),"YES","no")</f>
        <v>no</v>
      </c>
      <c r="G261" s="3" t="str">
        <f t="shared" ref="G261:G324" si="24">IF(AND(E261="same",F261="no"),"ok",IF(AND(E261="diff",F261="YES"),"ok","FAIL"))</f>
        <v>ok</v>
      </c>
    </row>
    <row r="262" spans="1:7" x14ac:dyDescent="0.25">
      <c r="A262" s="2">
        <v>260</v>
      </c>
      <c r="B262" s="2">
        <v>152</v>
      </c>
      <c r="C262" s="3">
        <f t="shared" si="20"/>
        <v>0</v>
      </c>
      <c r="D262" s="3">
        <f t="shared" si="21"/>
        <v>0</v>
      </c>
      <c r="E262" s="3" t="str">
        <f t="shared" si="22"/>
        <v>same</v>
      </c>
      <c r="F262" s="3" t="str">
        <f t="shared" si="23"/>
        <v>no</v>
      </c>
      <c r="G262" s="3" t="str">
        <f t="shared" si="24"/>
        <v>ok</v>
      </c>
    </row>
    <row r="263" spans="1:7" x14ac:dyDescent="0.25">
      <c r="A263" s="2">
        <v>261</v>
      </c>
      <c r="B263" s="2">
        <v>87</v>
      </c>
      <c r="C263" s="3">
        <f t="shared" si="20"/>
        <v>1</v>
      </c>
      <c r="D263" s="3">
        <f t="shared" si="21"/>
        <v>1</v>
      </c>
      <c r="E263" s="3" t="str">
        <f t="shared" si="22"/>
        <v>same</v>
      </c>
      <c r="F263" s="3" t="str">
        <f t="shared" si="23"/>
        <v>no</v>
      </c>
      <c r="G263" s="3" t="str">
        <f t="shared" si="24"/>
        <v>ok</v>
      </c>
    </row>
    <row r="264" spans="1:7" x14ac:dyDescent="0.25">
      <c r="A264" s="2">
        <v>262</v>
      </c>
      <c r="B264" s="2">
        <v>128</v>
      </c>
      <c r="C264" s="3">
        <f t="shared" si="20"/>
        <v>0</v>
      </c>
      <c r="D264" s="3">
        <f t="shared" si="21"/>
        <v>0</v>
      </c>
      <c r="E264" s="3" t="str">
        <f t="shared" si="22"/>
        <v>same</v>
      </c>
      <c r="F264" s="3" t="str">
        <f t="shared" si="23"/>
        <v>no</v>
      </c>
      <c r="G264" s="3" t="str">
        <f t="shared" si="24"/>
        <v>ok</v>
      </c>
    </row>
    <row r="265" spans="1:7" x14ac:dyDescent="0.25">
      <c r="A265" s="2">
        <v>263</v>
      </c>
      <c r="B265" s="2">
        <v>-1</v>
      </c>
      <c r="C265" s="3">
        <f t="shared" si="20"/>
        <v>1</v>
      </c>
      <c r="D265" s="3">
        <f t="shared" si="21"/>
        <v>1</v>
      </c>
      <c r="E265" s="3" t="str">
        <f t="shared" si="22"/>
        <v>same</v>
      </c>
      <c r="F265" s="3" t="str">
        <f t="shared" si="23"/>
        <v>no</v>
      </c>
      <c r="G265" s="3" t="str">
        <f t="shared" si="24"/>
        <v>ok</v>
      </c>
    </row>
    <row r="266" spans="1:7" x14ac:dyDescent="0.25">
      <c r="A266" s="2">
        <v>264</v>
      </c>
      <c r="B266" s="2">
        <v>168</v>
      </c>
      <c r="C266" s="3">
        <f t="shared" si="20"/>
        <v>0</v>
      </c>
      <c r="D266" s="3">
        <f t="shared" si="21"/>
        <v>0</v>
      </c>
      <c r="E266" s="3" t="str">
        <f t="shared" si="22"/>
        <v>same</v>
      </c>
      <c r="F266" s="3" t="str">
        <f t="shared" si="23"/>
        <v>no</v>
      </c>
      <c r="G266" s="3" t="str">
        <f t="shared" si="24"/>
        <v>ok</v>
      </c>
    </row>
    <row r="267" spans="1:7" x14ac:dyDescent="0.25">
      <c r="A267" s="2">
        <v>265</v>
      </c>
      <c r="B267" s="2">
        <v>53</v>
      </c>
      <c r="C267" s="3">
        <f t="shared" si="20"/>
        <v>1</v>
      </c>
      <c r="D267" s="3">
        <f t="shared" si="21"/>
        <v>1</v>
      </c>
      <c r="E267" s="3" t="str">
        <f t="shared" si="22"/>
        <v>same</v>
      </c>
      <c r="F267" s="3" t="str">
        <f t="shared" si="23"/>
        <v>no</v>
      </c>
      <c r="G267" s="3" t="str">
        <f t="shared" si="24"/>
        <v>ok</v>
      </c>
    </row>
    <row r="268" spans="1:7" x14ac:dyDescent="0.25">
      <c r="A268" s="2">
        <v>266</v>
      </c>
      <c r="B268" s="2">
        <v>150</v>
      </c>
      <c r="C268" s="3">
        <f t="shared" si="20"/>
        <v>0</v>
      </c>
      <c r="D268" s="3">
        <f t="shared" si="21"/>
        <v>0</v>
      </c>
      <c r="E268" s="3" t="str">
        <f t="shared" si="22"/>
        <v>same</v>
      </c>
      <c r="F268" s="3" t="str">
        <f t="shared" si="23"/>
        <v>no</v>
      </c>
      <c r="G268" s="3" t="str">
        <f t="shared" si="24"/>
        <v>ok</v>
      </c>
    </row>
    <row r="269" spans="1:7" x14ac:dyDescent="0.25">
      <c r="A269" s="2">
        <v>267</v>
      </c>
      <c r="B269" s="2">
        <v>87</v>
      </c>
      <c r="C269" s="3">
        <f t="shared" si="20"/>
        <v>1</v>
      </c>
      <c r="D269" s="3">
        <f t="shared" si="21"/>
        <v>1</v>
      </c>
      <c r="E269" s="3" t="str">
        <f t="shared" si="22"/>
        <v>same</v>
      </c>
      <c r="F269" s="3" t="str">
        <f t="shared" si="23"/>
        <v>no</v>
      </c>
      <c r="G269" s="3" t="str">
        <f t="shared" si="24"/>
        <v>ok</v>
      </c>
    </row>
    <row r="270" spans="1:7" x14ac:dyDescent="0.25">
      <c r="A270" s="2">
        <v>268</v>
      </c>
      <c r="B270" s="2">
        <v>130</v>
      </c>
      <c r="C270" s="3">
        <f t="shared" si="20"/>
        <v>0</v>
      </c>
      <c r="D270" s="3">
        <f t="shared" si="21"/>
        <v>0</v>
      </c>
      <c r="E270" s="3" t="str">
        <f t="shared" si="22"/>
        <v>same</v>
      </c>
      <c r="F270" s="3" t="str">
        <f t="shared" si="23"/>
        <v>no</v>
      </c>
      <c r="G270" s="3" t="str">
        <f t="shared" si="24"/>
        <v>ok</v>
      </c>
    </row>
    <row r="271" spans="1:7" x14ac:dyDescent="0.25">
      <c r="A271" s="2">
        <v>269</v>
      </c>
      <c r="B271" s="2">
        <v>-1</v>
      </c>
      <c r="C271" s="3">
        <f t="shared" si="20"/>
        <v>1</v>
      </c>
      <c r="D271" s="3">
        <f t="shared" si="21"/>
        <v>1</v>
      </c>
      <c r="E271" s="3" t="str">
        <f t="shared" si="22"/>
        <v>same</v>
      </c>
      <c r="F271" s="3" t="str">
        <f t="shared" si="23"/>
        <v>no</v>
      </c>
      <c r="G271" s="3" t="str">
        <f t="shared" si="24"/>
        <v>ok</v>
      </c>
    </row>
    <row r="272" spans="1:7" x14ac:dyDescent="0.25">
      <c r="A272" s="2">
        <v>270</v>
      </c>
      <c r="B272" s="2">
        <v>182</v>
      </c>
      <c r="C272" s="3">
        <f t="shared" si="20"/>
        <v>0</v>
      </c>
      <c r="D272" s="3">
        <f t="shared" si="21"/>
        <v>0</v>
      </c>
      <c r="E272" s="3" t="str">
        <f t="shared" si="22"/>
        <v>same</v>
      </c>
      <c r="F272" s="3" t="str">
        <f t="shared" si="23"/>
        <v>no</v>
      </c>
      <c r="G272" s="3" t="str">
        <f t="shared" si="24"/>
        <v>ok</v>
      </c>
    </row>
    <row r="273" spans="1:7" x14ac:dyDescent="0.25">
      <c r="A273" s="2">
        <v>271</v>
      </c>
      <c r="B273" s="2">
        <v>-1</v>
      </c>
      <c r="C273" s="3">
        <f t="shared" si="20"/>
        <v>1</v>
      </c>
      <c r="D273" s="3">
        <f t="shared" si="21"/>
        <v>1</v>
      </c>
      <c r="E273" s="3" t="str">
        <f t="shared" si="22"/>
        <v>same</v>
      </c>
      <c r="F273" s="3" t="str">
        <f t="shared" si="23"/>
        <v>no</v>
      </c>
      <c r="G273" s="3" t="str">
        <f t="shared" si="24"/>
        <v>ok</v>
      </c>
    </row>
    <row r="274" spans="1:7" x14ac:dyDescent="0.25">
      <c r="A274" s="2">
        <v>272</v>
      </c>
      <c r="B274" s="2">
        <v>134</v>
      </c>
      <c r="C274" s="3">
        <f t="shared" si="20"/>
        <v>0</v>
      </c>
      <c r="D274" s="3">
        <f t="shared" si="21"/>
        <v>0</v>
      </c>
      <c r="E274" s="3" t="str">
        <f t="shared" si="22"/>
        <v>same</v>
      </c>
      <c r="F274" s="3" t="str">
        <f t="shared" si="23"/>
        <v>no</v>
      </c>
      <c r="G274" s="3" t="str">
        <f t="shared" si="24"/>
        <v>ok</v>
      </c>
    </row>
    <row r="275" spans="1:7" x14ac:dyDescent="0.25">
      <c r="A275" s="2">
        <v>273</v>
      </c>
      <c r="B275" s="2">
        <v>121</v>
      </c>
      <c r="C275" s="3">
        <f t="shared" si="20"/>
        <v>1</v>
      </c>
      <c r="D275" s="3">
        <f t="shared" si="21"/>
        <v>1</v>
      </c>
      <c r="E275" s="3" t="str">
        <f t="shared" si="22"/>
        <v>same</v>
      </c>
      <c r="F275" s="3" t="str">
        <f t="shared" si="23"/>
        <v>no</v>
      </c>
      <c r="G275" s="3" t="str">
        <f t="shared" si="24"/>
        <v>ok</v>
      </c>
    </row>
    <row r="276" spans="1:7" x14ac:dyDescent="0.25">
      <c r="A276" s="2">
        <v>274</v>
      </c>
      <c r="B276" s="2">
        <v>134</v>
      </c>
      <c r="C276" s="3">
        <f t="shared" si="20"/>
        <v>0</v>
      </c>
      <c r="D276" s="3">
        <f t="shared" si="21"/>
        <v>0</v>
      </c>
      <c r="E276" s="3" t="str">
        <f t="shared" si="22"/>
        <v>same</v>
      </c>
      <c r="F276" s="3" t="str">
        <f t="shared" si="23"/>
        <v>no</v>
      </c>
      <c r="G276" s="3" t="str">
        <f t="shared" si="24"/>
        <v>ok</v>
      </c>
    </row>
    <row r="277" spans="1:7" x14ac:dyDescent="0.25">
      <c r="A277" s="2">
        <v>275</v>
      </c>
      <c r="B277" s="2">
        <v>69</v>
      </c>
      <c r="C277" s="3">
        <f t="shared" si="20"/>
        <v>1</v>
      </c>
      <c r="D277" s="3">
        <f t="shared" si="21"/>
        <v>1</v>
      </c>
      <c r="E277" s="3" t="str">
        <f t="shared" si="22"/>
        <v>same</v>
      </c>
      <c r="F277" s="3" t="str">
        <f t="shared" si="23"/>
        <v>no</v>
      </c>
      <c r="G277" s="3" t="str">
        <f t="shared" si="24"/>
        <v>ok</v>
      </c>
    </row>
    <row r="278" spans="1:7" x14ac:dyDescent="0.25">
      <c r="A278" s="2">
        <v>276</v>
      </c>
      <c r="B278" s="2">
        <v>176</v>
      </c>
      <c r="C278" s="3">
        <f t="shared" si="20"/>
        <v>0</v>
      </c>
      <c r="D278" s="3">
        <f t="shared" si="21"/>
        <v>0</v>
      </c>
      <c r="E278" s="3" t="str">
        <f t="shared" si="22"/>
        <v>same</v>
      </c>
      <c r="F278" s="3" t="str">
        <f t="shared" si="23"/>
        <v>no</v>
      </c>
      <c r="G278" s="3" t="str">
        <f t="shared" si="24"/>
        <v>ok</v>
      </c>
    </row>
    <row r="279" spans="1:7" x14ac:dyDescent="0.25">
      <c r="A279" s="2">
        <v>277</v>
      </c>
      <c r="B279" s="2">
        <v>-1</v>
      </c>
      <c r="C279" s="3">
        <f t="shared" si="20"/>
        <v>1</v>
      </c>
      <c r="D279" s="3">
        <f t="shared" si="21"/>
        <v>1</v>
      </c>
      <c r="E279" s="3" t="str">
        <f t="shared" si="22"/>
        <v>same</v>
      </c>
      <c r="F279" s="3" t="str">
        <f t="shared" si="23"/>
        <v>no</v>
      </c>
      <c r="G279" s="3" t="str">
        <f t="shared" si="24"/>
        <v>ok</v>
      </c>
    </row>
    <row r="280" spans="1:7" x14ac:dyDescent="0.25">
      <c r="A280" s="2">
        <v>278</v>
      </c>
      <c r="B280" s="2">
        <v>136</v>
      </c>
      <c r="C280" s="3">
        <f t="shared" si="20"/>
        <v>0</v>
      </c>
      <c r="D280" s="3">
        <f t="shared" si="21"/>
        <v>0</v>
      </c>
      <c r="E280" s="3" t="str">
        <f t="shared" si="22"/>
        <v>same</v>
      </c>
      <c r="F280" s="3" t="str">
        <f t="shared" si="23"/>
        <v>no</v>
      </c>
      <c r="G280" s="3" t="str">
        <f t="shared" si="24"/>
        <v>ok</v>
      </c>
    </row>
    <row r="281" spans="1:7" x14ac:dyDescent="0.25">
      <c r="A281" s="2">
        <v>279</v>
      </c>
      <c r="B281" s="2">
        <v>93</v>
      </c>
      <c r="C281" s="3">
        <f t="shared" si="20"/>
        <v>1</v>
      </c>
      <c r="D281" s="3">
        <f t="shared" si="21"/>
        <v>1</v>
      </c>
      <c r="E281" s="3" t="str">
        <f t="shared" si="22"/>
        <v>same</v>
      </c>
      <c r="F281" s="3" t="str">
        <f t="shared" si="23"/>
        <v>no</v>
      </c>
      <c r="G281" s="3" t="str">
        <f t="shared" si="24"/>
        <v>ok</v>
      </c>
    </row>
    <row r="282" spans="1:7" x14ac:dyDescent="0.25">
      <c r="A282" s="2">
        <v>280</v>
      </c>
      <c r="B282" s="2">
        <v>168</v>
      </c>
      <c r="C282" s="3">
        <f t="shared" si="20"/>
        <v>0</v>
      </c>
      <c r="D282" s="3">
        <f t="shared" si="21"/>
        <v>0</v>
      </c>
      <c r="E282" s="3" t="str">
        <f t="shared" si="22"/>
        <v>same</v>
      </c>
      <c r="F282" s="3" t="str">
        <f t="shared" si="23"/>
        <v>no</v>
      </c>
      <c r="G282" s="3" t="str">
        <f t="shared" si="24"/>
        <v>ok</v>
      </c>
    </row>
    <row r="283" spans="1:7" x14ac:dyDescent="0.25">
      <c r="A283" s="2">
        <v>281</v>
      </c>
      <c r="B283" s="2">
        <v>-1</v>
      </c>
      <c r="C283" s="3">
        <f t="shared" si="20"/>
        <v>1</v>
      </c>
      <c r="D283" s="3">
        <f t="shared" si="21"/>
        <v>1</v>
      </c>
      <c r="E283" s="3" t="str">
        <f t="shared" si="22"/>
        <v>same</v>
      </c>
      <c r="F283" s="3" t="str">
        <f t="shared" si="23"/>
        <v>no</v>
      </c>
      <c r="G283" s="3" t="str">
        <f t="shared" si="24"/>
        <v>ok</v>
      </c>
    </row>
    <row r="284" spans="1:7" x14ac:dyDescent="0.25">
      <c r="A284" s="2">
        <v>282</v>
      </c>
      <c r="B284" s="2">
        <v>182</v>
      </c>
      <c r="C284" s="3">
        <f t="shared" si="20"/>
        <v>0</v>
      </c>
      <c r="D284" s="3">
        <f t="shared" si="21"/>
        <v>0</v>
      </c>
      <c r="E284" s="3" t="str">
        <f t="shared" si="22"/>
        <v>same</v>
      </c>
      <c r="F284" s="3" t="str">
        <f t="shared" si="23"/>
        <v>no</v>
      </c>
      <c r="G284" s="3" t="str">
        <f t="shared" si="24"/>
        <v>ok</v>
      </c>
    </row>
    <row r="285" spans="1:7" x14ac:dyDescent="0.25">
      <c r="A285" s="2">
        <v>283</v>
      </c>
      <c r="B285" s="2">
        <v>-1</v>
      </c>
      <c r="C285" s="3">
        <f t="shared" si="20"/>
        <v>1</v>
      </c>
      <c r="D285" s="3">
        <f t="shared" si="21"/>
        <v>1</v>
      </c>
      <c r="E285" s="3" t="str">
        <f t="shared" si="22"/>
        <v>same</v>
      </c>
      <c r="F285" s="3" t="str">
        <f t="shared" si="23"/>
        <v>no</v>
      </c>
      <c r="G285" s="3" t="str">
        <f t="shared" si="24"/>
        <v>ok</v>
      </c>
    </row>
    <row r="286" spans="1:7" x14ac:dyDescent="0.25">
      <c r="A286" s="2">
        <v>284</v>
      </c>
      <c r="B286" s="2">
        <v>138</v>
      </c>
      <c r="C286" s="3">
        <f t="shared" si="20"/>
        <v>0</v>
      </c>
      <c r="D286" s="3">
        <f t="shared" si="21"/>
        <v>0</v>
      </c>
      <c r="E286" s="3" t="str">
        <f t="shared" si="22"/>
        <v>same</v>
      </c>
      <c r="F286" s="3" t="str">
        <f t="shared" si="23"/>
        <v>no</v>
      </c>
      <c r="G286" s="3" t="str">
        <f t="shared" si="24"/>
        <v>ok</v>
      </c>
    </row>
    <row r="287" spans="1:7" x14ac:dyDescent="0.25">
      <c r="A287" s="2">
        <v>285</v>
      </c>
      <c r="B287" s="2">
        <v>133</v>
      </c>
      <c r="C287" s="3">
        <f t="shared" si="20"/>
        <v>1</v>
      </c>
      <c r="D287" s="3">
        <f t="shared" si="21"/>
        <v>1</v>
      </c>
      <c r="E287" s="3" t="str">
        <f t="shared" si="22"/>
        <v>same</v>
      </c>
      <c r="F287" s="3" t="str">
        <f t="shared" si="23"/>
        <v>no</v>
      </c>
      <c r="G287" s="3" t="str">
        <f t="shared" si="24"/>
        <v>ok</v>
      </c>
    </row>
    <row r="288" spans="1:7" x14ac:dyDescent="0.25">
      <c r="A288" s="2">
        <v>286</v>
      </c>
      <c r="B288" s="2">
        <v>158</v>
      </c>
      <c r="C288" s="3">
        <f t="shared" si="20"/>
        <v>0</v>
      </c>
      <c r="D288" s="3">
        <f t="shared" si="21"/>
        <v>0</v>
      </c>
      <c r="E288" s="3" t="str">
        <f t="shared" si="22"/>
        <v>same</v>
      </c>
      <c r="F288" s="3" t="str">
        <f t="shared" si="23"/>
        <v>no</v>
      </c>
      <c r="G288" s="3" t="str">
        <f t="shared" si="24"/>
        <v>ok</v>
      </c>
    </row>
    <row r="289" spans="1:7" x14ac:dyDescent="0.25">
      <c r="A289" s="2">
        <v>287</v>
      </c>
      <c r="B289" s="2">
        <v>43</v>
      </c>
      <c r="C289" s="3">
        <f t="shared" si="20"/>
        <v>1</v>
      </c>
      <c r="D289" s="3">
        <f t="shared" si="21"/>
        <v>1</v>
      </c>
      <c r="E289" s="3" t="str">
        <f t="shared" si="22"/>
        <v>same</v>
      </c>
      <c r="F289" s="3" t="str">
        <f t="shared" si="23"/>
        <v>no</v>
      </c>
      <c r="G289" s="3" t="str">
        <f t="shared" si="24"/>
        <v>ok</v>
      </c>
    </row>
    <row r="290" spans="1:7" x14ac:dyDescent="0.25">
      <c r="A290" s="2">
        <v>288</v>
      </c>
      <c r="B290" s="2">
        <v>174</v>
      </c>
      <c r="C290" s="3">
        <f t="shared" si="20"/>
        <v>0</v>
      </c>
      <c r="D290" s="3">
        <f t="shared" si="21"/>
        <v>0</v>
      </c>
      <c r="E290" s="3" t="str">
        <f t="shared" si="22"/>
        <v>same</v>
      </c>
      <c r="F290" s="3" t="str">
        <f t="shared" si="23"/>
        <v>no</v>
      </c>
      <c r="G290" s="3" t="str">
        <f t="shared" si="24"/>
        <v>ok</v>
      </c>
    </row>
    <row r="291" spans="1:7" x14ac:dyDescent="0.25">
      <c r="A291" s="2">
        <v>289</v>
      </c>
      <c r="B291" s="2">
        <v>14</v>
      </c>
      <c r="C291" s="3">
        <f t="shared" si="20"/>
        <v>0</v>
      </c>
      <c r="D291" s="3">
        <f t="shared" si="21"/>
        <v>1</v>
      </c>
      <c r="E291" s="3" t="str">
        <f t="shared" si="22"/>
        <v>diff</v>
      </c>
      <c r="F291" s="3" t="str">
        <f t="shared" si="23"/>
        <v>YES</v>
      </c>
      <c r="G291" s="3" t="str">
        <f t="shared" si="24"/>
        <v>ok</v>
      </c>
    </row>
    <row r="292" spans="1:7" x14ac:dyDescent="0.25">
      <c r="A292" s="2">
        <v>290</v>
      </c>
      <c r="B292" s="2">
        <v>170</v>
      </c>
      <c r="C292" s="3">
        <f t="shared" si="20"/>
        <v>0</v>
      </c>
      <c r="D292" s="3">
        <f t="shared" si="21"/>
        <v>0</v>
      </c>
      <c r="E292" s="3" t="str">
        <f t="shared" si="22"/>
        <v>same</v>
      </c>
      <c r="F292" s="3" t="str">
        <f t="shared" si="23"/>
        <v>no</v>
      </c>
      <c r="G292" s="3" t="str">
        <f t="shared" si="24"/>
        <v>ok</v>
      </c>
    </row>
    <row r="293" spans="1:7" x14ac:dyDescent="0.25">
      <c r="A293" s="2">
        <v>291</v>
      </c>
      <c r="B293" s="2">
        <v>95</v>
      </c>
      <c r="C293" s="3">
        <f t="shared" si="20"/>
        <v>1</v>
      </c>
      <c r="D293" s="3">
        <f t="shared" si="21"/>
        <v>1</v>
      </c>
      <c r="E293" s="3" t="str">
        <f t="shared" si="22"/>
        <v>same</v>
      </c>
      <c r="F293" s="3" t="str">
        <f t="shared" si="23"/>
        <v>no</v>
      </c>
      <c r="G293" s="3" t="str">
        <f t="shared" si="24"/>
        <v>ok</v>
      </c>
    </row>
    <row r="294" spans="1:7" x14ac:dyDescent="0.25">
      <c r="A294" s="2">
        <v>292</v>
      </c>
      <c r="B294" s="2">
        <v>142</v>
      </c>
      <c r="C294" s="3">
        <f t="shared" si="20"/>
        <v>0</v>
      </c>
      <c r="D294" s="3">
        <f t="shared" si="21"/>
        <v>0</v>
      </c>
      <c r="E294" s="3" t="str">
        <f t="shared" si="22"/>
        <v>same</v>
      </c>
      <c r="F294" s="3" t="str">
        <f t="shared" si="23"/>
        <v>no</v>
      </c>
      <c r="G294" s="3" t="str">
        <f t="shared" si="24"/>
        <v>ok</v>
      </c>
    </row>
    <row r="295" spans="1:7" x14ac:dyDescent="0.25">
      <c r="A295" s="2">
        <v>293</v>
      </c>
      <c r="B295" s="2">
        <v>-1</v>
      </c>
      <c r="C295" s="3">
        <f t="shared" si="20"/>
        <v>1</v>
      </c>
      <c r="D295" s="3">
        <f t="shared" si="21"/>
        <v>1</v>
      </c>
      <c r="E295" s="3" t="str">
        <f t="shared" si="22"/>
        <v>same</v>
      </c>
      <c r="F295" s="3" t="str">
        <f t="shared" si="23"/>
        <v>no</v>
      </c>
      <c r="G295" s="3" t="str">
        <f t="shared" si="24"/>
        <v>ok</v>
      </c>
    </row>
    <row r="296" spans="1:7" x14ac:dyDescent="0.25">
      <c r="A296" s="2">
        <v>294</v>
      </c>
      <c r="B296" s="2">
        <v>198</v>
      </c>
      <c r="C296" s="3">
        <f t="shared" si="20"/>
        <v>0</v>
      </c>
      <c r="D296" s="3">
        <f t="shared" si="21"/>
        <v>0</v>
      </c>
      <c r="E296" s="3" t="str">
        <f t="shared" si="22"/>
        <v>same</v>
      </c>
      <c r="F296" s="3" t="str">
        <f t="shared" si="23"/>
        <v>no</v>
      </c>
      <c r="G296" s="3" t="str">
        <f t="shared" si="24"/>
        <v>ok</v>
      </c>
    </row>
    <row r="297" spans="1:7" x14ac:dyDescent="0.25">
      <c r="A297" s="2">
        <v>295</v>
      </c>
      <c r="B297" s="2">
        <v>59</v>
      </c>
      <c r="C297" s="3">
        <f t="shared" si="20"/>
        <v>1</v>
      </c>
      <c r="D297" s="3">
        <f t="shared" si="21"/>
        <v>1</v>
      </c>
      <c r="E297" s="3" t="str">
        <f t="shared" si="22"/>
        <v>same</v>
      </c>
      <c r="F297" s="3" t="str">
        <f t="shared" si="23"/>
        <v>no</v>
      </c>
      <c r="G297" s="3" t="str">
        <f t="shared" si="24"/>
        <v>ok</v>
      </c>
    </row>
    <row r="298" spans="1:7" x14ac:dyDescent="0.25">
      <c r="A298" s="2">
        <v>296</v>
      </c>
      <c r="B298" s="2">
        <v>144</v>
      </c>
      <c r="C298" s="3">
        <f t="shared" si="20"/>
        <v>0</v>
      </c>
      <c r="D298" s="3">
        <f t="shared" si="21"/>
        <v>0</v>
      </c>
      <c r="E298" s="3" t="str">
        <f t="shared" si="22"/>
        <v>same</v>
      </c>
      <c r="F298" s="3" t="str">
        <f t="shared" si="23"/>
        <v>no</v>
      </c>
      <c r="G298" s="3" t="str">
        <f t="shared" si="24"/>
        <v>ok</v>
      </c>
    </row>
    <row r="299" spans="1:7" x14ac:dyDescent="0.25">
      <c r="A299" s="2">
        <v>297</v>
      </c>
      <c r="B299" s="2">
        <v>109</v>
      </c>
      <c r="C299" s="3">
        <f t="shared" si="20"/>
        <v>1</v>
      </c>
      <c r="D299" s="3">
        <f t="shared" si="21"/>
        <v>1</v>
      </c>
      <c r="E299" s="3" t="str">
        <f t="shared" si="22"/>
        <v>same</v>
      </c>
      <c r="F299" s="3" t="str">
        <f t="shared" si="23"/>
        <v>no</v>
      </c>
      <c r="G299" s="3" t="str">
        <f t="shared" si="24"/>
        <v>ok</v>
      </c>
    </row>
    <row r="300" spans="1:7" x14ac:dyDescent="0.25">
      <c r="A300" s="2">
        <v>298</v>
      </c>
      <c r="B300" s="2">
        <v>146</v>
      </c>
      <c r="C300" s="3">
        <f t="shared" si="20"/>
        <v>0</v>
      </c>
      <c r="D300" s="3">
        <f t="shared" si="21"/>
        <v>0</v>
      </c>
      <c r="E300" s="3" t="str">
        <f t="shared" si="22"/>
        <v>same</v>
      </c>
      <c r="F300" s="3" t="str">
        <f t="shared" si="23"/>
        <v>no</v>
      </c>
      <c r="G300" s="3" t="str">
        <f t="shared" si="24"/>
        <v>ok</v>
      </c>
    </row>
    <row r="301" spans="1:7" x14ac:dyDescent="0.25">
      <c r="A301" s="2">
        <v>299</v>
      </c>
      <c r="B301" s="2">
        <v>31</v>
      </c>
      <c r="C301" s="3">
        <f t="shared" si="20"/>
        <v>1</v>
      </c>
      <c r="D301" s="3">
        <f t="shared" si="21"/>
        <v>1</v>
      </c>
      <c r="E301" s="3" t="str">
        <f t="shared" si="22"/>
        <v>same</v>
      </c>
      <c r="F301" s="3" t="str">
        <f t="shared" si="23"/>
        <v>no</v>
      </c>
      <c r="G301" s="3" t="str">
        <f t="shared" si="24"/>
        <v>ok</v>
      </c>
    </row>
    <row r="302" spans="1:7" x14ac:dyDescent="0.25">
      <c r="A302" s="2">
        <v>300</v>
      </c>
      <c r="B302" s="2">
        <v>202</v>
      </c>
      <c r="C302" s="3">
        <f t="shared" si="20"/>
        <v>0</v>
      </c>
      <c r="D302" s="3">
        <f t="shared" si="21"/>
        <v>0</v>
      </c>
      <c r="E302" s="3" t="str">
        <f t="shared" si="22"/>
        <v>same</v>
      </c>
      <c r="F302" s="3" t="str">
        <f t="shared" si="23"/>
        <v>no</v>
      </c>
      <c r="G302" s="3" t="str">
        <f t="shared" si="24"/>
        <v>ok</v>
      </c>
    </row>
    <row r="303" spans="1:7" x14ac:dyDescent="0.25">
      <c r="A303" s="2">
        <v>301</v>
      </c>
      <c r="B303" s="2">
        <v>45</v>
      </c>
      <c r="C303" s="3">
        <f t="shared" si="20"/>
        <v>1</v>
      </c>
      <c r="D303" s="3">
        <f t="shared" si="21"/>
        <v>1</v>
      </c>
      <c r="E303" s="3" t="str">
        <f t="shared" si="22"/>
        <v>same</v>
      </c>
      <c r="F303" s="3" t="str">
        <f t="shared" si="23"/>
        <v>no</v>
      </c>
      <c r="G303" s="3" t="str">
        <f t="shared" si="24"/>
        <v>ok</v>
      </c>
    </row>
    <row r="304" spans="1:7" x14ac:dyDescent="0.25">
      <c r="A304" s="2">
        <v>302</v>
      </c>
      <c r="B304" s="2">
        <v>148</v>
      </c>
      <c r="C304" s="3">
        <f t="shared" si="20"/>
        <v>0</v>
      </c>
      <c r="D304" s="3">
        <f t="shared" si="21"/>
        <v>0</v>
      </c>
      <c r="E304" s="3" t="str">
        <f t="shared" si="22"/>
        <v>same</v>
      </c>
      <c r="F304" s="3" t="str">
        <f t="shared" si="23"/>
        <v>no</v>
      </c>
      <c r="G304" s="3" t="str">
        <f t="shared" si="24"/>
        <v>ok</v>
      </c>
    </row>
    <row r="305" spans="1:7" x14ac:dyDescent="0.25">
      <c r="A305" s="2">
        <v>303</v>
      </c>
      <c r="B305" s="2">
        <v>99</v>
      </c>
      <c r="C305" s="3">
        <f t="shared" si="20"/>
        <v>1</v>
      </c>
      <c r="D305" s="3">
        <f t="shared" si="21"/>
        <v>1</v>
      </c>
      <c r="E305" s="3" t="str">
        <f t="shared" si="22"/>
        <v>same</v>
      </c>
      <c r="F305" s="3" t="str">
        <f t="shared" si="23"/>
        <v>no</v>
      </c>
      <c r="G305" s="3" t="str">
        <f t="shared" si="24"/>
        <v>ok</v>
      </c>
    </row>
    <row r="306" spans="1:7" x14ac:dyDescent="0.25">
      <c r="A306" s="2">
        <v>304</v>
      </c>
      <c r="B306" s="2">
        <v>150</v>
      </c>
      <c r="C306" s="3">
        <f t="shared" si="20"/>
        <v>0</v>
      </c>
      <c r="D306" s="3">
        <f t="shared" si="21"/>
        <v>0</v>
      </c>
      <c r="E306" s="3" t="str">
        <f t="shared" si="22"/>
        <v>same</v>
      </c>
      <c r="F306" s="3" t="str">
        <f t="shared" si="23"/>
        <v>no</v>
      </c>
      <c r="G306" s="3" t="str">
        <f t="shared" si="24"/>
        <v>ok</v>
      </c>
    </row>
    <row r="307" spans="1:7" x14ac:dyDescent="0.25">
      <c r="A307" s="2">
        <v>305</v>
      </c>
      <c r="B307" s="2">
        <v>61</v>
      </c>
      <c r="C307" s="3">
        <f t="shared" si="20"/>
        <v>1</v>
      </c>
      <c r="D307" s="3">
        <f t="shared" si="21"/>
        <v>1</v>
      </c>
      <c r="E307" s="3" t="str">
        <f t="shared" si="22"/>
        <v>same</v>
      </c>
      <c r="F307" s="3" t="str">
        <f t="shared" si="23"/>
        <v>no</v>
      </c>
      <c r="G307" s="3" t="str">
        <f t="shared" si="24"/>
        <v>ok</v>
      </c>
    </row>
    <row r="308" spans="1:7" x14ac:dyDescent="0.25">
      <c r="A308" s="2">
        <v>306</v>
      </c>
      <c r="B308" s="2">
        <v>198</v>
      </c>
      <c r="C308" s="3">
        <f t="shared" si="20"/>
        <v>0</v>
      </c>
      <c r="D308" s="3">
        <f t="shared" si="21"/>
        <v>0</v>
      </c>
      <c r="E308" s="3" t="str">
        <f t="shared" si="22"/>
        <v>same</v>
      </c>
      <c r="F308" s="3" t="str">
        <f t="shared" si="23"/>
        <v>no</v>
      </c>
      <c r="G308" s="3" t="str">
        <f t="shared" si="24"/>
        <v>ok</v>
      </c>
    </row>
    <row r="309" spans="1:7" x14ac:dyDescent="0.25">
      <c r="A309" s="2">
        <v>307</v>
      </c>
      <c r="B309" s="2">
        <v>-1</v>
      </c>
      <c r="C309" s="3">
        <f t="shared" si="20"/>
        <v>1</v>
      </c>
      <c r="D309" s="3">
        <f t="shared" si="21"/>
        <v>1</v>
      </c>
      <c r="E309" s="3" t="str">
        <f t="shared" si="22"/>
        <v>same</v>
      </c>
      <c r="F309" s="3" t="str">
        <f t="shared" si="23"/>
        <v>no</v>
      </c>
      <c r="G309" s="3" t="str">
        <f t="shared" si="24"/>
        <v>ok</v>
      </c>
    </row>
    <row r="310" spans="1:7" x14ac:dyDescent="0.25">
      <c r="A310" s="2">
        <v>308</v>
      </c>
      <c r="B310" s="2">
        <v>176</v>
      </c>
      <c r="C310" s="3">
        <f t="shared" si="20"/>
        <v>0</v>
      </c>
      <c r="D310" s="3">
        <f t="shared" si="21"/>
        <v>0</v>
      </c>
      <c r="E310" s="3" t="str">
        <f t="shared" si="22"/>
        <v>same</v>
      </c>
      <c r="F310" s="3" t="str">
        <f t="shared" si="23"/>
        <v>no</v>
      </c>
      <c r="G310" s="3" t="str">
        <f t="shared" si="24"/>
        <v>ok</v>
      </c>
    </row>
    <row r="311" spans="1:7" x14ac:dyDescent="0.25">
      <c r="A311" s="2">
        <v>309</v>
      </c>
      <c r="B311" s="2">
        <v>101</v>
      </c>
      <c r="C311" s="3">
        <f t="shared" si="20"/>
        <v>1</v>
      </c>
      <c r="D311" s="3">
        <f t="shared" si="21"/>
        <v>1</v>
      </c>
      <c r="E311" s="3" t="str">
        <f t="shared" si="22"/>
        <v>same</v>
      </c>
      <c r="F311" s="3" t="str">
        <f t="shared" si="23"/>
        <v>no</v>
      </c>
      <c r="G311" s="3" t="str">
        <f t="shared" si="24"/>
        <v>ok</v>
      </c>
    </row>
    <row r="312" spans="1:7" x14ac:dyDescent="0.25">
      <c r="A312" s="2">
        <v>310</v>
      </c>
      <c r="B312" s="2">
        <v>182</v>
      </c>
      <c r="C312" s="3">
        <f t="shared" si="20"/>
        <v>0</v>
      </c>
      <c r="D312" s="3">
        <f t="shared" si="21"/>
        <v>0</v>
      </c>
      <c r="E312" s="3" t="str">
        <f t="shared" si="22"/>
        <v>same</v>
      </c>
      <c r="F312" s="3" t="str">
        <f t="shared" si="23"/>
        <v>no</v>
      </c>
      <c r="G312" s="3" t="str">
        <f t="shared" si="24"/>
        <v>ok</v>
      </c>
    </row>
    <row r="313" spans="1:7" x14ac:dyDescent="0.25">
      <c r="A313" s="2">
        <v>311</v>
      </c>
      <c r="B313" s="2">
        <v>-1</v>
      </c>
      <c r="C313" s="3">
        <f t="shared" si="20"/>
        <v>1</v>
      </c>
      <c r="D313" s="3">
        <f t="shared" si="21"/>
        <v>1</v>
      </c>
      <c r="E313" s="3" t="str">
        <f t="shared" si="22"/>
        <v>same</v>
      </c>
      <c r="F313" s="3" t="str">
        <f t="shared" si="23"/>
        <v>no</v>
      </c>
      <c r="G313" s="3" t="str">
        <f t="shared" si="24"/>
        <v>ok</v>
      </c>
    </row>
    <row r="314" spans="1:7" x14ac:dyDescent="0.25">
      <c r="A314" s="2">
        <v>312</v>
      </c>
      <c r="B314" s="2">
        <v>200</v>
      </c>
      <c r="C314" s="3">
        <f t="shared" si="20"/>
        <v>0</v>
      </c>
      <c r="D314" s="3">
        <f t="shared" si="21"/>
        <v>0</v>
      </c>
      <c r="E314" s="3" t="str">
        <f t="shared" si="22"/>
        <v>same</v>
      </c>
      <c r="F314" s="3" t="str">
        <f t="shared" si="23"/>
        <v>no</v>
      </c>
      <c r="G314" s="3" t="str">
        <f t="shared" si="24"/>
        <v>ok</v>
      </c>
    </row>
    <row r="315" spans="1:7" x14ac:dyDescent="0.25">
      <c r="A315" s="2">
        <v>313</v>
      </c>
      <c r="B315" s="2">
        <v>-1</v>
      </c>
      <c r="C315" s="3">
        <f t="shared" si="20"/>
        <v>1</v>
      </c>
      <c r="D315" s="3">
        <f t="shared" si="21"/>
        <v>1</v>
      </c>
      <c r="E315" s="3" t="str">
        <f t="shared" si="22"/>
        <v>same</v>
      </c>
      <c r="F315" s="3" t="str">
        <f t="shared" si="23"/>
        <v>no</v>
      </c>
      <c r="G315" s="3" t="str">
        <f t="shared" si="24"/>
        <v>ok</v>
      </c>
    </row>
    <row r="316" spans="1:7" x14ac:dyDescent="0.25">
      <c r="A316" s="2">
        <v>314</v>
      </c>
      <c r="B316" s="2">
        <v>154</v>
      </c>
      <c r="C316" s="3">
        <f t="shared" si="20"/>
        <v>0</v>
      </c>
      <c r="D316" s="3">
        <f t="shared" si="21"/>
        <v>0</v>
      </c>
      <c r="E316" s="3" t="str">
        <f t="shared" si="22"/>
        <v>same</v>
      </c>
      <c r="F316" s="3" t="str">
        <f t="shared" si="23"/>
        <v>no</v>
      </c>
      <c r="G316" s="3" t="str">
        <f t="shared" si="24"/>
        <v>ok</v>
      </c>
    </row>
    <row r="317" spans="1:7" x14ac:dyDescent="0.25">
      <c r="A317" s="2">
        <v>315</v>
      </c>
      <c r="B317" s="2">
        <v>159</v>
      </c>
      <c r="C317" s="3">
        <f t="shared" si="20"/>
        <v>1</v>
      </c>
      <c r="D317" s="3">
        <f t="shared" si="21"/>
        <v>1</v>
      </c>
      <c r="E317" s="3" t="str">
        <f t="shared" si="22"/>
        <v>same</v>
      </c>
      <c r="F317" s="3" t="str">
        <f t="shared" si="23"/>
        <v>no</v>
      </c>
      <c r="G317" s="3" t="str">
        <f t="shared" si="24"/>
        <v>ok</v>
      </c>
    </row>
    <row r="318" spans="1:7" x14ac:dyDescent="0.25">
      <c r="A318" s="2">
        <v>316</v>
      </c>
      <c r="B318" s="2">
        <v>154</v>
      </c>
      <c r="C318" s="3">
        <f t="shared" si="20"/>
        <v>0</v>
      </c>
      <c r="D318" s="3">
        <f t="shared" si="21"/>
        <v>0</v>
      </c>
      <c r="E318" s="3" t="str">
        <f t="shared" si="22"/>
        <v>same</v>
      </c>
      <c r="F318" s="3" t="str">
        <f t="shared" si="23"/>
        <v>no</v>
      </c>
      <c r="G318" s="3" t="str">
        <f t="shared" si="24"/>
        <v>ok</v>
      </c>
    </row>
    <row r="319" spans="1:7" x14ac:dyDescent="0.25">
      <c r="A319" s="2">
        <v>317</v>
      </c>
      <c r="B319" s="2">
        <v>-1</v>
      </c>
      <c r="C319" s="3">
        <f t="shared" si="20"/>
        <v>1</v>
      </c>
      <c r="D319" s="3">
        <f t="shared" si="21"/>
        <v>1</v>
      </c>
      <c r="E319" s="3" t="str">
        <f t="shared" si="22"/>
        <v>same</v>
      </c>
      <c r="F319" s="3" t="str">
        <f t="shared" si="23"/>
        <v>no</v>
      </c>
      <c r="G319" s="3" t="str">
        <f t="shared" si="24"/>
        <v>ok</v>
      </c>
    </row>
    <row r="320" spans="1:7" x14ac:dyDescent="0.25">
      <c r="A320" s="2">
        <v>318</v>
      </c>
      <c r="B320" s="2">
        <v>206</v>
      </c>
      <c r="C320" s="3">
        <f t="shared" si="20"/>
        <v>0</v>
      </c>
      <c r="D320" s="3">
        <f t="shared" si="21"/>
        <v>0</v>
      </c>
      <c r="E320" s="3" t="str">
        <f t="shared" si="22"/>
        <v>same</v>
      </c>
      <c r="F320" s="3" t="str">
        <f t="shared" si="23"/>
        <v>no</v>
      </c>
      <c r="G320" s="3" t="str">
        <f t="shared" si="24"/>
        <v>ok</v>
      </c>
    </row>
    <row r="321" spans="1:7" x14ac:dyDescent="0.25">
      <c r="A321" s="2">
        <v>319</v>
      </c>
      <c r="B321" s="2">
        <v>35</v>
      </c>
      <c r="C321" s="3">
        <f t="shared" si="20"/>
        <v>1</v>
      </c>
      <c r="D321" s="3">
        <f t="shared" si="21"/>
        <v>1</v>
      </c>
      <c r="E321" s="3" t="str">
        <f t="shared" si="22"/>
        <v>same</v>
      </c>
      <c r="F321" s="3" t="str">
        <f t="shared" si="23"/>
        <v>no</v>
      </c>
      <c r="G321" s="3" t="str">
        <f t="shared" si="24"/>
        <v>ok</v>
      </c>
    </row>
    <row r="322" spans="1:7" x14ac:dyDescent="0.25">
      <c r="A322" s="2">
        <v>320</v>
      </c>
      <c r="B322" s="2">
        <v>178</v>
      </c>
      <c r="C322" s="3">
        <f t="shared" si="20"/>
        <v>0</v>
      </c>
      <c r="D322" s="3">
        <f t="shared" si="21"/>
        <v>0</v>
      </c>
      <c r="E322" s="3" t="str">
        <f t="shared" si="22"/>
        <v>same</v>
      </c>
      <c r="F322" s="3" t="str">
        <f t="shared" si="23"/>
        <v>no</v>
      </c>
      <c r="G322" s="3" t="str">
        <f t="shared" si="24"/>
        <v>ok</v>
      </c>
    </row>
    <row r="323" spans="1:7" x14ac:dyDescent="0.25">
      <c r="A323" s="2">
        <v>321</v>
      </c>
      <c r="B323" s="2">
        <v>105</v>
      </c>
      <c r="C323" s="3">
        <f t="shared" si="20"/>
        <v>1</v>
      </c>
      <c r="D323" s="3">
        <f t="shared" si="21"/>
        <v>1</v>
      </c>
      <c r="E323" s="3" t="str">
        <f t="shared" si="22"/>
        <v>same</v>
      </c>
      <c r="F323" s="3" t="str">
        <f t="shared" si="23"/>
        <v>no</v>
      </c>
      <c r="G323" s="3" t="str">
        <f t="shared" si="24"/>
        <v>ok</v>
      </c>
    </row>
    <row r="324" spans="1:7" x14ac:dyDescent="0.25">
      <c r="A324" s="2">
        <v>322</v>
      </c>
      <c r="B324" s="2">
        <v>182</v>
      </c>
      <c r="C324" s="3">
        <f t="shared" si="20"/>
        <v>0</v>
      </c>
      <c r="D324" s="3">
        <f t="shared" si="21"/>
        <v>0</v>
      </c>
      <c r="E324" s="3" t="str">
        <f t="shared" si="22"/>
        <v>same</v>
      </c>
      <c r="F324" s="3" t="str">
        <f t="shared" si="23"/>
        <v>no</v>
      </c>
      <c r="G324" s="3" t="str">
        <f t="shared" si="24"/>
        <v>ok</v>
      </c>
    </row>
    <row r="325" spans="1:7" x14ac:dyDescent="0.25">
      <c r="A325" s="2">
        <v>323</v>
      </c>
      <c r="B325" s="2">
        <v>31</v>
      </c>
      <c r="C325" s="3">
        <f t="shared" ref="C325:C388" si="25">MOD(B325,2)</f>
        <v>1</v>
      </c>
      <c r="D325" s="3">
        <f t="shared" ref="D325:D388" si="26">MOD(A325,2)</f>
        <v>1</v>
      </c>
      <c r="E325" s="3" t="str">
        <f t="shared" ref="E325:E388" si="27">IF(C325=D325,"same","diff")</f>
        <v>same</v>
      </c>
      <c r="F325" s="3" t="str">
        <f t="shared" ref="F325:F388" si="28">IF(SQRT(A325)=INT(SQRT(A325)),"YES","no")</f>
        <v>no</v>
      </c>
      <c r="G325" s="3" t="str">
        <f t="shared" ref="G325:G388" si="29">IF(AND(E325="same",F325="no"),"ok",IF(AND(E325="diff",F325="YES"),"ok","FAIL"))</f>
        <v>ok</v>
      </c>
    </row>
    <row r="326" spans="1:7" x14ac:dyDescent="0.25">
      <c r="A326" s="2">
        <v>324</v>
      </c>
      <c r="B326" s="2">
        <v>201</v>
      </c>
      <c r="C326" s="3">
        <f t="shared" si="25"/>
        <v>1</v>
      </c>
      <c r="D326" s="3">
        <f t="shared" si="26"/>
        <v>0</v>
      </c>
      <c r="E326" s="3" t="str">
        <f t="shared" si="27"/>
        <v>diff</v>
      </c>
      <c r="F326" s="3" t="str">
        <f t="shared" si="28"/>
        <v>YES</v>
      </c>
      <c r="G326" s="3" t="str">
        <f t="shared" si="29"/>
        <v>ok</v>
      </c>
    </row>
    <row r="327" spans="1:7" x14ac:dyDescent="0.25">
      <c r="A327" s="2">
        <v>325</v>
      </c>
      <c r="B327" s="2">
        <v>79</v>
      </c>
      <c r="C327" s="3">
        <f t="shared" si="25"/>
        <v>1</v>
      </c>
      <c r="D327" s="3">
        <f t="shared" si="26"/>
        <v>1</v>
      </c>
      <c r="E327" s="3" t="str">
        <f t="shared" si="27"/>
        <v>same</v>
      </c>
      <c r="F327" s="3" t="str">
        <f t="shared" si="28"/>
        <v>no</v>
      </c>
      <c r="G327" s="3" t="str">
        <f t="shared" si="29"/>
        <v>ok</v>
      </c>
    </row>
    <row r="328" spans="1:7" x14ac:dyDescent="0.25">
      <c r="A328" s="2">
        <v>326</v>
      </c>
      <c r="B328" s="2">
        <v>160</v>
      </c>
      <c r="C328" s="3">
        <f t="shared" si="25"/>
        <v>0</v>
      </c>
      <c r="D328" s="3">
        <f t="shared" si="26"/>
        <v>0</v>
      </c>
      <c r="E328" s="3" t="str">
        <f t="shared" si="27"/>
        <v>same</v>
      </c>
      <c r="F328" s="3" t="str">
        <f t="shared" si="28"/>
        <v>no</v>
      </c>
      <c r="G328" s="3" t="str">
        <f t="shared" si="29"/>
        <v>ok</v>
      </c>
    </row>
    <row r="329" spans="1:7" x14ac:dyDescent="0.25">
      <c r="A329" s="2">
        <v>327</v>
      </c>
      <c r="B329" s="2">
        <v>107</v>
      </c>
      <c r="C329" s="3">
        <f t="shared" si="25"/>
        <v>1</v>
      </c>
      <c r="D329" s="3">
        <f t="shared" si="26"/>
        <v>1</v>
      </c>
      <c r="E329" s="3" t="str">
        <f t="shared" si="27"/>
        <v>same</v>
      </c>
      <c r="F329" s="3" t="str">
        <f t="shared" si="28"/>
        <v>no</v>
      </c>
      <c r="G329" s="3" t="str">
        <f t="shared" si="29"/>
        <v>ok</v>
      </c>
    </row>
    <row r="330" spans="1:7" x14ac:dyDescent="0.25">
      <c r="A330" s="2">
        <v>328</v>
      </c>
      <c r="B330" s="2">
        <v>160</v>
      </c>
      <c r="C330" s="3">
        <f t="shared" si="25"/>
        <v>0</v>
      </c>
      <c r="D330" s="3">
        <f t="shared" si="26"/>
        <v>0</v>
      </c>
      <c r="E330" s="3" t="str">
        <f t="shared" si="27"/>
        <v>same</v>
      </c>
      <c r="F330" s="3" t="str">
        <f t="shared" si="28"/>
        <v>no</v>
      </c>
      <c r="G330" s="3" t="str">
        <f t="shared" si="29"/>
        <v>ok</v>
      </c>
    </row>
    <row r="331" spans="1:7" x14ac:dyDescent="0.25">
      <c r="A331" s="2">
        <v>329</v>
      </c>
      <c r="B331" s="2">
        <v>49</v>
      </c>
      <c r="C331" s="3">
        <f t="shared" si="25"/>
        <v>1</v>
      </c>
      <c r="D331" s="3">
        <f t="shared" si="26"/>
        <v>1</v>
      </c>
      <c r="E331" s="3" t="str">
        <f t="shared" si="27"/>
        <v>same</v>
      </c>
      <c r="F331" s="3" t="str">
        <f t="shared" si="28"/>
        <v>no</v>
      </c>
      <c r="G331" s="3" t="str">
        <f t="shared" si="29"/>
        <v>ok</v>
      </c>
    </row>
    <row r="332" spans="1:7" x14ac:dyDescent="0.25">
      <c r="A332" s="2">
        <v>330</v>
      </c>
      <c r="B332" s="2">
        <v>234</v>
      </c>
      <c r="C332" s="3">
        <f t="shared" si="25"/>
        <v>0</v>
      </c>
      <c r="D332" s="3">
        <f t="shared" si="26"/>
        <v>0</v>
      </c>
      <c r="E332" s="3" t="str">
        <f t="shared" si="27"/>
        <v>same</v>
      </c>
      <c r="F332" s="3" t="str">
        <f t="shared" si="28"/>
        <v>no</v>
      </c>
      <c r="G332" s="3" t="str">
        <f t="shared" si="29"/>
        <v>ok</v>
      </c>
    </row>
    <row r="333" spans="1:7" x14ac:dyDescent="0.25">
      <c r="A333" s="2">
        <v>331</v>
      </c>
      <c r="B333" s="2">
        <v>-1</v>
      </c>
      <c r="C333" s="3">
        <f t="shared" si="25"/>
        <v>1</v>
      </c>
      <c r="D333" s="3">
        <f t="shared" si="26"/>
        <v>1</v>
      </c>
      <c r="E333" s="3" t="str">
        <f t="shared" si="27"/>
        <v>same</v>
      </c>
      <c r="F333" s="3" t="str">
        <f t="shared" si="28"/>
        <v>no</v>
      </c>
      <c r="G333" s="3" t="str">
        <f t="shared" si="29"/>
        <v>ok</v>
      </c>
    </row>
    <row r="334" spans="1:7" x14ac:dyDescent="0.25">
      <c r="A334" s="2">
        <v>332</v>
      </c>
      <c r="B334" s="2">
        <v>162</v>
      </c>
      <c r="C334" s="3">
        <f t="shared" si="25"/>
        <v>0</v>
      </c>
      <c r="D334" s="3">
        <f t="shared" si="26"/>
        <v>0</v>
      </c>
      <c r="E334" s="3" t="str">
        <f t="shared" si="27"/>
        <v>same</v>
      </c>
      <c r="F334" s="3" t="str">
        <f t="shared" si="28"/>
        <v>no</v>
      </c>
      <c r="G334" s="3" t="str">
        <f t="shared" si="29"/>
        <v>ok</v>
      </c>
    </row>
    <row r="335" spans="1:7" x14ac:dyDescent="0.25">
      <c r="A335" s="2">
        <v>333</v>
      </c>
      <c r="B335" s="2">
        <v>111</v>
      </c>
      <c r="C335" s="3">
        <f t="shared" si="25"/>
        <v>1</v>
      </c>
      <c r="D335" s="3">
        <f t="shared" si="26"/>
        <v>1</v>
      </c>
      <c r="E335" s="3" t="str">
        <f t="shared" si="27"/>
        <v>same</v>
      </c>
      <c r="F335" s="3" t="str">
        <f t="shared" si="28"/>
        <v>no</v>
      </c>
      <c r="G335" s="3" t="str">
        <f t="shared" si="29"/>
        <v>ok</v>
      </c>
    </row>
    <row r="336" spans="1:7" x14ac:dyDescent="0.25">
      <c r="A336" s="2">
        <v>334</v>
      </c>
      <c r="B336" s="2">
        <v>164</v>
      </c>
      <c r="C336" s="3">
        <f t="shared" si="25"/>
        <v>0</v>
      </c>
      <c r="D336" s="3">
        <f t="shared" si="26"/>
        <v>0</v>
      </c>
      <c r="E336" s="3" t="str">
        <f t="shared" si="27"/>
        <v>same</v>
      </c>
      <c r="F336" s="3" t="str">
        <f t="shared" si="28"/>
        <v>no</v>
      </c>
      <c r="G336" s="3" t="str">
        <f t="shared" si="29"/>
        <v>ok</v>
      </c>
    </row>
    <row r="337" spans="1:7" x14ac:dyDescent="0.25">
      <c r="A337" s="2">
        <v>335</v>
      </c>
      <c r="B337" s="2">
        <v>67</v>
      </c>
      <c r="C337" s="3">
        <f t="shared" si="25"/>
        <v>1</v>
      </c>
      <c r="D337" s="3">
        <f t="shared" si="26"/>
        <v>1</v>
      </c>
      <c r="E337" s="3" t="str">
        <f t="shared" si="27"/>
        <v>same</v>
      </c>
      <c r="F337" s="3" t="str">
        <f t="shared" si="28"/>
        <v>no</v>
      </c>
      <c r="G337" s="3" t="str">
        <f t="shared" si="29"/>
        <v>ok</v>
      </c>
    </row>
    <row r="338" spans="1:7" x14ac:dyDescent="0.25">
      <c r="A338" s="2">
        <v>336</v>
      </c>
      <c r="B338" s="2">
        <v>220</v>
      </c>
      <c r="C338" s="3">
        <f t="shared" si="25"/>
        <v>0</v>
      </c>
      <c r="D338" s="3">
        <f t="shared" si="26"/>
        <v>0</v>
      </c>
      <c r="E338" s="3" t="str">
        <f t="shared" si="27"/>
        <v>same</v>
      </c>
      <c r="F338" s="3" t="str">
        <f t="shared" si="28"/>
        <v>no</v>
      </c>
      <c r="G338" s="3" t="str">
        <f t="shared" si="29"/>
        <v>ok</v>
      </c>
    </row>
    <row r="339" spans="1:7" x14ac:dyDescent="0.25">
      <c r="A339" s="2">
        <v>337</v>
      </c>
      <c r="B339" s="2">
        <v>-1</v>
      </c>
      <c r="C339" s="3">
        <f t="shared" si="25"/>
        <v>1</v>
      </c>
      <c r="D339" s="3">
        <f t="shared" si="26"/>
        <v>1</v>
      </c>
      <c r="E339" s="3" t="str">
        <f t="shared" si="27"/>
        <v>same</v>
      </c>
      <c r="F339" s="3" t="str">
        <f t="shared" si="28"/>
        <v>no</v>
      </c>
      <c r="G339" s="3" t="str">
        <f t="shared" si="29"/>
        <v>ok</v>
      </c>
    </row>
    <row r="340" spans="1:7" x14ac:dyDescent="0.25">
      <c r="A340" s="2">
        <v>338</v>
      </c>
      <c r="B340" s="2">
        <v>176</v>
      </c>
      <c r="C340" s="3">
        <f t="shared" si="25"/>
        <v>0</v>
      </c>
      <c r="D340" s="3">
        <f t="shared" si="26"/>
        <v>0</v>
      </c>
      <c r="E340" s="3" t="str">
        <f t="shared" si="27"/>
        <v>same</v>
      </c>
      <c r="F340" s="3" t="str">
        <f t="shared" si="28"/>
        <v>no</v>
      </c>
      <c r="G340" s="3" t="str">
        <f t="shared" si="29"/>
        <v>ok</v>
      </c>
    </row>
    <row r="341" spans="1:7" x14ac:dyDescent="0.25">
      <c r="A341" s="2">
        <v>339</v>
      </c>
      <c r="B341" s="2">
        <v>111</v>
      </c>
      <c r="C341" s="3">
        <f t="shared" si="25"/>
        <v>1</v>
      </c>
      <c r="D341" s="3">
        <f t="shared" si="26"/>
        <v>1</v>
      </c>
      <c r="E341" s="3" t="str">
        <f t="shared" si="27"/>
        <v>same</v>
      </c>
      <c r="F341" s="3" t="str">
        <f t="shared" si="28"/>
        <v>no</v>
      </c>
      <c r="G341" s="3" t="str">
        <f t="shared" si="29"/>
        <v>ok</v>
      </c>
    </row>
    <row r="342" spans="1:7" x14ac:dyDescent="0.25">
      <c r="A342" s="2">
        <v>340</v>
      </c>
      <c r="B342" s="2">
        <v>200</v>
      </c>
      <c r="C342" s="3">
        <f t="shared" si="25"/>
        <v>0</v>
      </c>
      <c r="D342" s="3">
        <f t="shared" si="26"/>
        <v>0</v>
      </c>
      <c r="E342" s="3" t="str">
        <f t="shared" si="27"/>
        <v>same</v>
      </c>
      <c r="F342" s="3" t="str">
        <f t="shared" si="28"/>
        <v>no</v>
      </c>
      <c r="G342" s="3" t="str">
        <f t="shared" si="29"/>
        <v>ok</v>
      </c>
    </row>
    <row r="343" spans="1:7" x14ac:dyDescent="0.25">
      <c r="A343" s="2">
        <v>341</v>
      </c>
      <c r="B343" s="2">
        <v>37</v>
      </c>
      <c r="C343" s="3">
        <f t="shared" si="25"/>
        <v>1</v>
      </c>
      <c r="D343" s="3">
        <f t="shared" si="26"/>
        <v>1</v>
      </c>
      <c r="E343" s="3" t="str">
        <f t="shared" si="27"/>
        <v>same</v>
      </c>
      <c r="F343" s="3" t="str">
        <f t="shared" si="28"/>
        <v>no</v>
      </c>
      <c r="G343" s="3" t="str">
        <f t="shared" si="29"/>
        <v>ok</v>
      </c>
    </row>
    <row r="344" spans="1:7" x14ac:dyDescent="0.25">
      <c r="A344" s="2">
        <v>342</v>
      </c>
      <c r="B344" s="2">
        <v>222</v>
      </c>
      <c r="C344" s="3">
        <f t="shared" si="25"/>
        <v>0</v>
      </c>
      <c r="D344" s="3">
        <f t="shared" si="26"/>
        <v>0</v>
      </c>
      <c r="E344" s="3" t="str">
        <f t="shared" si="27"/>
        <v>same</v>
      </c>
      <c r="F344" s="3" t="str">
        <f t="shared" si="28"/>
        <v>no</v>
      </c>
      <c r="G344" s="3" t="str">
        <f t="shared" si="29"/>
        <v>ok</v>
      </c>
    </row>
    <row r="345" spans="1:7" x14ac:dyDescent="0.25">
      <c r="A345" s="2">
        <v>343</v>
      </c>
      <c r="B345" s="2">
        <v>45</v>
      </c>
      <c r="C345" s="3">
        <f t="shared" si="25"/>
        <v>1</v>
      </c>
      <c r="D345" s="3">
        <f t="shared" si="26"/>
        <v>1</v>
      </c>
      <c r="E345" s="3" t="str">
        <f t="shared" si="27"/>
        <v>same</v>
      </c>
      <c r="F345" s="3" t="str">
        <f t="shared" si="28"/>
        <v>no</v>
      </c>
      <c r="G345" s="3" t="str">
        <f t="shared" si="29"/>
        <v>ok</v>
      </c>
    </row>
    <row r="346" spans="1:7" x14ac:dyDescent="0.25">
      <c r="A346" s="2">
        <v>344</v>
      </c>
      <c r="B346" s="2">
        <v>168</v>
      </c>
      <c r="C346" s="3">
        <f t="shared" si="25"/>
        <v>0</v>
      </c>
      <c r="D346" s="3">
        <f t="shared" si="26"/>
        <v>0</v>
      </c>
      <c r="E346" s="3" t="str">
        <f t="shared" si="27"/>
        <v>same</v>
      </c>
      <c r="F346" s="3" t="str">
        <f t="shared" si="28"/>
        <v>no</v>
      </c>
      <c r="G346" s="3" t="str">
        <f t="shared" si="29"/>
        <v>ok</v>
      </c>
    </row>
    <row r="347" spans="1:7" x14ac:dyDescent="0.25">
      <c r="A347" s="2">
        <v>345</v>
      </c>
      <c r="B347" s="2">
        <v>161</v>
      </c>
      <c r="C347" s="3">
        <f t="shared" si="25"/>
        <v>1</v>
      </c>
      <c r="D347" s="3">
        <f t="shared" si="26"/>
        <v>1</v>
      </c>
      <c r="E347" s="3" t="str">
        <f t="shared" si="27"/>
        <v>same</v>
      </c>
      <c r="F347" s="3" t="str">
        <f t="shared" si="28"/>
        <v>no</v>
      </c>
      <c r="G347" s="3" t="str">
        <f t="shared" si="29"/>
        <v>ok</v>
      </c>
    </row>
    <row r="348" spans="1:7" x14ac:dyDescent="0.25">
      <c r="A348" s="2">
        <v>346</v>
      </c>
      <c r="B348" s="2">
        <v>170</v>
      </c>
      <c r="C348" s="3">
        <f t="shared" si="25"/>
        <v>0</v>
      </c>
      <c r="D348" s="3">
        <f t="shared" si="26"/>
        <v>0</v>
      </c>
      <c r="E348" s="3" t="str">
        <f t="shared" si="27"/>
        <v>same</v>
      </c>
      <c r="F348" s="3" t="str">
        <f t="shared" si="28"/>
        <v>no</v>
      </c>
      <c r="G348" s="3" t="str">
        <f t="shared" si="29"/>
        <v>ok</v>
      </c>
    </row>
    <row r="349" spans="1:7" x14ac:dyDescent="0.25">
      <c r="A349" s="2">
        <v>347</v>
      </c>
      <c r="B349" s="2">
        <v>-1</v>
      </c>
      <c r="C349" s="3">
        <f t="shared" si="25"/>
        <v>1</v>
      </c>
      <c r="D349" s="3">
        <f t="shared" si="26"/>
        <v>1</v>
      </c>
      <c r="E349" s="3" t="str">
        <f t="shared" si="27"/>
        <v>same</v>
      </c>
      <c r="F349" s="3" t="str">
        <f t="shared" si="28"/>
        <v>no</v>
      </c>
      <c r="G349" s="3" t="str">
        <f t="shared" si="29"/>
        <v>ok</v>
      </c>
    </row>
    <row r="350" spans="1:7" x14ac:dyDescent="0.25">
      <c r="A350" s="2">
        <v>348</v>
      </c>
      <c r="B350" s="2">
        <v>224</v>
      </c>
      <c r="C350" s="3">
        <f t="shared" si="25"/>
        <v>0</v>
      </c>
      <c r="D350" s="3">
        <f t="shared" si="26"/>
        <v>0</v>
      </c>
      <c r="E350" s="3" t="str">
        <f t="shared" si="27"/>
        <v>same</v>
      </c>
      <c r="F350" s="3" t="str">
        <f t="shared" si="28"/>
        <v>no</v>
      </c>
      <c r="G350" s="3" t="str">
        <f t="shared" si="29"/>
        <v>ok</v>
      </c>
    </row>
    <row r="351" spans="1:7" x14ac:dyDescent="0.25">
      <c r="A351" s="2">
        <v>349</v>
      </c>
      <c r="B351" s="2">
        <v>-1</v>
      </c>
      <c r="C351" s="3">
        <f t="shared" si="25"/>
        <v>1</v>
      </c>
      <c r="D351" s="3">
        <f t="shared" si="26"/>
        <v>1</v>
      </c>
      <c r="E351" s="3" t="str">
        <f t="shared" si="27"/>
        <v>same</v>
      </c>
      <c r="F351" s="3" t="str">
        <f t="shared" si="28"/>
        <v>no</v>
      </c>
      <c r="G351" s="3" t="str">
        <f t="shared" si="29"/>
        <v>ok</v>
      </c>
    </row>
    <row r="352" spans="1:7" x14ac:dyDescent="0.25">
      <c r="A352" s="2">
        <v>350</v>
      </c>
      <c r="B352" s="2">
        <v>218</v>
      </c>
      <c r="C352" s="3">
        <f t="shared" si="25"/>
        <v>0</v>
      </c>
      <c r="D352" s="3">
        <f t="shared" si="26"/>
        <v>0</v>
      </c>
      <c r="E352" s="3" t="str">
        <f t="shared" si="27"/>
        <v>same</v>
      </c>
      <c r="F352" s="3" t="str">
        <f t="shared" si="28"/>
        <v>no</v>
      </c>
      <c r="G352" s="3" t="str">
        <f t="shared" si="29"/>
        <v>ok</v>
      </c>
    </row>
    <row r="353" spans="1:7" x14ac:dyDescent="0.25">
      <c r="A353" s="2">
        <v>351</v>
      </c>
      <c r="B353" s="2">
        <v>127</v>
      </c>
      <c r="C353" s="3">
        <f t="shared" si="25"/>
        <v>1</v>
      </c>
      <c r="D353" s="3">
        <f t="shared" si="26"/>
        <v>1</v>
      </c>
      <c r="E353" s="3" t="str">
        <f t="shared" si="27"/>
        <v>same</v>
      </c>
      <c r="F353" s="3" t="str">
        <f t="shared" si="28"/>
        <v>no</v>
      </c>
      <c r="G353" s="3" t="str">
        <f t="shared" si="29"/>
        <v>ok</v>
      </c>
    </row>
    <row r="354" spans="1:7" x14ac:dyDescent="0.25">
      <c r="A354" s="2">
        <v>352</v>
      </c>
      <c r="B354" s="2">
        <v>180</v>
      </c>
      <c r="C354" s="3">
        <f t="shared" si="25"/>
        <v>0</v>
      </c>
      <c r="D354" s="3">
        <f t="shared" si="26"/>
        <v>0</v>
      </c>
      <c r="E354" s="3" t="str">
        <f t="shared" si="27"/>
        <v>same</v>
      </c>
      <c r="F354" s="3" t="str">
        <f t="shared" si="28"/>
        <v>no</v>
      </c>
      <c r="G354" s="3" t="str">
        <f t="shared" si="29"/>
        <v>ok</v>
      </c>
    </row>
    <row r="355" spans="1:7" x14ac:dyDescent="0.25">
      <c r="A355" s="2">
        <v>353</v>
      </c>
      <c r="B355" s="2">
        <v>-1</v>
      </c>
      <c r="C355" s="3">
        <f t="shared" si="25"/>
        <v>1</v>
      </c>
      <c r="D355" s="3">
        <f t="shared" si="26"/>
        <v>1</v>
      </c>
      <c r="E355" s="3" t="str">
        <f t="shared" si="27"/>
        <v>same</v>
      </c>
      <c r="F355" s="3" t="str">
        <f t="shared" si="28"/>
        <v>no</v>
      </c>
      <c r="G355" s="3" t="str">
        <f t="shared" si="29"/>
        <v>ok</v>
      </c>
    </row>
    <row r="356" spans="1:7" x14ac:dyDescent="0.25">
      <c r="A356" s="2">
        <v>354</v>
      </c>
      <c r="B356" s="2">
        <v>230</v>
      </c>
      <c r="C356" s="3">
        <f t="shared" si="25"/>
        <v>0</v>
      </c>
      <c r="D356" s="3">
        <f t="shared" si="26"/>
        <v>0</v>
      </c>
      <c r="E356" s="3" t="str">
        <f t="shared" si="27"/>
        <v>same</v>
      </c>
      <c r="F356" s="3" t="str">
        <f t="shared" si="28"/>
        <v>no</v>
      </c>
      <c r="G356" s="3" t="str">
        <f t="shared" si="29"/>
        <v>ok</v>
      </c>
    </row>
    <row r="357" spans="1:7" x14ac:dyDescent="0.25">
      <c r="A357" s="2">
        <v>355</v>
      </c>
      <c r="B357" s="2">
        <v>71</v>
      </c>
      <c r="C357" s="3">
        <f t="shared" si="25"/>
        <v>1</v>
      </c>
      <c r="D357" s="3">
        <f t="shared" si="26"/>
        <v>1</v>
      </c>
      <c r="E357" s="3" t="str">
        <f t="shared" si="27"/>
        <v>same</v>
      </c>
      <c r="F357" s="3" t="str">
        <f t="shared" si="28"/>
        <v>no</v>
      </c>
      <c r="G357" s="3" t="str">
        <f t="shared" si="29"/>
        <v>ok</v>
      </c>
    </row>
    <row r="358" spans="1:7" x14ac:dyDescent="0.25">
      <c r="A358" s="2">
        <v>356</v>
      </c>
      <c r="B358" s="2">
        <v>174</v>
      </c>
      <c r="C358" s="3">
        <f t="shared" si="25"/>
        <v>0</v>
      </c>
      <c r="D358" s="3">
        <f t="shared" si="26"/>
        <v>0</v>
      </c>
      <c r="E358" s="3" t="str">
        <f t="shared" si="27"/>
        <v>same</v>
      </c>
      <c r="F358" s="3" t="str">
        <f t="shared" si="28"/>
        <v>no</v>
      </c>
      <c r="G358" s="3" t="str">
        <f t="shared" si="29"/>
        <v>ok</v>
      </c>
    </row>
    <row r="359" spans="1:7" x14ac:dyDescent="0.25">
      <c r="A359" s="2">
        <v>357</v>
      </c>
      <c r="B359" s="2">
        <v>157</v>
      </c>
      <c r="C359" s="3">
        <f t="shared" si="25"/>
        <v>1</v>
      </c>
      <c r="D359" s="3">
        <f t="shared" si="26"/>
        <v>1</v>
      </c>
      <c r="E359" s="3" t="str">
        <f t="shared" si="27"/>
        <v>same</v>
      </c>
      <c r="F359" s="3" t="str">
        <f t="shared" si="28"/>
        <v>no</v>
      </c>
      <c r="G359" s="3" t="str">
        <f t="shared" si="29"/>
        <v>ok</v>
      </c>
    </row>
    <row r="360" spans="1:7" x14ac:dyDescent="0.25">
      <c r="A360" s="2">
        <v>358</v>
      </c>
      <c r="B360" s="2">
        <v>176</v>
      </c>
      <c r="C360" s="3">
        <f t="shared" si="25"/>
        <v>0</v>
      </c>
      <c r="D360" s="3">
        <f t="shared" si="26"/>
        <v>0</v>
      </c>
      <c r="E360" s="3" t="str">
        <f t="shared" si="27"/>
        <v>same</v>
      </c>
      <c r="F360" s="3" t="str">
        <f t="shared" si="28"/>
        <v>no</v>
      </c>
      <c r="G360" s="3" t="str">
        <f t="shared" si="29"/>
        <v>ok</v>
      </c>
    </row>
    <row r="361" spans="1:7" x14ac:dyDescent="0.25">
      <c r="A361" s="2">
        <v>359</v>
      </c>
      <c r="B361" s="2">
        <v>-1</v>
      </c>
      <c r="C361" s="3">
        <f t="shared" si="25"/>
        <v>1</v>
      </c>
      <c r="D361" s="3">
        <f t="shared" si="26"/>
        <v>1</v>
      </c>
      <c r="E361" s="3" t="str">
        <f t="shared" si="27"/>
        <v>same</v>
      </c>
      <c r="F361" s="3" t="str">
        <f t="shared" si="28"/>
        <v>no</v>
      </c>
      <c r="G361" s="3" t="str">
        <f t="shared" si="29"/>
        <v>ok</v>
      </c>
    </row>
    <row r="362" spans="1:7" x14ac:dyDescent="0.25">
      <c r="A362" s="2">
        <v>360</v>
      </c>
      <c r="B362" s="2">
        <v>240</v>
      </c>
      <c r="C362" s="3">
        <f t="shared" si="25"/>
        <v>0</v>
      </c>
      <c r="D362" s="3">
        <f t="shared" si="26"/>
        <v>0</v>
      </c>
      <c r="E362" s="3" t="str">
        <f t="shared" si="27"/>
        <v>same</v>
      </c>
      <c r="F362" s="3" t="str">
        <f t="shared" si="28"/>
        <v>no</v>
      </c>
      <c r="G362" s="3" t="str">
        <f t="shared" si="29"/>
        <v>ok</v>
      </c>
    </row>
    <row r="363" spans="1:7" x14ac:dyDescent="0.25">
      <c r="A363" s="2">
        <v>361</v>
      </c>
      <c r="B363" s="2">
        <v>16</v>
      </c>
      <c r="C363" s="3">
        <f t="shared" si="25"/>
        <v>0</v>
      </c>
      <c r="D363" s="3">
        <f t="shared" si="26"/>
        <v>1</v>
      </c>
      <c r="E363" s="3" t="str">
        <f t="shared" si="27"/>
        <v>diff</v>
      </c>
      <c r="F363" s="3" t="str">
        <f t="shared" si="28"/>
        <v>YES</v>
      </c>
      <c r="G363" s="3" t="str">
        <f t="shared" si="29"/>
        <v>ok</v>
      </c>
    </row>
    <row r="364" spans="1:7" x14ac:dyDescent="0.25">
      <c r="A364" s="2">
        <v>362</v>
      </c>
      <c r="B364" s="2">
        <v>178</v>
      </c>
      <c r="C364" s="3">
        <f t="shared" si="25"/>
        <v>0</v>
      </c>
      <c r="D364" s="3">
        <f t="shared" si="26"/>
        <v>0</v>
      </c>
      <c r="E364" s="3" t="str">
        <f t="shared" si="27"/>
        <v>same</v>
      </c>
      <c r="F364" s="3" t="str">
        <f t="shared" si="28"/>
        <v>no</v>
      </c>
      <c r="G364" s="3" t="str">
        <f t="shared" si="29"/>
        <v>ok</v>
      </c>
    </row>
    <row r="365" spans="1:7" x14ac:dyDescent="0.25">
      <c r="A365" s="2">
        <v>363</v>
      </c>
      <c r="B365" s="2">
        <v>137</v>
      </c>
      <c r="C365" s="3">
        <f t="shared" si="25"/>
        <v>1</v>
      </c>
      <c r="D365" s="3">
        <f t="shared" si="26"/>
        <v>1</v>
      </c>
      <c r="E365" s="3" t="str">
        <f t="shared" si="27"/>
        <v>same</v>
      </c>
      <c r="F365" s="3" t="str">
        <f t="shared" si="28"/>
        <v>no</v>
      </c>
      <c r="G365" s="3" t="str">
        <f t="shared" si="29"/>
        <v>ok</v>
      </c>
    </row>
    <row r="366" spans="1:7" x14ac:dyDescent="0.25">
      <c r="A366" s="2">
        <v>364</v>
      </c>
      <c r="B366" s="2">
        <v>208</v>
      </c>
      <c r="C366" s="3">
        <f t="shared" si="25"/>
        <v>0</v>
      </c>
      <c r="D366" s="3">
        <f t="shared" si="26"/>
        <v>0</v>
      </c>
      <c r="E366" s="3" t="str">
        <f t="shared" si="27"/>
        <v>same</v>
      </c>
      <c r="F366" s="3" t="str">
        <f t="shared" si="28"/>
        <v>no</v>
      </c>
      <c r="G366" s="3" t="str">
        <f t="shared" si="29"/>
        <v>ok</v>
      </c>
    </row>
    <row r="367" spans="1:7" x14ac:dyDescent="0.25">
      <c r="A367" s="2">
        <v>365</v>
      </c>
      <c r="B367" s="2">
        <v>73</v>
      </c>
      <c r="C367" s="3">
        <f t="shared" si="25"/>
        <v>1</v>
      </c>
      <c r="D367" s="3">
        <f t="shared" si="26"/>
        <v>1</v>
      </c>
      <c r="E367" s="3" t="str">
        <f t="shared" si="27"/>
        <v>same</v>
      </c>
      <c r="F367" s="3" t="str">
        <f t="shared" si="28"/>
        <v>no</v>
      </c>
      <c r="G367" s="3" t="str">
        <f t="shared" si="29"/>
        <v>ok</v>
      </c>
    </row>
    <row r="368" spans="1:7" x14ac:dyDescent="0.25">
      <c r="A368" s="2">
        <v>366</v>
      </c>
      <c r="B368" s="2">
        <v>238</v>
      </c>
      <c r="C368" s="3">
        <f t="shared" si="25"/>
        <v>0</v>
      </c>
      <c r="D368" s="3">
        <f t="shared" si="26"/>
        <v>0</v>
      </c>
      <c r="E368" s="3" t="str">
        <f t="shared" si="27"/>
        <v>same</v>
      </c>
      <c r="F368" s="3" t="str">
        <f t="shared" si="28"/>
        <v>no</v>
      </c>
      <c r="G368" s="3" t="str">
        <f t="shared" si="29"/>
        <v>ok</v>
      </c>
    </row>
    <row r="369" spans="1:7" x14ac:dyDescent="0.25">
      <c r="A369" s="2">
        <v>367</v>
      </c>
      <c r="B369" s="2">
        <v>-1</v>
      </c>
      <c r="C369" s="3">
        <f t="shared" si="25"/>
        <v>1</v>
      </c>
      <c r="D369" s="3">
        <f t="shared" si="26"/>
        <v>1</v>
      </c>
      <c r="E369" s="3" t="str">
        <f t="shared" si="27"/>
        <v>same</v>
      </c>
      <c r="F369" s="3" t="str">
        <f t="shared" si="28"/>
        <v>no</v>
      </c>
      <c r="G369" s="3" t="str">
        <f t="shared" si="29"/>
        <v>ok</v>
      </c>
    </row>
    <row r="370" spans="1:7" x14ac:dyDescent="0.25">
      <c r="A370" s="2">
        <v>368</v>
      </c>
      <c r="B370" s="2">
        <v>182</v>
      </c>
      <c r="C370" s="3">
        <f t="shared" si="25"/>
        <v>0</v>
      </c>
      <c r="D370" s="3">
        <f t="shared" si="26"/>
        <v>0</v>
      </c>
      <c r="E370" s="3" t="str">
        <f t="shared" si="27"/>
        <v>same</v>
      </c>
      <c r="F370" s="3" t="str">
        <f t="shared" si="28"/>
        <v>no</v>
      </c>
      <c r="G370" s="3" t="str">
        <f t="shared" si="29"/>
        <v>ok</v>
      </c>
    </row>
    <row r="371" spans="1:7" x14ac:dyDescent="0.25">
      <c r="A371" s="2">
        <v>369</v>
      </c>
      <c r="B371" s="2">
        <v>123</v>
      </c>
      <c r="C371" s="3">
        <f t="shared" si="25"/>
        <v>1</v>
      </c>
      <c r="D371" s="3">
        <f t="shared" si="26"/>
        <v>1</v>
      </c>
      <c r="E371" s="3" t="str">
        <f t="shared" si="27"/>
        <v>same</v>
      </c>
      <c r="F371" s="3" t="str">
        <f t="shared" si="28"/>
        <v>no</v>
      </c>
      <c r="G371" s="3" t="str">
        <f t="shared" si="29"/>
        <v>ok</v>
      </c>
    </row>
    <row r="372" spans="1:7" x14ac:dyDescent="0.25">
      <c r="A372" s="2">
        <v>370</v>
      </c>
      <c r="B372" s="2">
        <v>218</v>
      </c>
      <c r="C372" s="3">
        <f t="shared" si="25"/>
        <v>0</v>
      </c>
      <c r="D372" s="3">
        <f t="shared" si="26"/>
        <v>0</v>
      </c>
      <c r="E372" s="3" t="str">
        <f t="shared" si="27"/>
        <v>same</v>
      </c>
      <c r="F372" s="3" t="str">
        <f t="shared" si="28"/>
        <v>no</v>
      </c>
      <c r="G372" s="3" t="str">
        <f t="shared" si="29"/>
        <v>ok</v>
      </c>
    </row>
    <row r="373" spans="1:7" x14ac:dyDescent="0.25">
      <c r="A373" s="2">
        <v>371</v>
      </c>
      <c r="B373" s="2">
        <v>55</v>
      </c>
      <c r="C373" s="3">
        <f t="shared" si="25"/>
        <v>1</v>
      </c>
      <c r="D373" s="3">
        <f t="shared" si="26"/>
        <v>1</v>
      </c>
      <c r="E373" s="3" t="str">
        <f t="shared" si="27"/>
        <v>same</v>
      </c>
      <c r="F373" s="3" t="str">
        <f t="shared" si="28"/>
        <v>no</v>
      </c>
      <c r="G373" s="3" t="str">
        <f t="shared" si="29"/>
        <v>ok</v>
      </c>
    </row>
    <row r="374" spans="1:7" x14ac:dyDescent="0.25">
      <c r="A374" s="2">
        <v>372</v>
      </c>
      <c r="B374" s="2">
        <v>240</v>
      </c>
      <c r="C374" s="3">
        <f t="shared" si="25"/>
        <v>0</v>
      </c>
      <c r="D374" s="3">
        <f t="shared" si="26"/>
        <v>0</v>
      </c>
      <c r="E374" s="3" t="str">
        <f t="shared" si="27"/>
        <v>same</v>
      </c>
      <c r="F374" s="3" t="str">
        <f t="shared" si="28"/>
        <v>no</v>
      </c>
      <c r="G374" s="3" t="str">
        <f t="shared" si="29"/>
        <v>ok</v>
      </c>
    </row>
    <row r="375" spans="1:7" x14ac:dyDescent="0.25">
      <c r="A375" s="2">
        <v>373</v>
      </c>
      <c r="B375" s="2">
        <v>-1</v>
      </c>
      <c r="C375" s="3">
        <f t="shared" si="25"/>
        <v>1</v>
      </c>
      <c r="D375" s="3">
        <f t="shared" si="26"/>
        <v>1</v>
      </c>
      <c r="E375" s="3" t="str">
        <f t="shared" si="27"/>
        <v>same</v>
      </c>
      <c r="F375" s="3" t="str">
        <f t="shared" si="28"/>
        <v>no</v>
      </c>
      <c r="G375" s="3" t="str">
        <f t="shared" si="29"/>
        <v>ok</v>
      </c>
    </row>
    <row r="376" spans="1:7" x14ac:dyDescent="0.25">
      <c r="A376" s="2">
        <v>374</v>
      </c>
      <c r="B376" s="2">
        <v>206</v>
      </c>
      <c r="C376" s="3">
        <f t="shared" si="25"/>
        <v>0</v>
      </c>
      <c r="D376" s="3">
        <f t="shared" si="26"/>
        <v>0</v>
      </c>
      <c r="E376" s="3" t="str">
        <f t="shared" si="27"/>
        <v>same</v>
      </c>
      <c r="F376" s="3" t="str">
        <f t="shared" si="28"/>
        <v>no</v>
      </c>
      <c r="G376" s="3" t="str">
        <f t="shared" si="29"/>
        <v>ok</v>
      </c>
    </row>
    <row r="377" spans="1:7" x14ac:dyDescent="0.25">
      <c r="A377" s="2">
        <v>375</v>
      </c>
      <c r="B377" s="2">
        <v>167</v>
      </c>
      <c r="C377" s="3">
        <f t="shared" si="25"/>
        <v>1</v>
      </c>
      <c r="D377" s="3">
        <f t="shared" si="26"/>
        <v>1</v>
      </c>
      <c r="E377" s="3" t="str">
        <f t="shared" si="27"/>
        <v>same</v>
      </c>
      <c r="F377" s="3" t="str">
        <f t="shared" si="28"/>
        <v>no</v>
      </c>
      <c r="G377" s="3" t="str">
        <f t="shared" si="29"/>
        <v>ok</v>
      </c>
    </row>
    <row r="378" spans="1:7" x14ac:dyDescent="0.25">
      <c r="A378" s="2">
        <v>376</v>
      </c>
      <c r="B378" s="2">
        <v>184</v>
      </c>
      <c r="C378" s="3">
        <f t="shared" si="25"/>
        <v>0</v>
      </c>
      <c r="D378" s="3">
        <f t="shared" si="26"/>
        <v>0</v>
      </c>
      <c r="E378" s="3" t="str">
        <f t="shared" si="27"/>
        <v>same</v>
      </c>
      <c r="F378" s="3" t="str">
        <f t="shared" si="28"/>
        <v>no</v>
      </c>
      <c r="G378" s="3" t="str">
        <f t="shared" si="29"/>
        <v>ok</v>
      </c>
    </row>
    <row r="379" spans="1:7" x14ac:dyDescent="0.25">
      <c r="A379" s="2">
        <v>377</v>
      </c>
      <c r="B379" s="2">
        <v>37</v>
      </c>
      <c r="C379" s="3">
        <f t="shared" si="25"/>
        <v>1</v>
      </c>
      <c r="D379" s="3">
        <f t="shared" si="26"/>
        <v>1</v>
      </c>
      <c r="E379" s="3" t="str">
        <f t="shared" si="27"/>
        <v>same</v>
      </c>
      <c r="F379" s="3" t="str">
        <f t="shared" si="28"/>
        <v>no</v>
      </c>
      <c r="G379" s="3" t="str">
        <f t="shared" si="29"/>
        <v>ok</v>
      </c>
    </row>
    <row r="380" spans="1:7" x14ac:dyDescent="0.25">
      <c r="A380" s="2">
        <v>378</v>
      </c>
      <c r="B380" s="2">
        <v>254</v>
      </c>
      <c r="C380" s="3">
        <f t="shared" si="25"/>
        <v>0</v>
      </c>
      <c r="D380" s="3">
        <f t="shared" si="26"/>
        <v>0</v>
      </c>
      <c r="E380" s="3" t="str">
        <f t="shared" si="27"/>
        <v>same</v>
      </c>
      <c r="F380" s="3" t="str">
        <f t="shared" si="28"/>
        <v>no</v>
      </c>
      <c r="G380" s="3" t="str">
        <f t="shared" si="29"/>
        <v>ok</v>
      </c>
    </row>
    <row r="381" spans="1:7" x14ac:dyDescent="0.25">
      <c r="A381" s="2">
        <v>379</v>
      </c>
      <c r="B381" s="2">
        <v>-1</v>
      </c>
      <c r="C381" s="3">
        <f t="shared" si="25"/>
        <v>1</v>
      </c>
      <c r="D381" s="3">
        <f t="shared" si="26"/>
        <v>1</v>
      </c>
      <c r="E381" s="3" t="str">
        <f t="shared" si="27"/>
        <v>same</v>
      </c>
      <c r="F381" s="3" t="str">
        <f t="shared" si="28"/>
        <v>no</v>
      </c>
      <c r="G381" s="3" t="str">
        <f t="shared" si="29"/>
        <v>ok</v>
      </c>
    </row>
    <row r="382" spans="1:7" x14ac:dyDescent="0.25">
      <c r="A382" s="2">
        <v>380</v>
      </c>
      <c r="B382" s="2">
        <v>224</v>
      </c>
      <c r="C382" s="3">
        <f t="shared" si="25"/>
        <v>0</v>
      </c>
      <c r="D382" s="3">
        <f t="shared" si="26"/>
        <v>0</v>
      </c>
      <c r="E382" s="3" t="str">
        <f t="shared" si="27"/>
        <v>same</v>
      </c>
      <c r="F382" s="3" t="str">
        <f t="shared" si="28"/>
        <v>no</v>
      </c>
      <c r="G382" s="3" t="str">
        <f t="shared" si="29"/>
        <v>ok</v>
      </c>
    </row>
    <row r="383" spans="1:7" x14ac:dyDescent="0.25">
      <c r="A383" s="2">
        <v>381</v>
      </c>
      <c r="B383" s="2">
        <v>125</v>
      </c>
      <c r="C383" s="3">
        <f t="shared" si="25"/>
        <v>1</v>
      </c>
      <c r="D383" s="3">
        <f t="shared" si="26"/>
        <v>1</v>
      </c>
      <c r="E383" s="3" t="str">
        <f t="shared" si="27"/>
        <v>same</v>
      </c>
      <c r="F383" s="3" t="str">
        <f t="shared" si="28"/>
        <v>no</v>
      </c>
      <c r="G383" s="3" t="str">
        <f t="shared" si="29"/>
        <v>ok</v>
      </c>
    </row>
    <row r="384" spans="1:7" x14ac:dyDescent="0.25">
      <c r="A384" s="2">
        <v>382</v>
      </c>
      <c r="B384" s="2">
        <v>188</v>
      </c>
      <c r="C384" s="3">
        <f t="shared" si="25"/>
        <v>0</v>
      </c>
      <c r="D384" s="3">
        <f t="shared" si="26"/>
        <v>0</v>
      </c>
      <c r="E384" s="3" t="str">
        <f t="shared" si="27"/>
        <v>same</v>
      </c>
      <c r="F384" s="3" t="str">
        <f t="shared" si="28"/>
        <v>no</v>
      </c>
      <c r="G384" s="3" t="str">
        <f t="shared" si="29"/>
        <v>ok</v>
      </c>
    </row>
    <row r="385" spans="1:7" x14ac:dyDescent="0.25">
      <c r="A385" s="2">
        <v>383</v>
      </c>
      <c r="B385" s="2">
        <v>-1</v>
      </c>
      <c r="C385" s="3">
        <f t="shared" si="25"/>
        <v>1</v>
      </c>
      <c r="D385" s="3">
        <f t="shared" si="26"/>
        <v>1</v>
      </c>
      <c r="E385" s="3" t="str">
        <f t="shared" si="27"/>
        <v>same</v>
      </c>
      <c r="F385" s="3" t="str">
        <f t="shared" si="28"/>
        <v>no</v>
      </c>
      <c r="G385" s="3" t="str">
        <f t="shared" si="29"/>
        <v>ok</v>
      </c>
    </row>
    <row r="386" spans="1:7" x14ac:dyDescent="0.25">
      <c r="A386" s="2">
        <v>384</v>
      </c>
      <c r="B386" s="2">
        <v>240</v>
      </c>
      <c r="C386" s="3">
        <f t="shared" si="25"/>
        <v>0</v>
      </c>
      <c r="D386" s="3">
        <f t="shared" si="26"/>
        <v>0</v>
      </c>
      <c r="E386" s="3" t="str">
        <f t="shared" si="27"/>
        <v>same</v>
      </c>
      <c r="F386" s="3" t="str">
        <f t="shared" si="28"/>
        <v>no</v>
      </c>
      <c r="G386" s="3" t="str">
        <f t="shared" si="29"/>
        <v>ok</v>
      </c>
    </row>
    <row r="387" spans="1:7" x14ac:dyDescent="0.25">
      <c r="A387" s="2">
        <v>385</v>
      </c>
      <c r="B387" s="2">
        <v>137</v>
      </c>
      <c r="C387" s="3">
        <f t="shared" si="25"/>
        <v>1</v>
      </c>
      <c r="D387" s="3">
        <f t="shared" si="26"/>
        <v>1</v>
      </c>
      <c r="E387" s="3" t="str">
        <f t="shared" si="27"/>
        <v>same</v>
      </c>
      <c r="F387" s="3" t="str">
        <f t="shared" si="28"/>
        <v>no</v>
      </c>
      <c r="G387" s="3" t="str">
        <f t="shared" si="29"/>
        <v>ok</v>
      </c>
    </row>
    <row r="388" spans="1:7" x14ac:dyDescent="0.25">
      <c r="A388" s="2">
        <v>386</v>
      </c>
      <c r="B388" s="2">
        <v>190</v>
      </c>
      <c r="C388" s="3">
        <f t="shared" si="25"/>
        <v>0</v>
      </c>
      <c r="D388" s="3">
        <f t="shared" si="26"/>
        <v>0</v>
      </c>
      <c r="E388" s="3" t="str">
        <f t="shared" si="27"/>
        <v>same</v>
      </c>
      <c r="F388" s="3" t="str">
        <f t="shared" si="28"/>
        <v>no</v>
      </c>
      <c r="G388" s="3" t="str">
        <f t="shared" si="29"/>
        <v>ok</v>
      </c>
    </row>
    <row r="389" spans="1:7" x14ac:dyDescent="0.25">
      <c r="A389" s="2">
        <v>387</v>
      </c>
      <c r="B389" s="2">
        <v>129</v>
      </c>
      <c r="C389" s="3">
        <f t="shared" ref="C389:C452" si="30">MOD(B389,2)</f>
        <v>1</v>
      </c>
      <c r="D389" s="3">
        <f t="shared" ref="D389:D452" si="31">MOD(A389,2)</f>
        <v>1</v>
      </c>
      <c r="E389" s="3" t="str">
        <f t="shared" ref="E389:E452" si="32">IF(C389=D389,"same","diff")</f>
        <v>same</v>
      </c>
      <c r="F389" s="3" t="str">
        <f t="shared" ref="F389:F452" si="33">IF(SQRT(A389)=INT(SQRT(A389)),"YES","no")</f>
        <v>no</v>
      </c>
      <c r="G389" s="3" t="str">
        <f t="shared" ref="G389:G452" si="34">IF(AND(E389="same",F389="no"),"ok",IF(AND(E389="diff",F389="YES"),"ok","FAIL"))</f>
        <v>ok</v>
      </c>
    </row>
    <row r="390" spans="1:7" x14ac:dyDescent="0.25">
      <c r="A390" s="2">
        <v>388</v>
      </c>
      <c r="B390" s="2">
        <v>190</v>
      </c>
      <c r="C390" s="3">
        <f t="shared" si="30"/>
        <v>0</v>
      </c>
      <c r="D390" s="3">
        <f t="shared" si="31"/>
        <v>0</v>
      </c>
      <c r="E390" s="3" t="str">
        <f t="shared" si="32"/>
        <v>same</v>
      </c>
      <c r="F390" s="3" t="str">
        <f t="shared" si="33"/>
        <v>no</v>
      </c>
      <c r="G390" s="3" t="str">
        <f t="shared" si="34"/>
        <v>ok</v>
      </c>
    </row>
    <row r="391" spans="1:7" x14ac:dyDescent="0.25">
      <c r="A391" s="2">
        <v>389</v>
      </c>
      <c r="B391" s="2">
        <v>-1</v>
      </c>
      <c r="C391" s="3">
        <f t="shared" si="30"/>
        <v>1</v>
      </c>
      <c r="D391" s="3">
        <f t="shared" si="31"/>
        <v>1</v>
      </c>
      <c r="E391" s="3" t="str">
        <f t="shared" si="32"/>
        <v>same</v>
      </c>
      <c r="F391" s="3" t="str">
        <f t="shared" si="33"/>
        <v>no</v>
      </c>
      <c r="G391" s="3" t="str">
        <f t="shared" si="34"/>
        <v>ok</v>
      </c>
    </row>
    <row r="392" spans="1:7" x14ac:dyDescent="0.25">
      <c r="A392" s="2">
        <v>390</v>
      </c>
      <c r="B392" s="2">
        <v>278</v>
      </c>
      <c r="C392" s="3">
        <f t="shared" si="30"/>
        <v>0</v>
      </c>
      <c r="D392" s="3">
        <f t="shared" si="31"/>
        <v>0</v>
      </c>
      <c r="E392" s="3" t="str">
        <f t="shared" si="32"/>
        <v>same</v>
      </c>
      <c r="F392" s="3" t="str">
        <f t="shared" si="33"/>
        <v>no</v>
      </c>
      <c r="G392" s="3" t="str">
        <f t="shared" si="34"/>
        <v>ok</v>
      </c>
    </row>
    <row r="393" spans="1:7" x14ac:dyDescent="0.25">
      <c r="A393" s="2">
        <v>391</v>
      </c>
      <c r="B393" s="2">
        <v>35</v>
      </c>
      <c r="C393" s="3">
        <f t="shared" si="30"/>
        <v>1</v>
      </c>
      <c r="D393" s="3">
        <f t="shared" si="31"/>
        <v>1</v>
      </c>
      <c r="E393" s="3" t="str">
        <f t="shared" si="32"/>
        <v>same</v>
      </c>
      <c r="F393" s="3" t="str">
        <f t="shared" si="33"/>
        <v>no</v>
      </c>
      <c r="G393" s="3" t="str">
        <f t="shared" si="34"/>
        <v>ok</v>
      </c>
    </row>
    <row r="394" spans="1:7" x14ac:dyDescent="0.25">
      <c r="A394" s="2">
        <v>392</v>
      </c>
      <c r="B394" s="2">
        <v>212</v>
      </c>
      <c r="C394" s="3">
        <f t="shared" si="30"/>
        <v>0</v>
      </c>
      <c r="D394" s="3">
        <f t="shared" si="31"/>
        <v>0</v>
      </c>
      <c r="E394" s="3" t="str">
        <f t="shared" si="32"/>
        <v>same</v>
      </c>
      <c r="F394" s="3" t="str">
        <f t="shared" si="33"/>
        <v>no</v>
      </c>
      <c r="G394" s="3" t="str">
        <f t="shared" si="34"/>
        <v>ok</v>
      </c>
    </row>
    <row r="395" spans="1:7" x14ac:dyDescent="0.25">
      <c r="A395" s="2">
        <v>393</v>
      </c>
      <c r="B395" s="2">
        <v>129</v>
      </c>
      <c r="C395" s="3">
        <f t="shared" si="30"/>
        <v>1</v>
      </c>
      <c r="D395" s="3">
        <f t="shared" si="31"/>
        <v>1</v>
      </c>
      <c r="E395" s="3" t="str">
        <f t="shared" si="32"/>
        <v>same</v>
      </c>
      <c r="F395" s="3" t="str">
        <f t="shared" si="33"/>
        <v>no</v>
      </c>
      <c r="G395" s="3" t="str">
        <f t="shared" si="34"/>
        <v>ok</v>
      </c>
    </row>
    <row r="396" spans="1:7" x14ac:dyDescent="0.25">
      <c r="A396" s="2">
        <v>394</v>
      </c>
      <c r="B396" s="2">
        <v>194</v>
      </c>
      <c r="C396" s="3">
        <f t="shared" si="30"/>
        <v>0</v>
      </c>
      <c r="D396" s="3">
        <f t="shared" si="31"/>
        <v>0</v>
      </c>
      <c r="E396" s="3" t="str">
        <f t="shared" si="32"/>
        <v>same</v>
      </c>
      <c r="F396" s="3" t="str">
        <f t="shared" si="33"/>
        <v>no</v>
      </c>
      <c r="G396" s="3" t="str">
        <f t="shared" si="34"/>
        <v>ok</v>
      </c>
    </row>
    <row r="397" spans="1:7" x14ac:dyDescent="0.25">
      <c r="A397" s="2">
        <v>395</v>
      </c>
      <c r="B397" s="2">
        <v>79</v>
      </c>
      <c r="C397" s="3">
        <f t="shared" si="30"/>
        <v>1</v>
      </c>
      <c r="D397" s="3">
        <f t="shared" si="31"/>
        <v>1</v>
      </c>
      <c r="E397" s="3" t="str">
        <f t="shared" si="32"/>
        <v>same</v>
      </c>
      <c r="F397" s="3" t="str">
        <f t="shared" si="33"/>
        <v>no</v>
      </c>
      <c r="G397" s="3" t="str">
        <f t="shared" si="34"/>
        <v>ok</v>
      </c>
    </row>
    <row r="398" spans="1:7" x14ac:dyDescent="0.25">
      <c r="A398" s="2">
        <v>396</v>
      </c>
      <c r="B398" s="2">
        <v>258</v>
      </c>
      <c r="C398" s="3">
        <f t="shared" si="30"/>
        <v>0</v>
      </c>
      <c r="D398" s="3">
        <f t="shared" si="31"/>
        <v>0</v>
      </c>
      <c r="E398" s="3" t="str">
        <f t="shared" si="32"/>
        <v>same</v>
      </c>
      <c r="F398" s="3" t="str">
        <f t="shared" si="33"/>
        <v>no</v>
      </c>
      <c r="G398" s="3" t="str">
        <f t="shared" si="34"/>
        <v>ok</v>
      </c>
    </row>
    <row r="399" spans="1:7" x14ac:dyDescent="0.25">
      <c r="A399" s="2">
        <v>397</v>
      </c>
      <c r="B399" s="2">
        <v>-1</v>
      </c>
      <c r="C399" s="3">
        <f t="shared" si="30"/>
        <v>1</v>
      </c>
      <c r="D399" s="3">
        <f t="shared" si="31"/>
        <v>1</v>
      </c>
      <c r="E399" s="3" t="str">
        <f t="shared" si="32"/>
        <v>same</v>
      </c>
      <c r="F399" s="3" t="str">
        <f t="shared" si="33"/>
        <v>no</v>
      </c>
      <c r="G399" s="3" t="str">
        <f t="shared" si="34"/>
        <v>ok</v>
      </c>
    </row>
    <row r="400" spans="1:7" x14ac:dyDescent="0.25">
      <c r="A400" s="2">
        <v>398</v>
      </c>
      <c r="B400" s="2">
        <v>196</v>
      </c>
      <c r="C400" s="3">
        <f t="shared" si="30"/>
        <v>0</v>
      </c>
      <c r="D400" s="3">
        <f t="shared" si="31"/>
        <v>0</v>
      </c>
      <c r="E400" s="3" t="str">
        <f t="shared" si="32"/>
        <v>same</v>
      </c>
      <c r="F400" s="3" t="str">
        <f t="shared" si="33"/>
        <v>no</v>
      </c>
      <c r="G400" s="3" t="str">
        <f t="shared" si="34"/>
        <v>ok</v>
      </c>
    </row>
    <row r="401" spans="1:7" x14ac:dyDescent="0.25">
      <c r="A401" s="2">
        <v>399</v>
      </c>
      <c r="B401" s="2">
        <v>175</v>
      </c>
      <c r="C401" s="3">
        <f t="shared" si="30"/>
        <v>1</v>
      </c>
      <c r="D401" s="3">
        <f t="shared" si="31"/>
        <v>1</v>
      </c>
      <c r="E401" s="3" t="str">
        <f t="shared" si="32"/>
        <v>same</v>
      </c>
      <c r="F401" s="3" t="str">
        <f t="shared" si="33"/>
        <v>no</v>
      </c>
      <c r="G401" s="3" t="str">
        <f t="shared" si="34"/>
        <v>ok</v>
      </c>
    </row>
    <row r="402" spans="1:7" x14ac:dyDescent="0.25">
      <c r="A402" s="2">
        <v>400</v>
      </c>
      <c r="B402" s="2">
        <v>225</v>
      </c>
      <c r="C402" s="3">
        <f t="shared" si="30"/>
        <v>1</v>
      </c>
      <c r="D402" s="3">
        <f t="shared" si="31"/>
        <v>0</v>
      </c>
      <c r="E402" s="3" t="str">
        <f t="shared" si="32"/>
        <v>diff</v>
      </c>
      <c r="F402" s="3" t="str">
        <f t="shared" si="33"/>
        <v>YES</v>
      </c>
      <c r="G402" s="3" t="str">
        <f t="shared" si="34"/>
        <v>ok</v>
      </c>
    </row>
    <row r="403" spans="1:7" x14ac:dyDescent="0.25">
      <c r="A403" s="2">
        <v>401</v>
      </c>
      <c r="B403" s="2">
        <v>-1</v>
      </c>
      <c r="C403" s="3">
        <f t="shared" si="30"/>
        <v>1</v>
      </c>
      <c r="D403" s="3">
        <f t="shared" si="31"/>
        <v>1</v>
      </c>
      <c r="E403" s="3" t="str">
        <f t="shared" si="32"/>
        <v>same</v>
      </c>
      <c r="F403" s="3" t="str">
        <f t="shared" si="33"/>
        <v>no</v>
      </c>
      <c r="G403" s="3" t="str">
        <f t="shared" si="34"/>
        <v>ok</v>
      </c>
    </row>
    <row r="404" spans="1:7" x14ac:dyDescent="0.25">
      <c r="A404" s="2">
        <v>402</v>
      </c>
      <c r="B404" s="2">
        <v>262</v>
      </c>
      <c r="C404" s="3">
        <f t="shared" si="30"/>
        <v>0</v>
      </c>
      <c r="D404" s="3">
        <f t="shared" si="31"/>
        <v>0</v>
      </c>
      <c r="E404" s="3" t="str">
        <f t="shared" si="32"/>
        <v>same</v>
      </c>
      <c r="F404" s="3" t="str">
        <f t="shared" si="33"/>
        <v>no</v>
      </c>
      <c r="G404" s="3" t="str">
        <f t="shared" si="34"/>
        <v>ok</v>
      </c>
    </row>
    <row r="405" spans="1:7" x14ac:dyDescent="0.25">
      <c r="A405" s="2">
        <v>403</v>
      </c>
      <c r="B405" s="2">
        <v>39</v>
      </c>
      <c r="C405" s="3">
        <f t="shared" si="30"/>
        <v>1</v>
      </c>
      <c r="D405" s="3">
        <f t="shared" si="31"/>
        <v>1</v>
      </c>
      <c r="E405" s="3" t="str">
        <f t="shared" si="32"/>
        <v>same</v>
      </c>
      <c r="F405" s="3" t="str">
        <f t="shared" si="33"/>
        <v>no</v>
      </c>
      <c r="G405" s="3" t="str">
        <f t="shared" si="34"/>
        <v>ok</v>
      </c>
    </row>
    <row r="406" spans="1:7" x14ac:dyDescent="0.25">
      <c r="A406" s="2">
        <v>404</v>
      </c>
      <c r="B406" s="2">
        <v>198</v>
      </c>
      <c r="C406" s="3">
        <f t="shared" si="30"/>
        <v>0</v>
      </c>
      <c r="D406" s="3">
        <f t="shared" si="31"/>
        <v>0</v>
      </c>
      <c r="E406" s="3" t="str">
        <f t="shared" si="32"/>
        <v>same</v>
      </c>
      <c r="F406" s="3" t="str">
        <f t="shared" si="33"/>
        <v>no</v>
      </c>
      <c r="G406" s="3" t="str">
        <f t="shared" si="34"/>
        <v>ok</v>
      </c>
    </row>
    <row r="407" spans="1:7" x14ac:dyDescent="0.25">
      <c r="A407" s="2">
        <v>405</v>
      </c>
      <c r="B407" s="2">
        <v>179</v>
      </c>
      <c r="C407" s="3">
        <f t="shared" si="30"/>
        <v>1</v>
      </c>
      <c r="D407" s="3">
        <f t="shared" si="31"/>
        <v>1</v>
      </c>
      <c r="E407" s="3" t="str">
        <f t="shared" si="32"/>
        <v>same</v>
      </c>
      <c r="F407" s="3" t="str">
        <f t="shared" si="33"/>
        <v>no</v>
      </c>
      <c r="G407" s="3" t="str">
        <f t="shared" si="34"/>
        <v>ok</v>
      </c>
    </row>
    <row r="408" spans="1:7" x14ac:dyDescent="0.25">
      <c r="A408" s="2">
        <v>406</v>
      </c>
      <c r="B408" s="2">
        <v>230</v>
      </c>
      <c r="C408" s="3">
        <f t="shared" si="30"/>
        <v>0</v>
      </c>
      <c r="D408" s="3">
        <f t="shared" si="31"/>
        <v>0</v>
      </c>
      <c r="E408" s="3" t="str">
        <f t="shared" si="32"/>
        <v>same</v>
      </c>
      <c r="F408" s="3" t="str">
        <f t="shared" si="33"/>
        <v>no</v>
      </c>
      <c r="G408" s="3" t="str">
        <f t="shared" si="34"/>
        <v>ok</v>
      </c>
    </row>
    <row r="409" spans="1:7" x14ac:dyDescent="0.25">
      <c r="A409" s="2">
        <v>407</v>
      </c>
      <c r="B409" s="2">
        <v>43</v>
      </c>
      <c r="C409" s="3">
        <f t="shared" si="30"/>
        <v>1</v>
      </c>
      <c r="D409" s="3">
        <f t="shared" si="31"/>
        <v>1</v>
      </c>
      <c r="E409" s="3" t="str">
        <f t="shared" si="32"/>
        <v>same</v>
      </c>
      <c r="F409" s="3" t="str">
        <f t="shared" si="33"/>
        <v>no</v>
      </c>
      <c r="G409" s="3" t="str">
        <f t="shared" si="34"/>
        <v>ok</v>
      </c>
    </row>
    <row r="410" spans="1:7" x14ac:dyDescent="0.25">
      <c r="A410" s="2">
        <v>408</v>
      </c>
      <c r="B410" s="2">
        <v>264</v>
      </c>
      <c r="C410" s="3">
        <f t="shared" si="30"/>
        <v>0</v>
      </c>
      <c r="D410" s="3">
        <f t="shared" si="31"/>
        <v>0</v>
      </c>
      <c r="E410" s="3" t="str">
        <f t="shared" si="32"/>
        <v>same</v>
      </c>
      <c r="F410" s="3" t="str">
        <f t="shared" si="33"/>
        <v>no</v>
      </c>
      <c r="G410" s="3" t="str">
        <f t="shared" si="34"/>
        <v>ok</v>
      </c>
    </row>
    <row r="411" spans="1:7" x14ac:dyDescent="0.25">
      <c r="A411" s="2">
        <v>409</v>
      </c>
      <c r="B411" s="2">
        <v>-1</v>
      </c>
      <c r="C411" s="3">
        <f t="shared" si="30"/>
        <v>1</v>
      </c>
      <c r="D411" s="3">
        <f t="shared" si="31"/>
        <v>1</v>
      </c>
      <c r="E411" s="3" t="str">
        <f t="shared" si="32"/>
        <v>same</v>
      </c>
      <c r="F411" s="3" t="str">
        <f t="shared" si="33"/>
        <v>no</v>
      </c>
      <c r="G411" s="3" t="str">
        <f t="shared" si="34"/>
        <v>ok</v>
      </c>
    </row>
    <row r="412" spans="1:7" x14ac:dyDescent="0.25">
      <c r="A412" s="2">
        <v>410</v>
      </c>
      <c r="B412" s="2">
        <v>242</v>
      </c>
      <c r="C412" s="3">
        <f t="shared" si="30"/>
        <v>0</v>
      </c>
      <c r="D412" s="3">
        <f t="shared" si="31"/>
        <v>0</v>
      </c>
      <c r="E412" s="3" t="str">
        <f t="shared" si="32"/>
        <v>same</v>
      </c>
      <c r="F412" s="3" t="str">
        <f t="shared" si="33"/>
        <v>no</v>
      </c>
      <c r="G412" s="3" t="str">
        <f t="shared" si="34"/>
        <v>ok</v>
      </c>
    </row>
    <row r="413" spans="1:7" x14ac:dyDescent="0.25">
      <c r="A413" s="2">
        <v>411</v>
      </c>
      <c r="B413" s="2">
        <v>135</v>
      </c>
      <c r="C413" s="3">
        <f t="shared" si="30"/>
        <v>1</v>
      </c>
      <c r="D413" s="3">
        <f t="shared" si="31"/>
        <v>1</v>
      </c>
      <c r="E413" s="3" t="str">
        <f t="shared" si="32"/>
        <v>same</v>
      </c>
      <c r="F413" s="3" t="str">
        <f t="shared" si="33"/>
        <v>no</v>
      </c>
      <c r="G413" s="3" t="str">
        <f t="shared" si="34"/>
        <v>ok</v>
      </c>
    </row>
    <row r="414" spans="1:7" x14ac:dyDescent="0.25">
      <c r="A414" s="2">
        <v>412</v>
      </c>
      <c r="B414" s="2">
        <v>202</v>
      </c>
      <c r="C414" s="3">
        <f t="shared" si="30"/>
        <v>0</v>
      </c>
      <c r="D414" s="3">
        <f t="shared" si="31"/>
        <v>0</v>
      </c>
      <c r="E414" s="3" t="str">
        <f t="shared" si="32"/>
        <v>same</v>
      </c>
      <c r="F414" s="3" t="str">
        <f t="shared" si="33"/>
        <v>no</v>
      </c>
      <c r="G414" s="3" t="str">
        <f t="shared" si="34"/>
        <v>ok</v>
      </c>
    </row>
    <row r="415" spans="1:7" x14ac:dyDescent="0.25">
      <c r="A415" s="2">
        <v>413</v>
      </c>
      <c r="B415" s="2">
        <v>61</v>
      </c>
      <c r="C415" s="3">
        <f t="shared" si="30"/>
        <v>1</v>
      </c>
      <c r="D415" s="3">
        <f t="shared" si="31"/>
        <v>1</v>
      </c>
      <c r="E415" s="3" t="str">
        <f t="shared" si="32"/>
        <v>same</v>
      </c>
      <c r="F415" s="3" t="str">
        <f t="shared" si="33"/>
        <v>no</v>
      </c>
      <c r="G415" s="3" t="str">
        <f t="shared" si="34"/>
        <v>ok</v>
      </c>
    </row>
    <row r="416" spans="1:7" x14ac:dyDescent="0.25">
      <c r="A416" s="2">
        <v>414</v>
      </c>
      <c r="B416" s="2">
        <v>270</v>
      </c>
      <c r="C416" s="3">
        <f t="shared" si="30"/>
        <v>0</v>
      </c>
      <c r="D416" s="3">
        <f t="shared" si="31"/>
        <v>0</v>
      </c>
      <c r="E416" s="3" t="str">
        <f t="shared" si="32"/>
        <v>same</v>
      </c>
      <c r="F416" s="3" t="str">
        <f t="shared" si="33"/>
        <v>no</v>
      </c>
      <c r="G416" s="3" t="str">
        <f t="shared" si="34"/>
        <v>ok</v>
      </c>
    </row>
    <row r="417" spans="1:7" x14ac:dyDescent="0.25">
      <c r="A417" s="2">
        <v>415</v>
      </c>
      <c r="B417" s="2">
        <v>83</v>
      </c>
      <c r="C417" s="3">
        <f t="shared" si="30"/>
        <v>1</v>
      </c>
      <c r="D417" s="3">
        <f t="shared" si="31"/>
        <v>1</v>
      </c>
      <c r="E417" s="3" t="str">
        <f t="shared" si="32"/>
        <v>same</v>
      </c>
      <c r="F417" s="3" t="str">
        <f t="shared" si="33"/>
        <v>no</v>
      </c>
      <c r="G417" s="3" t="str">
        <f t="shared" si="34"/>
        <v>ok</v>
      </c>
    </row>
    <row r="418" spans="1:7" x14ac:dyDescent="0.25">
      <c r="A418" s="2">
        <v>416</v>
      </c>
      <c r="B418" s="2">
        <v>212</v>
      </c>
      <c r="C418" s="3">
        <f t="shared" si="30"/>
        <v>0</v>
      </c>
      <c r="D418" s="3">
        <f t="shared" si="31"/>
        <v>0</v>
      </c>
      <c r="E418" s="3" t="str">
        <f t="shared" si="32"/>
        <v>same</v>
      </c>
      <c r="F418" s="3" t="str">
        <f t="shared" si="33"/>
        <v>no</v>
      </c>
      <c r="G418" s="3" t="str">
        <f t="shared" si="34"/>
        <v>ok</v>
      </c>
    </row>
    <row r="419" spans="1:7" x14ac:dyDescent="0.25">
      <c r="A419" s="2">
        <v>417</v>
      </c>
      <c r="B419" s="2">
        <v>137</v>
      </c>
      <c r="C419" s="3">
        <f t="shared" si="30"/>
        <v>1</v>
      </c>
      <c r="D419" s="3">
        <f t="shared" si="31"/>
        <v>1</v>
      </c>
      <c r="E419" s="3" t="str">
        <f t="shared" si="32"/>
        <v>same</v>
      </c>
      <c r="F419" s="3" t="str">
        <f t="shared" si="33"/>
        <v>no</v>
      </c>
      <c r="G419" s="3" t="str">
        <f t="shared" si="34"/>
        <v>ok</v>
      </c>
    </row>
    <row r="420" spans="1:7" x14ac:dyDescent="0.25">
      <c r="A420" s="2">
        <v>418</v>
      </c>
      <c r="B420" s="2">
        <v>230</v>
      </c>
      <c r="C420" s="3">
        <f t="shared" si="30"/>
        <v>0</v>
      </c>
      <c r="D420" s="3">
        <f t="shared" si="31"/>
        <v>0</v>
      </c>
      <c r="E420" s="3" t="str">
        <f t="shared" si="32"/>
        <v>same</v>
      </c>
      <c r="F420" s="3" t="str">
        <f t="shared" si="33"/>
        <v>no</v>
      </c>
      <c r="G420" s="3" t="str">
        <f t="shared" si="34"/>
        <v>ok</v>
      </c>
    </row>
    <row r="421" spans="1:7" x14ac:dyDescent="0.25">
      <c r="A421" s="2">
        <v>419</v>
      </c>
      <c r="B421" s="2">
        <v>-1</v>
      </c>
      <c r="C421" s="3">
        <f t="shared" si="30"/>
        <v>1</v>
      </c>
      <c r="D421" s="3">
        <f t="shared" si="31"/>
        <v>1</v>
      </c>
      <c r="E421" s="3" t="str">
        <f t="shared" si="32"/>
        <v>same</v>
      </c>
      <c r="F421" s="3" t="str">
        <f t="shared" si="33"/>
        <v>no</v>
      </c>
      <c r="G421" s="3" t="str">
        <f t="shared" si="34"/>
        <v>ok</v>
      </c>
    </row>
    <row r="422" spans="1:7" x14ac:dyDescent="0.25">
      <c r="A422" s="2">
        <v>420</v>
      </c>
      <c r="B422" s="2">
        <v>300</v>
      </c>
      <c r="C422" s="3">
        <f t="shared" si="30"/>
        <v>0</v>
      </c>
      <c r="D422" s="3">
        <f t="shared" si="31"/>
        <v>0</v>
      </c>
      <c r="E422" s="3" t="str">
        <f t="shared" si="32"/>
        <v>same</v>
      </c>
      <c r="F422" s="3" t="str">
        <f t="shared" si="33"/>
        <v>no</v>
      </c>
      <c r="G422" s="3" t="str">
        <f t="shared" si="34"/>
        <v>ok</v>
      </c>
    </row>
    <row r="423" spans="1:7" x14ac:dyDescent="0.25">
      <c r="A423" s="2">
        <v>421</v>
      </c>
      <c r="B423" s="2">
        <v>-1</v>
      </c>
      <c r="C423" s="3">
        <f t="shared" si="30"/>
        <v>1</v>
      </c>
      <c r="D423" s="3">
        <f t="shared" si="31"/>
        <v>1</v>
      </c>
      <c r="E423" s="3" t="str">
        <f t="shared" si="32"/>
        <v>same</v>
      </c>
      <c r="F423" s="3" t="str">
        <f t="shared" si="33"/>
        <v>no</v>
      </c>
      <c r="G423" s="3" t="str">
        <f t="shared" si="34"/>
        <v>ok</v>
      </c>
    </row>
    <row r="424" spans="1:7" x14ac:dyDescent="0.25">
      <c r="A424" s="2">
        <v>422</v>
      </c>
      <c r="B424" s="2">
        <v>208</v>
      </c>
      <c r="C424" s="3">
        <f t="shared" si="30"/>
        <v>0</v>
      </c>
      <c r="D424" s="3">
        <f t="shared" si="31"/>
        <v>0</v>
      </c>
      <c r="E424" s="3" t="str">
        <f t="shared" si="32"/>
        <v>same</v>
      </c>
      <c r="F424" s="3" t="str">
        <f t="shared" si="33"/>
        <v>no</v>
      </c>
      <c r="G424" s="3" t="str">
        <f t="shared" si="34"/>
        <v>ok</v>
      </c>
    </row>
    <row r="425" spans="1:7" x14ac:dyDescent="0.25">
      <c r="A425" s="2">
        <v>423</v>
      </c>
      <c r="B425" s="2">
        <v>141</v>
      </c>
      <c r="C425" s="3">
        <f t="shared" si="30"/>
        <v>1</v>
      </c>
      <c r="D425" s="3">
        <f t="shared" si="31"/>
        <v>1</v>
      </c>
      <c r="E425" s="3" t="str">
        <f t="shared" si="32"/>
        <v>same</v>
      </c>
      <c r="F425" s="3" t="str">
        <f t="shared" si="33"/>
        <v>no</v>
      </c>
      <c r="G425" s="3" t="str">
        <f t="shared" si="34"/>
        <v>ok</v>
      </c>
    </row>
    <row r="426" spans="1:7" x14ac:dyDescent="0.25">
      <c r="A426" s="2">
        <v>424</v>
      </c>
      <c r="B426" s="2">
        <v>208</v>
      </c>
      <c r="C426" s="3">
        <f t="shared" si="30"/>
        <v>0</v>
      </c>
      <c r="D426" s="3">
        <f t="shared" si="31"/>
        <v>0</v>
      </c>
      <c r="E426" s="3" t="str">
        <f t="shared" si="32"/>
        <v>same</v>
      </c>
      <c r="F426" s="3" t="str">
        <f t="shared" si="33"/>
        <v>no</v>
      </c>
      <c r="G426" s="3" t="str">
        <f t="shared" si="34"/>
        <v>ok</v>
      </c>
    </row>
    <row r="427" spans="1:7" x14ac:dyDescent="0.25">
      <c r="A427" s="2">
        <v>425</v>
      </c>
      <c r="B427" s="2">
        <v>99</v>
      </c>
      <c r="C427" s="3">
        <f t="shared" si="30"/>
        <v>1</v>
      </c>
      <c r="D427" s="3">
        <f t="shared" si="31"/>
        <v>1</v>
      </c>
      <c r="E427" s="3" t="str">
        <f t="shared" si="32"/>
        <v>same</v>
      </c>
      <c r="F427" s="3" t="str">
        <f t="shared" si="33"/>
        <v>no</v>
      </c>
      <c r="G427" s="3" t="str">
        <f t="shared" si="34"/>
        <v>ok</v>
      </c>
    </row>
    <row r="428" spans="1:7" x14ac:dyDescent="0.25">
      <c r="A428" s="2">
        <v>426</v>
      </c>
      <c r="B428" s="2">
        <v>278</v>
      </c>
      <c r="C428" s="3">
        <f t="shared" si="30"/>
        <v>0</v>
      </c>
      <c r="D428" s="3">
        <f t="shared" si="31"/>
        <v>0</v>
      </c>
      <c r="E428" s="3" t="str">
        <f t="shared" si="32"/>
        <v>same</v>
      </c>
      <c r="F428" s="3" t="str">
        <f t="shared" si="33"/>
        <v>no</v>
      </c>
      <c r="G428" s="3" t="str">
        <f t="shared" si="34"/>
        <v>ok</v>
      </c>
    </row>
    <row r="429" spans="1:7" x14ac:dyDescent="0.25">
      <c r="A429" s="2">
        <v>427</v>
      </c>
      <c r="B429" s="2">
        <v>63</v>
      </c>
      <c r="C429" s="3">
        <f t="shared" si="30"/>
        <v>1</v>
      </c>
      <c r="D429" s="3">
        <f t="shared" si="31"/>
        <v>1</v>
      </c>
      <c r="E429" s="3" t="str">
        <f t="shared" si="32"/>
        <v>same</v>
      </c>
      <c r="F429" s="3" t="str">
        <f t="shared" si="33"/>
        <v>no</v>
      </c>
      <c r="G429" s="3" t="str">
        <f t="shared" si="34"/>
        <v>ok</v>
      </c>
    </row>
    <row r="430" spans="1:7" x14ac:dyDescent="0.25">
      <c r="A430" s="2">
        <v>428</v>
      </c>
      <c r="B430" s="2">
        <v>210</v>
      </c>
      <c r="C430" s="3">
        <f t="shared" si="30"/>
        <v>0</v>
      </c>
      <c r="D430" s="3">
        <f t="shared" si="31"/>
        <v>0</v>
      </c>
      <c r="E430" s="3" t="str">
        <f t="shared" si="32"/>
        <v>same</v>
      </c>
      <c r="F430" s="3" t="str">
        <f t="shared" si="33"/>
        <v>no</v>
      </c>
      <c r="G430" s="3" t="str">
        <f t="shared" si="34"/>
        <v>ok</v>
      </c>
    </row>
    <row r="431" spans="1:7" x14ac:dyDescent="0.25">
      <c r="A431" s="2">
        <v>429</v>
      </c>
      <c r="B431" s="2">
        <v>181</v>
      </c>
      <c r="C431" s="3">
        <f t="shared" si="30"/>
        <v>1</v>
      </c>
      <c r="D431" s="3">
        <f t="shared" si="31"/>
        <v>1</v>
      </c>
      <c r="E431" s="3" t="str">
        <f t="shared" si="32"/>
        <v>same</v>
      </c>
      <c r="F431" s="3" t="str">
        <f t="shared" si="33"/>
        <v>no</v>
      </c>
      <c r="G431" s="3" t="str">
        <f t="shared" si="34"/>
        <v>ok</v>
      </c>
    </row>
    <row r="432" spans="1:7" x14ac:dyDescent="0.25">
      <c r="A432" s="2">
        <v>430</v>
      </c>
      <c r="B432" s="2">
        <v>254</v>
      </c>
      <c r="C432" s="3">
        <f t="shared" si="30"/>
        <v>0</v>
      </c>
      <c r="D432" s="3">
        <f t="shared" si="31"/>
        <v>0</v>
      </c>
      <c r="E432" s="3" t="str">
        <f t="shared" si="32"/>
        <v>same</v>
      </c>
      <c r="F432" s="3" t="str">
        <f t="shared" si="33"/>
        <v>no</v>
      </c>
      <c r="G432" s="3" t="str">
        <f t="shared" si="34"/>
        <v>ok</v>
      </c>
    </row>
    <row r="433" spans="1:7" x14ac:dyDescent="0.25">
      <c r="A433" s="2">
        <v>431</v>
      </c>
      <c r="B433" s="2">
        <v>-1</v>
      </c>
      <c r="C433" s="3">
        <f t="shared" si="30"/>
        <v>1</v>
      </c>
      <c r="D433" s="3">
        <f t="shared" si="31"/>
        <v>1</v>
      </c>
      <c r="E433" s="3" t="str">
        <f t="shared" si="32"/>
        <v>same</v>
      </c>
      <c r="F433" s="3" t="str">
        <f t="shared" si="33"/>
        <v>no</v>
      </c>
      <c r="G433" s="3" t="str">
        <f t="shared" si="34"/>
        <v>ok</v>
      </c>
    </row>
    <row r="434" spans="1:7" x14ac:dyDescent="0.25">
      <c r="A434" s="2">
        <v>432</v>
      </c>
      <c r="B434" s="2">
        <v>268</v>
      </c>
      <c r="C434" s="3">
        <f t="shared" si="30"/>
        <v>0</v>
      </c>
      <c r="D434" s="3">
        <f t="shared" si="31"/>
        <v>0</v>
      </c>
      <c r="E434" s="3" t="str">
        <f t="shared" si="32"/>
        <v>same</v>
      </c>
      <c r="F434" s="3" t="str">
        <f t="shared" si="33"/>
        <v>no</v>
      </c>
      <c r="G434" s="3" t="str">
        <f t="shared" si="34"/>
        <v>ok</v>
      </c>
    </row>
    <row r="435" spans="1:7" x14ac:dyDescent="0.25">
      <c r="A435" s="2">
        <v>433</v>
      </c>
      <c r="B435" s="2">
        <v>-1</v>
      </c>
      <c r="C435" s="3">
        <f t="shared" si="30"/>
        <v>1</v>
      </c>
      <c r="D435" s="3">
        <f t="shared" si="31"/>
        <v>1</v>
      </c>
      <c r="E435" s="3" t="str">
        <f t="shared" si="32"/>
        <v>same</v>
      </c>
      <c r="F435" s="3" t="str">
        <f t="shared" si="33"/>
        <v>no</v>
      </c>
      <c r="G435" s="3" t="str">
        <f t="shared" si="34"/>
        <v>ok</v>
      </c>
    </row>
    <row r="436" spans="1:7" x14ac:dyDescent="0.25">
      <c r="A436" s="2">
        <v>434</v>
      </c>
      <c r="B436" s="2">
        <v>246</v>
      </c>
      <c r="C436" s="3">
        <f t="shared" si="30"/>
        <v>0</v>
      </c>
      <c r="D436" s="3">
        <f t="shared" si="31"/>
        <v>0</v>
      </c>
      <c r="E436" s="3" t="str">
        <f t="shared" si="32"/>
        <v>same</v>
      </c>
      <c r="F436" s="3" t="str">
        <f t="shared" si="33"/>
        <v>no</v>
      </c>
      <c r="G436" s="3" t="str">
        <f t="shared" si="34"/>
        <v>ok</v>
      </c>
    </row>
    <row r="437" spans="1:7" x14ac:dyDescent="0.25">
      <c r="A437" s="2">
        <v>435</v>
      </c>
      <c r="B437" s="2">
        <v>203</v>
      </c>
      <c r="C437" s="3">
        <f t="shared" si="30"/>
        <v>1</v>
      </c>
      <c r="D437" s="3">
        <f t="shared" si="31"/>
        <v>1</v>
      </c>
      <c r="E437" s="3" t="str">
        <f t="shared" si="32"/>
        <v>same</v>
      </c>
      <c r="F437" s="3" t="str">
        <f t="shared" si="33"/>
        <v>no</v>
      </c>
      <c r="G437" s="3" t="str">
        <f t="shared" si="34"/>
        <v>ok</v>
      </c>
    </row>
    <row r="438" spans="1:7" x14ac:dyDescent="0.25">
      <c r="A438" s="2">
        <v>436</v>
      </c>
      <c r="B438" s="2">
        <v>214</v>
      </c>
      <c r="C438" s="3">
        <f t="shared" si="30"/>
        <v>0</v>
      </c>
      <c r="D438" s="3">
        <f t="shared" si="31"/>
        <v>0</v>
      </c>
      <c r="E438" s="3" t="str">
        <f t="shared" si="32"/>
        <v>same</v>
      </c>
      <c r="F438" s="3" t="str">
        <f t="shared" si="33"/>
        <v>no</v>
      </c>
      <c r="G438" s="3" t="str">
        <f t="shared" si="34"/>
        <v>ok</v>
      </c>
    </row>
    <row r="439" spans="1:7" x14ac:dyDescent="0.25">
      <c r="A439" s="2">
        <v>437</v>
      </c>
      <c r="B439" s="2">
        <v>37</v>
      </c>
      <c r="C439" s="3">
        <f t="shared" si="30"/>
        <v>1</v>
      </c>
      <c r="D439" s="3">
        <f t="shared" si="31"/>
        <v>1</v>
      </c>
      <c r="E439" s="3" t="str">
        <f t="shared" si="32"/>
        <v>same</v>
      </c>
      <c r="F439" s="3" t="str">
        <f t="shared" si="33"/>
        <v>no</v>
      </c>
      <c r="G439" s="3" t="str">
        <f t="shared" si="34"/>
        <v>ok</v>
      </c>
    </row>
    <row r="440" spans="1:7" x14ac:dyDescent="0.25">
      <c r="A440" s="2">
        <v>438</v>
      </c>
      <c r="B440" s="2">
        <v>286</v>
      </c>
      <c r="C440" s="3">
        <f t="shared" si="30"/>
        <v>0</v>
      </c>
      <c r="D440" s="3">
        <f t="shared" si="31"/>
        <v>0</v>
      </c>
      <c r="E440" s="3" t="str">
        <f t="shared" si="32"/>
        <v>same</v>
      </c>
      <c r="F440" s="3" t="str">
        <f t="shared" si="33"/>
        <v>no</v>
      </c>
      <c r="G440" s="3" t="str">
        <f t="shared" si="34"/>
        <v>ok</v>
      </c>
    </row>
    <row r="441" spans="1:7" x14ac:dyDescent="0.25">
      <c r="A441" s="2">
        <v>439</v>
      </c>
      <c r="B441" s="2">
        <v>-1</v>
      </c>
      <c r="C441" s="3">
        <f t="shared" si="30"/>
        <v>1</v>
      </c>
      <c r="D441" s="3">
        <f t="shared" si="31"/>
        <v>1</v>
      </c>
      <c r="E441" s="3" t="str">
        <f t="shared" si="32"/>
        <v>same</v>
      </c>
      <c r="F441" s="3" t="str">
        <f t="shared" si="33"/>
        <v>no</v>
      </c>
      <c r="G441" s="3" t="str">
        <f t="shared" si="34"/>
        <v>ok</v>
      </c>
    </row>
    <row r="442" spans="1:7" x14ac:dyDescent="0.25">
      <c r="A442" s="2">
        <v>440</v>
      </c>
      <c r="B442" s="2">
        <v>264</v>
      </c>
      <c r="C442" s="3">
        <f t="shared" si="30"/>
        <v>0</v>
      </c>
      <c r="D442" s="3">
        <f t="shared" si="31"/>
        <v>0</v>
      </c>
      <c r="E442" s="3" t="str">
        <f t="shared" si="32"/>
        <v>same</v>
      </c>
      <c r="F442" s="3" t="str">
        <f t="shared" si="33"/>
        <v>no</v>
      </c>
      <c r="G442" s="3" t="str">
        <f t="shared" si="34"/>
        <v>ok</v>
      </c>
    </row>
    <row r="443" spans="1:7" x14ac:dyDescent="0.25">
      <c r="A443" s="2">
        <v>441</v>
      </c>
      <c r="B443" s="2">
        <v>180</v>
      </c>
      <c r="C443" s="3">
        <f t="shared" si="30"/>
        <v>0</v>
      </c>
      <c r="D443" s="3">
        <f t="shared" si="31"/>
        <v>1</v>
      </c>
      <c r="E443" s="3" t="str">
        <f t="shared" si="32"/>
        <v>diff</v>
      </c>
      <c r="F443" s="3" t="str">
        <f t="shared" si="33"/>
        <v>YES</v>
      </c>
      <c r="G443" s="3" t="str">
        <f t="shared" si="34"/>
        <v>ok</v>
      </c>
    </row>
    <row r="444" spans="1:7" x14ac:dyDescent="0.25">
      <c r="A444" s="2">
        <v>442</v>
      </c>
      <c r="B444" s="2">
        <v>242</v>
      </c>
      <c r="C444" s="3">
        <f t="shared" si="30"/>
        <v>0</v>
      </c>
      <c r="D444" s="3">
        <f t="shared" si="31"/>
        <v>0</v>
      </c>
      <c r="E444" s="3" t="str">
        <f t="shared" si="32"/>
        <v>same</v>
      </c>
      <c r="F444" s="3" t="str">
        <f t="shared" si="33"/>
        <v>no</v>
      </c>
      <c r="G444" s="3" t="str">
        <f t="shared" si="34"/>
        <v>ok</v>
      </c>
    </row>
    <row r="445" spans="1:7" x14ac:dyDescent="0.25">
      <c r="A445" s="2">
        <v>443</v>
      </c>
      <c r="B445" s="2">
        <v>-1</v>
      </c>
      <c r="C445" s="3">
        <f t="shared" si="30"/>
        <v>1</v>
      </c>
      <c r="D445" s="3">
        <f t="shared" si="31"/>
        <v>1</v>
      </c>
      <c r="E445" s="3" t="str">
        <f t="shared" si="32"/>
        <v>same</v>
      </c>
      <c r="F445" s="3" t="str">
        <f t="shared" si="33"/>
        <v>no</v>
      </c>
      <c r="G445" s="3" t="str">
        <f t="shared" si="34"/>
        <v>ok</v>
      </c>
    </row>
    <row r="446" spans="1:7" x14ac:dyDescent="0.25">
      <c r="A446" s="2">
        <v>444</v>
      </c>
      <c r="B446" s="2">
        <v>288</v>
      </c>
      <c r="C446" s="3">
        <f t="shared" si="30"/>
        <v>0</v>
      </c>
      <c r="D446" s="3">
        <f t="shared" si="31"/>
        <v>0</v>
      </c>
      <c r="E446" s="3" t="str">
        <f t="shared" si="32"/>
        <v>same</v>
      </c>
      <c r="F446" s="3" t="str">
        <f t="shared" si="33"/>
        <v>no</v>
      </c>
      <c r="G446" s="3" t="str">
        <f t="shared" si="34"/>
        <v>ok</v>
      </c>
    </row>
    <row r="447" spans="1:7" x14ac:dyDescent="0.25">
      <c r="A447" s="2">
        <v>445</v>
      </c>
      <c r="B447" s="2">
        <v>89</v>
      </c>
      <c r="C447" s="3">
        <f t="shared" si="30"/>
        <v>1</v>
      </c>
      <c r="D447" s="3">
        <f t="shared" si="31"/>
        <v>1</v>
      </c>
      <c r="E447" s="3" t="str">
        <f t="shared" si="32"/>
        <v>same</v>
      </c>
      <c r="F447" s="3" t="str">
        <f t="shared" si="33"/>
        <v>no</v>
      </c>
      <c r="G447" s="3" t="str">
        <f t="shared" si="34"/>
        <v>ok</v>
      </c>
    </row>
    <row r="448" spans="1:7" x14ac:dyDescent="0.25">
      <c r="A448" s="2">
        <v>446</v>
      </c>
      <c r="B448" s="2">
        <v>220</v>
      </c>
      <c r="C448" s="3">
        <f t="shared" si="30"/>
        <v>0</v>
      </c>
      <c r="D448" s="3">
        <f t="shared" si="31"/>
        <v>0</v>
      </c>
      <c r="E448" s="3" t="str">
        <f t="shared" si="32"/>
        <v>same</v>
      </c>
      <c r="F448" s="3" t="str">
        <f t="shared" si="33"/>
        <v>no</v>
      </c>
      <c r="G448" s="3" t="str">
        <f t="shared" si="34"/>
        <v>ok</v>
      </c>
    </row>
    <row r="449" spans="1:7" x14ac:dyDescent="0.25">
      <c r="A449" s="2">
        <v>447</v>
      </c>
      <c r="B449" s="2">
        <v>147</v>
      </c>
      <c r="C449" s="3">
        <f t="shared" si="30"/>
        <v>1</v>
      </c>
      <c r="D449" s="3">
        <f t="shared" si="31"/>
        <v>1</v>
      </c>
      <c r="E449" s="3" t="str">
        <f t="shared" si="32"/>
        <v>same</v>
      </c>
      <c r="F449" s="3" t="str">
        <f t="shared" si="33"/>
        <v>no</v>
      </c>
      <c r="G449" s="3" t="str">
        <f t="shared" si="34"/>
        <v>ok</v>
      </c>
    </row>
    <row r="450" spans="1:7" x14ac:dyDescent="0.25">
      <c r="A450" s="2">
        <v>448</v>
      </c>
      <c r="B450" s="2">
        <v>242</v>
      </c>
      <c r="C450" s="3">
        <f t="shared" si="30"/>
        <v>0</v>
      </c>
      <c r="D450" s="3">
        <f t="shared" si="31"/>
        <v>0</v>
      </c>
      <c r="E450" s="3" t="str">
        <f t="shared" si="32"/>
        <v>same</v>
      </c>
      <c r="F450" s="3" t="str">
        <f t="shared" si="33"/>
        <v>no</v>
      </c>
      <c r="G450" s="3" t="str">
        <f t="shared" si="34"/>
        <v>ok</v>
      </c>
    </row>
    <row r="451" spans="1:7" x14ac:dyDescent="0.25">
      <c r="A451" s="2">
        <v>449</v>
      </c>
      <c r="B451" s="2">
        <v>-1</v>
      </c>
      <c r="C451" s="3">
        <f t="shared" si="30"/>
        <v>1</v>
      </c>
      <c r="D451" s="3">
        <f t="shared" si="31"/>
        <v>1</v>
      </c>
      <c r="E451" s="3" t="str">
        <f t="shared" si="32"/>
        <v>same</v>
      </c>
      <c r="F451" s="3" t="str">
        <f t="shared" si="33"/>
        <v>no</v>
      </c>
      <c r="G451" s="3" t="str">
        <f t="shared" si="34"/>
        <v>ok</v>
      </c>
    </row>
    <row r="452" spans="1:7" x14ac:dyDescent="0.25">
      <c r="A452" s="2">
        <v>450</v>
      </c>
      <c r="B452" s="2">
        <v>312</v>
      </c>
      <c r="C452" s="3">
        <f t="shared" si="30"/>
        <v>0</v>
      </c>
      <c r="D452" s="3">
        <f t="shared" si="31"/>
        <v>0</v>
      </c>
      <c r="E452" s="3" t="str">
        <f t="shared" si="32"/>
        <v>same</v>
      </c>
      <c r="F452" s="3" t="str">
        <f t="shared" si="33"/>
        <v>no</v>
      </c>
      <c r="G452" s="3" t="str">
        <f t="shared" si="34"/>
        <v>ok</v>
      </c>
    </row>
    <row r="453" spans="1:7" x14ac:dyDescent="0.25">
      <c r="A453" s="2">
        <v>451</v>
      </c>
      <c r="B453" s="2">
        <v>47</v>
      </c>
      <c r="C453" s="3">
        <f t="shared" ref="C453:C516" si="35">MOD(B453,2)</f>
        <v>1</v>
      </c>
      <c r="D453" s="3">
        <f t="shared" ref="D453:D502" si="36">MOD(A453,2)</f>
        <v>1</v>
      </c>
      <c r="E453" s="3" t="str">
        <f t="shared" ref="E453:E516" si="37">IF(C453=D453,"same","diff")</f>
        <v>same</v>
      </c>
      <c r="F453" s="3" t="str">
        <f t="shared" ref="F453:F502" si="38">IF(SQRT(A453)=INT(SQRT(A453)),"YES","no")</f>
        <v>no</v>
      </c>
      <c r="G453" s="3" t="str">
        <f t="shared" ref="G453:G516" si="39">IF(AND(E453="same",F453="no"),"ok",IF(AND(E453="diff",F453="YES"),"ok","FAIL"))</f>
        <v>ok</v>
      </c>
    </row>
    <row r="454" spans="1:7" x14ac:dyDescent="0.25">
      <c r="A454" s="2">
        <v>452</v>
      </c>
      <c r="B454" s="2">
        <v>222</v>
      </c>
      <c r="C454" s="3">
        <f t="shared" si="35"/>
        <v>0</v>
      </c>
      <c r="D454" s="3">
        <f t="shared" si="36"/>
        <v>0</v>
      </c>
      <c r="E454" s="3" t="str">
        <f t="shared" si="37"/>
        <v>same</v>
      </c>
      <c r="F454" s="3" t="str">
        <f t="shared" si="38"/>
        <v>no</v>
      </c>
      <c r="G454" s="3" t="str">
        <f t="shared" si="39"/>
        <v>ok</v>
      </c>
    </row>
    <row r="455" spans="1:7" x14ac:dyDescent="0.25">
      <c r="A455" s="2">
        <v>453</v>
      </c>
      <c r="B455" s="2">
        <v>149</v>
      </c>
      <c r="C455" s="3">
        <f t="shared" si="35"/>
        <v>1</v>
      </c>
      <c r="D455" s="3">
        <f t="shared" si="36"/>
        <v>1</v>
      </c>
      <c r="E455" s="3" t="str">
        <f t="shared" si="37"/>
        <v>same</v>
      </c>
      <c r="F455" s="3" t="str">
        <f t="shared" si="38"/>
        <v>no</v>
      </c>
      <c r="G455" s="3" t="str">
        <f t="shared" si="39"/>
        <v>ok</v>
      </c>
    </row>
    <row r="456" spans="1:7" x14ac:dyDescent="0.25">
      <c r="A456" s="2">
        <v>454</v>
      </c>
      <c r="B456" s="2">
        <v>224</v>
      </c>
      <c r="C456" s="3">
        <f t="shared" si="35"/>
        <v>0</v>
      </c>
      <c r="D456" s="3">
        <f t="shared" si="36"/>
        <v>0</v>
      </c>
      <c r="E456" s="3" t="str">
        <f t="shared" si="37"/>
        <v>same</v>
      </c>
      <c r="F456" s="3" t="str">
        <f t="shared" si="38"/>
        <v>no</v>
      </c>
      <c r="G456" s="3" t="str">
        <f t="shared" si="39"/>
        <v>ok</v>
      </c>
    </row>
    <row r="457" spans="1:7" x14ac:dyDescent="0.25">
      <c r="A457" s="2">
        <v>455</v>
      </c>
      <c r="B457" s="2">
        <v>159</v>
      </c>
      <c r="C457" s="3">
        <f t="shared" si="35"/>
        <v>1</v>
      </c>
      <c r="D457" s="3">
        <f t="shared" si="36"/>
        <v>1</v>
      </c>
      <c r="E457" s="3" t="str">
        <f t="shared" si="37"/>
        <v>same</v>
      </c>
      <c r="F457" s="3" t="str">
        <f t="shared" si="38"/>
        <v>no</v>
      </c>
      <c r="G457" s="3" t="str">
        <f t="shared" si="39"/>
        <v>ok</v>
      </c>
    </row>
    <row r="458" spans="1:7" x14ac:dyDescent="0.25">
      <c r="A458" s="2">
        <v>456</v>
      </c>
      <c r="B458" s="2">
        <v>296</v>
      </c>
      <c r="C458" s="3">
        <f t="shared" si="35"/>
        <v>0</v>
      </c>
      <c r="D458" s="3">
        <f t="shared" si="36"/>
        <v>0</v>
      </c>
      <c r="E458" s="3" t="str">
        <f t="shared" si="37"/>
        <v>same</v>
      </c>
      <c r="F458" s="3" t="str">
        <f t="shared" si="38"/>
        <v>no</v>
      </c>
      <c r="G458" s="3" t="str">
        <f t="shared" si="39"/>
        <v>ok</v>
      </c>
    </row>
    <row r="459" spans="1:7" x14ac:dyDescent="0.25">
      <c r="A459" s="2">
        <v>457</v>
      </c>
      <c r="B459" s="2">
        <v>-1</v>
      </c>
      <c r="C459" s="3">
        <f t="shared" si="35"/>
        <v>1</v>
      </c>
      <c r="D459" s="3">
        <f t="shared" si="36"/>
        <v>1</v>
      </c>
      <c r="E459" s="3" t="str">
        <f t="shared" si="37"/>
        <v>same</v>
      </c>
      <c r="F459" s="3" t="str">
        <f t="shared" si="38"/>
        <v>no</v>
      </c>
      <c r="G459" s="3" t="str">
        <f t="shared" si="39"/>
        <v>ok</v>
      </c>
    </row>
    <row r="460" spans="1:7" x14ac:dyDescent="0.25">
      <c r="A460" s="2">
        <v>458</v>
      </c>
      <c r="B460" s="2">
        <v>226</v>
      </c>
      <c r="C460" s="3">
        <f t="shared" si="35"/>
        <v>0</v>
      </c>
      <c r="D460" s="3">
        <f t="shared" si="36"/>
        <v>0</v>
      </c>
      <c r="E460" s="3" t="str">
        <f t="shared" si="37"/>
        <v>same</v>
      </c>
      <c r="F460" s="3" t="str">
        <f t="shared" si="38"/>
        <v>no</v>
      </c>
      <c r="G460" s="3" t="str">
        <f t="shared" si="39"/>
        <v>ok</v>
      </c>
    </row>
    <row r="461" spans="1:7" x14ac:dyDescent="0.25">
      <c r="A461" s="2">
        <v>459</v>
      </c>
      <c r="B461" s="2">
        <v>163</v>
      </c>
      <c r="C461" s="3">
        <f t="shared" si="35"/>
        <v>1</v>
      </c>
      <c r="D461" s="3">
        <f t="shared" si="36"/>
        <v>1</v>
      </c>
      <c r="E461" s="3" t="str">
        <f t="shared" si="37"/>
        <v>same</v>
      </c>
      <c r="F461" s="3" t="str">
        <f t="shared" si="38"/>
        <v>no</v>
      </c>
      <c r="G461" s="3" t="str">
        <f t="shared" si="39"/>
        <v>ok</v>
      </c>
    </row>
    <row r="462" spans="1:7" x14ac:dyDescent="0.25">
      <c r="A462" s="2">
        <v>460</v>
      </c>
      <c r="B462" s="2">
        <v>272</v>
      </c>
      <c r="C462" s="3">
        <f t="shared" si="35"/>
        <v>0</v>
      </c>
      <c r="D462" s="3">
        <f t="shared" si="36"/>
        <v>0</v>
      </c>
      <c r="E462" s="3" t="str">
        <f t="shared" si="37"/>
        <v>same</v>
      </c>
      <c r="F462" s="3" t="str">
        <f t="shared" si="38"/>
        <v>no</v>
      </c>
      <c r="G462" s="3" t="str">
        <f t="shared" si="39"/>
        <v>ok</v>
      </c>
    </row>
    <row r="463" spans="1:7" x14ac:dyDescent="0.25">
      <c r="A463" s="2">
        <v>461</v>
      </c>
      <c r="B463" s="2">
        <v>-1</v>
      </c>
      <c r="C463" s="3">
        <f t="shared" si="35"/>
        <v>1</v>
      </c>
      <c r="D463" s="3">
        <f t="shared" si="36"/>
        <v>1</v>
      </c>
      <c r="E463" s="3" t="str">
        <f t="shared" si="37"/>
        <v>same</v>
      </c>
      <c r="F463" s="3" t="str">
        <f t="shared" si="38"/>
        <v>no</v>
      </c>
      <c r="G463" s="3" t="str">
        <f t="shared" si="39"/>
        <v>ok</v>
      </c>
    </row>
    <row r="464" spans="1:7" x14ac:dyDescent="0.25">
      <c r="A464" s="2">
        <v>462</v>
      </c>
      <c r="B464" s="2">
        <v>326</v>
      </c>
      <c r="C464" s="3">
        <f t="shared" si="35"/>
        <v>0</v>
      </c>
      <c r="D464" s="3">
        <f t="shared" si="36"/>
        <v>0</v>
      </c>
      <c r="E464" s="3" t="str">
        <f t="shared" si="37"/>
        <v>same</v>
      </c>
      <c r="F464" s="3" t="str">
        <f t="shared" si="38"/>
        <v>no</v>
      </c>
      <c r="G464" s="3" t="str">
        <f t="shared" si="39"/>
        <v>ok</v>
      </c>
    </row>
    <row r="465" spans="1:7" x14ac:dyDescent="0.25">
      <c r="A465" s="2">
        <v>463</v>
      </c>
      <c r="B465" s="2">
        <v>-1</v>
      </c>
      <c r="C465" s="3">
        <f t="shared" si="35"/>
        <v>1</v>
      </c>
      <c r="D465" s="3">
        <f t="shared" si="36"/>
        <v>1</v>
      </c>
      <c r="E465" s="3" t="str">
        <f t="shared" si="37"/>
        <v>same</v>
      </c>
      <c r="F465" s="3" t="str">
        <f t="shared" si="38"/>
        <v>no</v>
      </c>
      <c r="G465" s="3" t="str">
        <f t="shared" si="39"/>
        <v>ok</v>
      </c>
    </row>
    <row r="466" spans="1:7" x14ac:dyDescent="0.25">
      <c r="A466" s="2">
        <v>464</v>
      </c>
      <c r="B466" s="2">
        <v>230</v>
      </c>
      <c r="C466" s="3">
        <f t="shared" si="35"/>
        <v>0</v>
      </c>
      <c r="D466" s="3">
        <f t="shared" si="36"/>
        <v>0</v>
      </c>
      <c r="E466" s="3" t="str">
        <f t="shared" si="37"/>
        <v>same</v>
      </c>
      <c r="F466" s="3" t="str">
        <f t="shared" si="38"/>
        <v>no</v>
      </c>
      <c r="G466" s="3" t="str">
        <f t="shared" si="39"/>
        <v>ok</v>
      </c>
    </row>
    <row r="467" spans="1:7" x14ac:dyDescent="0.25">
      <c r="A467" s="2">
        <v>465</v>
      </c>
      <c r="B467" s="2">
        <v>217</v>
      </c>
      <c r="C467" s="3">
        <f t="shared" si="35"/>
        <v>1</v>
      </c>
      <c r="D467" s="3">
        <f t="shared" si="36"/>
        <v>1</v>
      </c>
      <c r="E467" s="3" t="str">
        <f t="shared" si="37"/>
        <v>same</v>
      </c>
      <c r="F467" s="3" t="str">
        <f t="shared" si="38"/>
        <v>no</v>
      </c>
      <c r="G467" s="3" t="str">
        <f t="shared" si="39"/>
        <v>ok</v>
      </c>
    </row>
    <row r="468" spans="1:7" x14ac:dyDescent="0.25">
      <c r="A468" s="2">
        <v>466</v>
      </c>
      <c r="B468" s="2">
        <v>230</v>
      </c>
      <c r="C468" s="3">
        <f t="shared" si="35"/>
        <v>0</v>
      </c>
      <c r="D468" s="3">
        <f t="shared" si="36"/>
        <v>0</v>
      </c>
      <c r="E468" s="3" t="str">
        <f t="shared" si="37"/>
        <v>same</v>
      </c>
      <c r="F468" s="3" t="str">
        <f t="shared" si="38"/>
        <v>no</v>
      </c>
      <c r="G468" s="3" t="str">
        <f t="shared" si="39"/>
        <v>ok</v>
      </c>
    </row>
    <row r="469" spans="1:7" x14ac:dyDescent="0.25">
      <c r="A469" s="2">
        <v>467</v>
      </c>
      <c r="B469" s="2">
        <v>-1</v>
      </c>
      <c r="C469" s="3">
        <f t="shared" si="35"/>
        <v>1</v>
      </c>
      <c r="D469" s="3">
        <f t="shared" si="36"/>
        <v>1</v>
      </c>
      <c r="E469" s="3" t="str">
        <f t="shared" si="37"/>
        <v>same</v>
      </c>
      <c r="F469" s="3" t="str">
        <f t="shared" si="38"/>
        <v>no</v>
      </c>
      <c r="G469" s="3" t="str">
        <f t="shared" si="39"/>
        <v>ok</v>
      </c>
    </row>
    <row r="470" spans="1:7" x14ac:dyDescent="0.25">
      <c r="A470" s="2">
        <v>468</v>
      </c>
      <c r="B470" s="2">
        <v>306</v>
      </c>
      <c r="C470" s="3">
        <f t="shared" si="35"/>
        <v>0</v>
      </c>
      <c r="D470" s="3">
        <f t="shared" si="36"/>
        <v>0</v>
      </c>
      <c r="E470" s="3" t="str">
        <f t="shared" si="37"/>
        <v>same</v>
      </c>
      <c r="F470" s="3" t="str">
        <f t="shared" si="38"/>
        <v>no</v>
      </c>
      <c r="G470" s="3" t="str">
        <f t="shared" si="39"/>
        <v>ok</v>
      </c>
    </row>
    <row r="471" spans="1:7" x14ac:dyDescent="0.25">
      <c r="A471" s="2">
        <v>469</v>
      </c>
      <c r="B471" s="2">
        <v>69</v>
      </c>
      <c r="C471" s="3">
        <f t="shared" si="35"/>
        <v>1</v>
      </c>
      <c r="D471" s="3">
        <f t="shared" si="36"/>
        <v>1</v>
      </c>
      <c r="E471" s="3" t="str">
        <f t="shared" si="37"/>
        <v>same</v>
      </c>
      <c r="F471" s="3" t="str">
        <f t="shared" si="38"/>
        <v>no</v>
      </c>
      <c r="G471" s="3" t="str">
        <f t="shared" si="39"/>
        <v>ok</v>
      </c>
    </row>
    <row r="472" spans="1:7" x14ac:dyDescent="0.25">
      <c r="A472" s="2">
        <v>470</v>
      </c>
      <c r="B472" s="2">
        <v>278</v>
      </c>
      <c r="C472" s="3">
        <f t="shared" si="35"/>
        <v>0</v>
      </c>
      <c r="D472" s="3">
        <f t="shared" si="36"/>
        <v>0</v>
      </c>
      <c r="E472" s="3" t="str">
        <f t="shared" si="37"/>
        <v>same</v>
      </c>
      <c r="F472" s="3" t="str">
        <f t="shared" si="38"/>
        <v>no</v>
      </c>
      <c r="G472" s="3" t="str">
        <f t="shared" si="39"/>
        <v>ok</v>
      </c>
    </row>
    <row r="473" spans="1:7" x14ac:dyDescent="0.25">
      <c r="A473" s="2">
        <v>471</v>
      </c>
      <c r="B473" s="2">
        <v>155</v>
      </c>
      <c r="C473" s="3">
        <f t="shared" si="35"/>
        <v>1</v>
      </c>
      <c r="D473" s="3">
        <f t="shared" si="36"/>
        <v>1</v>
      </c>
      <c r="E473" s="3" t="str">
        <f t="shared" si="37"/>
        <v>same</v>
      </c>
      <c r="F473" s="3" t="str">
        <f t="shared" si="38"/>
        <v>no</v>
      </c>
      <c r="G473" s="3" t="str">
        <f t="shared" si="39"/>
        <v>ok</v>
      </c>
    </row>
    <row r="474" spans="1:7" x14ac:dyDescent="0.25">
      <c r="A474" s="2">
        <v>472</v>
      </c>
      <c r="B474" s="2">
        <v>232</v>
      </c>
      <c r="C474" s="3">
        <f t="shared" si="35"/>
        <v>0</v>
      </c>
      <c r="D474" s="3">
        <f t="shared" si="36"/>
        <v>0</v>
      </c>
      <c r="E474" s="3" t="str">
        <f t="shared" si="37"/>
        <v>same</v>
      </c>
      <c r="F474" s="3" t="str">
        <f t="shared" si="38"/>
        <v>no</v>
      </c>
      <c r="G474" s="3" t="str">
        <f t="shared" si="39"/>
        <v>ok</v>
      </c>
    </row>
    <row r="475" spans="1:7" x14ac:dyDescent="0.25">
      <c r="A475" s="2">
        <v>473</v>
      </c>
      <c r="B475" s="2">
        <v>49</v>
      </c>
      <c r="C475" s="3">
        <f t="shared" si="35"/>
        <v>1</v>
      </c>
      <c r="D475" s="3">
        <f t="shared" si="36"/>
        <v>1</v>
      </c>
      <c r="E475" s="3" t="str">
        <f t="shared" si="37"/>
        <v>same</v>
      </c>
      <c r="F475" s="3" t="str">
        <f t="shared" si="38"/>
        <v>no</v>
      </c>
      <c r="G475" s="3" t="str">
        <f t="shared" si="39"/>
        <v>ok</v>
      </c>
    </row>
    <row r="476" spans="1:7" x14ac:dyDescent="0.25">
      <c r="A476" s="2">
        <v>474</v>
      </c>
      <c r="B476" s="2">
        <v>310</v>
      </c>
      <c r="C476" s="3">
        <f t="shared" si="35"/>
        <v>0</v>
      </c>
      <c r="D476" s="3">
        <f t="shared" si="36"/>
        <v>0</v>
      </c>
      <c r="E476" s="3" t="str">
        <f t="shared" si="37"/>
        <v>same</v>
      </c>
      <c r="F476" s="3" t="str">
        <f t="shared" si="38"/>
        <v>no</v>
      </c>
      <c r="G476" s="3" t="str">
        <f t="shared" si="39"/>
        <v>ok</v>
      </c>
    </row>
    <row r="477" spans="1:7" x14ac:dyDescent="0.25">
      <c r="A477" s="2">
        <v>475</v>
      </c>
      <c r="B477" s="2">
        <v>109</v>
      </c>
      <c r="C477" s="3">
        <f t="shared" si="35"/>
        <v>1</v>
      </c>
      <c r="D477" s="3">
        <f t="shared" si="36"/>
        <v>1</v>
      </c>
      <c r="E477" s="3" t="str">
        <f t="shared" si="37"/>
        <v>same</v>
      </c>
      <c r="F477" s="3" t="str">
        <f t="shared" si="38"/>
        <v>no</v>
      </c>
      <c r="G477" s="3" t="str">
        <f t="shared" si="39"/>
        <v>ok</v>
      </c>
    </row>
    <row r="478" spans="1:7" x14ac:dyDescent="0.25">
      <c r="A478" s="2">
        <v>476</v>
      </c>
      <c r="B478" s="2">
        <v>272</v>
      </c>
      <c r="C478" s="3">
        <f t="shared" si="35"/>
        <v>0</v>
      </c>
      <c r="D478" s="3">
        <f t="shared" si="36"/>
        <v>0</v>
      </c>
      <c r="E478" s="3" t="str">
        <f t="shared" si="37"/>
        <v>same</v>
      </c>
      <c r="F478" s="3" t="str">
        <f t="shared" si="38"/>
        <v>no</v>
      </c>
      <c r="G478" s="3" t="str">
        <f t="shared" si="39"/>
        <v>ok</v>
      </c>
    </row>
    <row r="479" spans="1:7" x14ac:dyDescent="0.25">
      <c r="A479" s="2">
        <v>477</v>
      </c>
      <c r="B479" s="2">
        <v>159</v>
      </c>
      <c r="C479" s="3">
        <f t="shared" si="35"/>
        <v>1</v>
      </c>
      <c r="D479" s="3">
        <f t="shared" si="36"/>
        <v>1</v>
      </c>
      <c r="E479" s="3" t="str">
        <f t="shared" si="37"/>
        <v>same</v>
      </c>
      <c r="F479" s="3" t="str">
        <f t="shared" si="38"/>
        <v>no</v>
      </c>
      <c r="G479" s="3" t="str">
        <f t="shared" si="39"/>
        <v>ok</v>
      </c>
    </row>
    <row r="480" spans="1:7" x14ac:dyDescent="0.25">
      <c r="A480" s="2">
        <v>478</v>
      </c>
      <c r="B480" s="2">
        <v>236</v>
      </c>
      <c r="C480" s="3">
        <f t="shared" si="35"/>
        <v>0</v>
      </c>
      <c r="D480" s="3">
        <f t="shared" si="36"/>
        <v>0</v>
      </c>
      <c r="E480" s="3" t="str">
        <f t="shared" si="37"/>
        <v>same</v>
      </c>
      <c r="F480" s="3" t="str">
        <f t="shared" si="38"/>
        <v>no</v>
      </c>
      <c r="G480" s="3" t="str">
        <f t="shared" si="39"/>
        <v>ok</v>
      </c>
    </row>
    <row r="481" spans="1:7" x14ac:dyDescent="0.25">
      <c r="A481" s="2">
        <v>479</v>
      </c>
      <c r="B481" s="2">
        <v>-1</v>
      </c>
      <c r="C481" s="3">
        <f t="shared" si="35"/>
        <v>1</v>
      </c>
      <c r="D481" s="3">
        <f t="shared" si="36"/>
        <v>1</v>
      </c>
      <c r="E481" s="3" t="str">
        <f t="shared" si="37"/>
        <v>same</v>
      </c>
      <c r="F481" s="3" t="str">
        <f t="shared" si="38"/>
        <v>no</v>
      </c>
      <c r="G481" s="3" t="str">
        <f t="shared" si="39"/>
        <v>ok</v>
      </c>
    </row>
    <row r="482" spans="1:7" x14ac:dyDescent="0.25">
      <c r="A482" s="2">
        <v>480</v>
      </c>
      <c r="B482" s="2">
        <v>328</v>
      </c>
      <c r="C482" s="3">
        <f t="shared" si="35"/>
        <v>0</v>
      </c>
      <c r="D482" s="3">
        <f t="shared" si="36"/>
        <v>0</v>
      </c>
      <c r="E482" s="3" t="str">
        <f t="shared" si="37"/>
        <v>same</v>
      </c>
      <c r="F482" s="3" t="str">
        <f t="shared" si="38"/>
        <v>no</v>
      </c>
      <c r="G482" s="3" t="str">
        <f t="shared" si="39"/>
        <v>ok</v>
      </c>
    </row>
    <row r="483" spans="1:7" x14ac:dyDescent="0.25">
      <c r="A483" s="2">
        <v>481</v>
      </c>
      <c r="B483" s="2">
        <v>45</v>
      </c>
      <c r="C483" s="3">
        <f t="shared" si="35"/>
        <v>1</v>
      </c>
      <c r="D483" s="3">
        <f t="shared" si="36"/>
        <v>1</v>
      </c>
      <c r="E483" s="3" t="str">
        <f t="shared" si="37"/>
        <v>same</v>
      </c>
      <c r="F483" s="3" t="str">
        <f t="shared" si="38"/>
        <v>no</v>
      </c>
      <c r="G483" s="3" t="str">
        <f t="shared" si="39"/>
        <v>ok</v>
      </c>
    </row>
    <row r="484" spans="1:7" x14ac:dyDescent="0.25">
      <c r="A484" s="2">
        <v>482</v>
      </c>
      <c r="B484" s="2">
        <v>238</v>
      </c>
      <c r="C484" s="3">
        <f t="shared" si="35"/>
        <v>0</v>
      </c>
      <c r="D484" s="3">
        <f t="shared" si="36"/>
        <v>0</v>
      </c>
      <c r="E484" s="3" t="str">
        <f t="shared" si="37"/>
        <v>same</v>
      </c>
      <c r="F484" s="3" t="str">
        <f t="shared" si="38"/>
        <v>no</v>
      </c>
      <c r="G484" s="3" t="str">
        <f t="shared" si="39"/>
        <v>ok</v>
      </c>
    </row>
    <row r="485" spans="1:7" x14ac:dyDescent="0.25">
      <c r="A485" s="2">
        <v>483</v>
      </c>
      <c r="B485" s="2">
        <v>211</v>
      </c>
      <c r="C485" s="3">
        <f t="shared" si="35"/>
        <v>1</v>
      </c>
      <c r="D485" s="3">
        <f t="shared" si="36"/>
        <v>1</v>
      </c>
      <c r="E485" s="3" t="str">
        <f t="shared" si="37"/>
        <v>same</v>
      </c>
      <c r="F485" s="3" t="str">
        <f t="shared" si="38"/>
        <v>no</v>
      </c>
      <c r="G485" s="3" t="str">
        <f t="shared" si="39"/>
        <v>ok</v>
      </c>
    </row>
    <row r="486" spans="1:7" x14ac:dyDescent="0.25">
      <c r="A486" s="2">
        <v>484</v>
      </c>
      <c r="B486" s="2">
        <v>255</v>
      </c>
      <c r="C486" s="3">
        <f t="shared" si="35"/>
        <v>1</v>
      </c>
      <c r="D486" s="3">
        <f t="shared" si="36"/>
        <v>0</v>
      </c>
      <c r="E486" s="3" t="str">
        <f t="shared" si="37"/>
        <v>diff</v>
      </c>
      <c r="F486" s="3" t="str">
        <f t="shared" si="38"/>
        <v>YES</v>
      </c>
      <c r="G486" s="3" t="str">
        <f t="shared" si="39"/>
        <v>ok</v>
      </c>
    </row>
    <row r="487" spans="1:7" x14ac:dyDescent="0.25">
      <c r="A487" s="2">
        <v>485</v>
      </c>
      <c r="B487" s="2">
        <v>97</v>
      </c>
      <c r="C487" s="3">
        <f t="shared" si="35"/>
        <v>1</v>
      </c>
      <c r="D487" s="3">
        <f t="shared" si="36"/>
        <v>1</v>
      </c>
      <c r="E487" s="3" t="str">
        <f t="shared" si="37"/>
        <v>same</v>
      </c>
      <c r="F487" s="3" t="str">
        <f t="shared" si="38"/>
        <v>no</v>
      </c>
      <c r="G487" s="3" t="str">
        <f t="shared" si="39"/>
        <v>ok</v>
      </c>
    </row>
    <row r="488" spans="1:7" x14ac:dyDescent="0.25">
      <c r="A488" s="2">
        <v>486</v>
      </c>
      <c r="B488" s="2">
        <v>312</v>
      </c>
      <c r="C488" s="3">
        <f t="shared" si="35"/>
        <v>0</v>
      </c>
      <c r="D488" s="3">
        <f t="shared" si="36"/>
        <v>0</v>
      </c>
      <c r="E488" s="3" t="str">
        <f t="shared" si="37"/>
        <v>same</v>
      </c>
      <c r="F488" s="3" t="str">
        <f t="shared" si="38"/>
        <v>no</v>
      </c>
      <c r="G488" s="3" t="str">
        <f t="shared" si="39"/>
        <v>ok</v>
      </c>
    </row>
    <row r="489" spans="1:7" x14ac:dyDescent="0.25">
      <c r="A489" s="2">
        <v>487</v>
      </c>
      <c r="B489" s="2">
        <v>-1</v>
      </c>
      <c r="C489" s="3">
        <f t="shared" si="35"/>
        <v>1</v>
      </c>
      <c r="D489" s="3">
        <f t="shared" si="36"/>
        <v>1</v>
      </c>
      <c r="E489" s="3" t="str">
        <f t="shared" si="37"/>
        <v>same</v>
      </c>
      <c r="F489" s="3" t="str">
        <f t="shared" si="38"/>
        <v>no</v>
      </c>
      <c r="G489" s="3" t="str">
        <f t="shared" si="39"/>
        <v>ok</v>
      </c>
    </row>
    <row r="490" spans="1:7" x14ac:dyDescent="0.25">
      <c r="A490" s="2">
        <v>488</v>
      </c>
      <c r="B490" s="2">
        <v>240</v>
      </c>
      <c r="C490" s="3">
        <f t="shared" si="35"/>
        <v>0</v>
      </c>
      <c r="D490" s="3">
        <f t="shared" si="36"/>
        <v>0</v>
      </c>
      <c r="E490" s="3" t="str">
        <f t="shared" si="37"/>
        <v>same</v>
      </c>
      <c r="F490" s="3" t="str">
        <f t="shared" si="38"/>
        <v>no</v>
      </c>
      <c r="G490" s="3" t="str">
        <f t="shared" si="39"/>
        <v>ok</v>
      </c>
    </row>
    <row r="491" spans="1:7" x14ac:dyDescent="0.25">
      <c r="A491" s="2">
        <v>489</v>
      </c>
      <c r="B491" s="2">
        <v>161</v>
      </c>
      <c r="C491" s="3">
        <f t="shared" si="35"/>
        <v>1</v>
      </c>
      <c r="D491" s="3">
        <f t="shared" si="36"/>
        <v>1</v>
      </c>
      <c r="E491" s="3" t="str">
        <f t="shared" si="37"/>
        <v>same</v>
      </c>
      <c r="F491" s="3" t="str">
        <f t="shared" si="38"/>
        <v>no</v>
      </c>
      <c r="G491" s="3" t="str">
        <f t="shared" si="39"/>
        <v>ok</v>
      </c>
    </row>
    <row r="492" spans="1:7" x14ac:dyDescent="0.25">
      <c r="A492" s="2">
        <v>490</v>
      </c>
      <c r="B492" s="2">
        <v>310</v>
      </c>
      <c r="C492" s="3">
        <f t="shared" si="35"/>
        <v>0</v>
      </c>
      <c r="D492" s="3">
        <f t="shared" si="36"/>
        <v>0</v>
      </c>
      <c r="E492" s="3" t="str">
        <f t="shared" si="37"/>
        <v>same</v>
      </c>
      <c r="F492" s="3" t="str">
        <f t="shared" si="38"/>
        <v>no</v>
      </c>
      <c r="G492" s="3" t="str">
        <f t="shared" si="39"/>
        <v>ok</v>
      </c>
    </row>
    <row r="493" spans="1:7" x14ac:dyDescent="0.25">
      <c r="A493" s="2">
        <v>491</v>
      </c>
      <c r="B493" s="2">
        <v>-1</v>
      </c>
      <c r="C493" s="3">
        <f t="shared" si="35"/>
        <v>1</v>
      </c>
      <c r="D493" s="3">
        <f t="shared" si="36"/>
        <v>1</v>
      </c>
      <c r="E493" s="3" t="str">
        <f t="shared" si="37"/>
        <v>same</v>
      </c>
      <c r="F493" s="3" t="str">
        <f t="shared" si="38"/>
        <v>no</v>
      </c>
      <c r="G493" s="3" t="str">
        <f t="shared" si="39"/>
        <v>ok</v>
      </c>
    </row>
    <row r="494" spans="1:7" x14ac:dyDescent="0.25">
      <c r="A494" s="2">
        <v>492</v>
      </c>
      <c r="B494" s="2">
        <v>320</v>
      </c>
      <c r="C494" s="3">
        <f t="shared" si="35"/>
        <v>0</v>
      </c>
      <c r="D494" s="3">
        <f t="shared" si="36"/>
        <v>0</v>
      </c>
      <c r="E494" s="3" t="str">
        <f t="shared" si="37"/>
        <v>same</v>
      </c>
      <c r="F494" s="3" t="str">
        <f t="shared" si="38"/>
        <v>no</v>
      </c>
      <c r="G494" s="3" t="str">
        <f t="shared" si="39"/>
        <v>ok</v>
      </c>
    </row>
    <row r="495" spans="1:7" x14ac:dyDescent="0.25">
      <c r="A495" s="2">
        <v>493</v>
      </c>
      <c r="B495" s="2">
        <v>41</v>
      </c>
      <c r="C495" s="3">
        <f t="shared" si="35"/>
        <v>1</v>
      </c>
      <c r="D495" s="3">
        <f t="shared" si="36"/>
        <v>1</v>
      </c>
      <c r="E495" s="3" t="str">
        <f t="shared" si="37"/>
        <v>same</v>
      </c>
      <c r="F495" s="3" t="str">
        <f t="shared" si="38"/>
        <v>no</v>
      </c>
      <c r="G495" s="3" t="str">
        <f t="shared" si="39"/>
        <v>ok</v>
      </c>
    </row>
    <row r="496" spans="1:7" x14ac:dyDescent="0.25">
      <c r="A496" s="2">
        <v>494</v>
      </c>
      <c r="B496" s="2">
        <v>270</v>
      </c>
      <c r="C496" s="3">
        <f t="shared" si="35"/>
        <v>0</v>
      </c>
      <c r="D496" s="3">
        <f t="shared" si="36"/>
        <v>0</v>
      </c>
      <c r="E496" s="3" t="str">
        <f t="shared" si="37"/>
        <v>same</v>
      </c>
      <c r="F496" s="3" t="str">
        <f t="shared" si="38"/>
        <v>no</v>
      </c>
      <c r="G496" s="3" t="str">
        <f t="shared" si="39"/>
        <v>ok</v>
      </c>
    </row>
    <row r="497" spans="1:7" x14ac:dyDescent="0.25">
      <c r="A497" s="2">
        <v>495</v>
      </c>
      <c r="B497" s="2">
        <v>243</v>
      </c>
      <c r="C497" s="3">
        <f t="shared" si="35"/>
        <v>1</v>
      </c>
      <c r="D497" s="3">
        <f t="shared" si="36"/>
        <v>1</v>
      </c>
      <c r="E497" s="3" t="str">
        <f t="shared" si="37"/>
        <v>same</v>
      </c>
      <c r="F497" s="3" t="str">
        <f t="shared" si="38"/>
        <v>no</v>
      </c>
      <c r="G497" s="3" t="str">
        <f t="shared" si="39"/>
        <v>ok</v>
      </c>
    </row>
    <row r="498" spans="1:7" x14ac:dyDescent="0.25">
      <c r="A498" s="2">
        <v>496</v>
      </c>
      <c r="B498" s="2">
        <v>246</v>
      </c>
      <c r="C498" s="3">
        <f t="shared" si="35"/>
        <v>0</v>
      </c>
      <c r="D498" s="3">
        <f t="shared" si="36"/>
        <v>0</v>
      </c>
      <c r="E498" s="3" t="str">
        <f t="shared" si="37"/>
        <v>same</v>
      </c>
      <c r="F498" s="3" t="str">
        <f t="shared" si="38"/>
        <v>no</v>
      </c>
      <c r="G498" s="3" t="str">
        <f t="shared" si="39"/>
        <v>ok</v>
      </c>
    </row>
    <row r="499" spans="1:7" x14ac:dyDescent="0.25">
      <c r="A499" s="2">
        <v>497</v>
      </c>
      <c r="B499" s="2">
        <v>73</v>
      </c>
      <c r="C499" s="3">
        <f t="shared" si="35"/>
        <v>1</v>
      </c>
      <c r="D499" s="3">
        <f t="shared" si="36"/>
        <v>1</v>
      </c>
      <c r="E499" s="3" t="str">
        <f t="shared" si="37"/>
        <v>same</v>
      </c>
      <c r="F499" s="3" t="str">
        <f t="shared" si="38"/>
        <v>no</v>
      </c>
      <c r="G499" s="3" t="str">
        <f t="shared" si="39"/>
        <v>ok</v>
      </c>
    </row>
    <row r="500" spans="1:7" x14ac:dyDescent="0.25">
      <c r="A500" s="2">
        <v>498</v>
      </c>
      <c r="B500" s="2">
        <v>326</v>
      </c>
      <c r="C500" s="3">
        <f t="shared" si="35"/>
        <v>0</v>
      </c>
      <c r="D500" s="3">
        <f t="shared" si="36"/>
        <v>0</v>
      </c>
      <c r="E500" s="3" t="str">
        <f t="shared" si="37"/>
        <v>same</v>
      </c>
      <c r="F500" s="3" t="str">
        <f t="shared" si="38"/>
        <v>no</v>
      </c>
      <c r="G500" s="3" t="str">
        <f t="shared" si="39"/>
        <v>ok</v>
      </c>
    </row>
    <row r="501" spans="1:7" x14ac:dyDescent="0.25">
      <c r="A501" s="2">
        <v>499</v>
      </c>
      <c r="B501" s="2">
        <v>-1</v>
      </c>
      <c r="C501" s="3">
        <f t="shared" si="35"/>
        <v>1</v>
      </c>
      <c r="D501" s="3">
        <f t="shared" si="36"/>
        <v>1</v>
      </c>
      <c r="E501" s="3" t="str">
        <f t="shared" si="37"/>
        <v>same</v>
      </c>
      <c r="F501" s="3" t="str">
        <f t="shared" si="38"/>
        <v>no</v>
      </c>
      <c r="G501" s="3" t="str">
        <f t="shared" si="39"/>
        <v>ok</v>
      </c>
    </row>
    <row r="502" spans="1:7" x14ac:dyDescent="0.25">
      <c r="A502" s="2">
        <v>500</v>
      </c>
      <c r="B502" s="2">
        <v>288</v>
      </c>
      <c r="C502" s="3">
        <f t="shared" si="35"/>
        <v>0</v>
      </c>
      <c r="D502" s="3">
        <f t="shared" si="36"/>
        <v>0</v>
      </c>
      <c r="E502" s="3" t="str">
        <f t="shared" si="37"/>
        <v>same</v>
      </c>
      <c r="F502" s="3" t="str">
        <f t="shared" si="38"/>
        <v>no</v>
      </c>
      <c r="G502" s="3" t="str">
        <f t="shared" si="39"/>
        <v>ok</v>
      </c>
    </row>
    <row r="505" spans="1:7" x14ac:dyDescent="0.25">
      <c r="A505" s="15" t="s">
        <v>155</v>
      </c>
      <c r="B505" s="7">
        <f>COUNTIF(G5:G502,"FAIL")</f>
        <v>0</v>
      </c>
      <c r="C505" s="25" t="s">
        <v>156</v>
      </c>
    </row>
    <row r="506" spans="1:7" x14ac:dyDescent="0.25">
      <c r="A506" s="15" t="s">
        <v>157</v>
      </c>
      <c r="B506" s="9" t="str">
        <f>IF(B505=0,"PARITY THEOREM VERIFIED for n=3..500","COUNTEREXAMPLE FOUND")</f>
        <v>PARITY THEOREM VERIFIED for n=3..500</v>
      </c>
    </row>
  </sheetData>
  <mergeCells count="1">
    <mergeCell ref="A1:G1"/>
  </mergeCells>
  <conditionalFormatting sqref="G5:G502">
    <cfRule type="cellIs" dxfId="3" priority="1" operator="equal">
      <formula>"ok"</formula>
    </cfRule>
    <cfRule type="cellIs" dxfId="2" priority="2" operator="equal">
      <formula>"FAIL"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B2C2C"/>
  </sheetPr>
  <dimension ref="A1:BH130"/>
  <sheetViews>
    <sheetView tabSelected="1" workbookViewId="0">
      <selection activeCell="A2" sqref="A2:AY2"/>
    </sheetView>
  </sheetViews>
  <sheetFormatPr defaultRowHeight="15" x14ac:dyDescent="0.25"/>
  <cols>
    <col min="1" max="1" width="12" customWidth="1"/>
    <col min="2" max="51" width="4.42578125" customWidth="1"/>
  </cols>
  <sheetData>
    <row r="1" spans="1:60" ht="18" x14ac:dyDescent="0.25">
      <c r="A1" s="55">
        <v>1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/>
      <c r="AS1" s="53"/>
      <c r="AT1" s="53"/>
      <c r="AU1" s="53"/>
      <c r="AV1" s="53"/>
      <c r="AW1" s="53"/>
      <c r="AX1" s="53"/>
      <c r="AY1" s="53"/>
      <c r="AZ1">
        <v>0</v>
      </c>
      <c r="BA1">
        <v>1</v>
      </c>
      <c r="BB1">
        <v>0</v>
      </c>
      <c r="BC1">
        <v>1</v>
      </c>
      <c r="BD1">
        <v>0</v>
      </c>
      <c r="BE1">
        <v>1</v>
      </c>
      <c r="BF1">
        <v>0</v>
      </c>
      <c r="BG1">
        <v>1</v>
      </c>
      <c r="BH1">
        <v>0</v>
      </c>
    </row>
    <row r="2" spans="1:60" x14ac:dyDescent="0.25">
      <c r="A2" s="54" t="s">
        <v>158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3"/>
      <c r="AO2" s="53"/>
      <c r="AP2" s="53"/>
      <c r="AQ2" s="53"/>
      <c r="AR2" s="53"/>
      <c r="AS2" s="53"/>
      <c r="AT2" s="53"/>
      <c r="AU2" s="53"/>
      <c r="AV2" s="53"/>
      <c r="AW2" s="53"/>
      <c r="AX2" s="53"/>
      <c r="AY2" s="53"/>
    </row>
    <row r="3" spans="1:60" ht="18.75" x14ac:dyDescent="0.3">
      <c r="A3" s="32" t="s">
        <v>159</v>
      </c>
      <c r="B3" s="33" t="e">
        <f ca="1">B3+1</f>
        <v>#VALUE!</v>
      </c>
      <c r="C3" s="34" t="s">
        <v>160</v>
      </c>
      <c r="E3" s="35" t="str">
        <f ca="1">COUNTIF(B7:AY7,"&gt;"&amp;0.5)&amp;"/50"</f>
        <v>0/50</v>
      </c>
      <c r="F3" s="34" t="s">
        <v>161</v>
      </c>
      <c r="H3" s="35" t="e">
        <f ca="1">ROUND(AVERAGE(B7:AY7),3)</f>
        <v>#VALUE!</v>
      </c>
    </row>
    <row r="5" spans="1:60" x14ac:dyDescent="0.25">
      <c r="A5" s="16" t="s">
        <v>162</v>
      </c>
      <c r="B5" s="36">
        <v>0</v>
      </c>
      <c r="C5" s="36">
        <v>0</v>
      </c>
      <c r="D5" s="36">
        <v>0</v>
      </c>
      <c r="E5" s="36">
        <v>0</v>
      </c>
      <c r="F5" s="36">
        <v>0</v>
      </c>
      <c r="G5" s="36">
        <v>0</v>
      </c>
      <c r="H5" s="36">
        <v>0</v>
      </c>
      <c r="I5" s="36">
        <v>0</v>
      </c>
      <c r="J5" s="36">
        <v>0</v>
      </c>
      <c r="K5" s="36">
        <v>0</v>
      </c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  <c r="AO5" s="37"/>
      <c r="AP5" s="37"/>
      <c r="AQ5" s="37"/>
      <c r="AR5" s="37"/>
      <c r="AS5" s="37"/>
      <c r="AT5" s="37"/>
      <c r="AU5" s="37"/>
      <c r="AV5" s="37"/>
      <c r="AW5" s="37"/>
      <c r="AX5" s="37"/>
      <c r="AY5" s="37"/>
    </row>
    <row r="7" spans="1:60" x14ac:dyDescent="0.25">
      <c r="A7" s="32" t="s">
        <v>163</v>
      </c>
      <c r="B7" s="38">
        <f t="shared" ref="B7:K7" si="0">B5</f>
        <v>0</v>
      </c>
      <c r="C7" s="38">
        <f t="shared" si="0"/>
        <v>0</v>
      </c>
      <c r="D7" s="38">
        <f t="shared" si="0"/>
        <v>0</v>
      </c>
      <c r="E7" s="38">
        <f t="shared" si="0"/>
        <v>0</v>
      </c>
      <c r="F7" s="38">
        <f t="shared" si="0"/>
        <v>0</v>
      </c>
      <c r="G7" s="38">
        <f t="shared" si="0"/>
        <v>0</v>
      </c>
      <c r="H7" s="38">
        <f t="shared" si="0"/>
        <v>0</v>
      </c>
      <c r="I7" s="38">
        <f t="shared" si="0"/>
        <v>0</v>
      </c>
      <c r="J7" s="38">
        <f t="shared" si="0"/>
        <v>0</v>
      </c>
      <c r="K7" s="38">
        <f t="shared" si="0"/>
        <v>0</v>
      </c>
      <c r="L7" s="39" t="e">
        <f t="shared" ref="L7:AY7" ca="1" si="1">1/(1+EXP(-L8*SUMPRODUCT(L$15:L$64,$B$7:$AY$7,$B$10:$AY$10)))</f>
        <v>#VALUE!</v>
      </c>
      <c r="M7" s="39" t="e">
        <f t="shared" ca="1" si="1"/>
        <v>#VALUE!</v>
      </c>
      <c r="N7" s="39" t="e">
        <f t="shared" ca="1" si="1"/>
        <v>#VALUE!</v>
      </c>
      <c r="O7" s="39" t="e">
        <f t="shared" ca="1" si="1"/>
        <v>#VALUE!</v>
      </c>
      <c r="P7" s="39" t="e">
        <f t="shared" ca="1" si="1"/>
        <v>#VALUE!</v>
      </c>
      <c r="Q7" s="39" t="e">
        <f t="shared" ca="1" si="1"/>
        <v>#VALUE!</v>
      </c>
      <c r="R7" s="39" t="e">
        <f t="shared" ca="1" si="1"/>
        <v>#VALUE!</v>
      </c>
      <c r="S7" s="39" t="e">
        <f t="shared" ca="1" si="1"/>
        <v>#VALUE!</v>
      </c>
      <c r="T7" s="39" t="e">
        <f t="shared" ca="1" si="1"/>
        <v>#VALUE!</v>
      </c>
      <c r="U7" s="39" t="e">
        <f t="shared" ca="1" si="1"/>
        <v>#VALUE!</v>
      </c>
      <c r="V7" s="39" t="e">
        <f t="shared" ca="1" si="1"/>
        <v>#VALUE!</v>
      </c>
      <c r="W7" s="39" t="e">
        <f t="shared" ca="1" si="1"/>
        <v>#VALUE!</v>
      </c>
      <c r="X7" s="39" t="e">
        <f t="shared" ca="1" si="1"/>
        <v>#VALUE!</v>
      </c>
      <c r="Y7" s="39" t="e">
        <f t="shared" ca="1" si="1"/>
        <v>#VALUE!</v>
      </c>
      <c r="Z7" s="39" t="e">
        <f t="shared" ca="1" si="1"/>
        <v>#VALUE!</v>
      </c>
      <c r="AA7" s="39" t="e">
        <f t="shared" ca="1" si="1"/>
        <v>#VALUE!</v>
      </c>
      <c r="AB7" s="39" t="e">
        <f t="shared" ca="1" si="1"/>
        <v>#VALUE!</v>
      </c>
      <c r="AC7" s="39" t="e">
        <f t="shared" ca="1" si="1"/>
        <v>#VALUE!</v>
      </c>
      <c r="AD7" s="39" t="e">
        <f t="shared" ca="1" si="1"/>
        <v>#VALUE!</v>
      </c>
      <c r="AE7" s="39" t="e">
        <f t="shared" ca="1" si="1"/>
        <v>#VALUE!</v>
      </c>
      <c r="AF7" s="39" t="e">
        <f t="shared" ca="1" si="1"/>
        <v>#VALUE!</v>
      </c>
      <c r="AG7" s="39" t="e">
        <f t="shared" ca="1" si="1"/>
        <v>#VALUE!</v>
      </c>
      <c r="AH7" s="39" t="e">
        <f t="shared" ca="1" si="1"/>
        <v>#VALUE!</v>
      </c>
      <c r="AI7" s="39" t="e">
        <f t="shared" ca="1" si="1"/>
        <v>#VALUE!</v>
      </c>
      <c r="AJ7" s="39" t="e">
        <f t="shared" ca="1" si="1"/>
        <v>#VALUE!</v>
      </c>
      <c r="AK7" s="39" t="e">
        <f t="shared" ca="1" si="1"/>
        <v>#VALUE!</v>
      </c>
      <c r="AL7" s="39" t="e">
        <f t="shared" ca="1" si="1"/>
        <v>#VALUE!</v>
      </c>
      <c r="AM7" s="39" t="e">
        <f t="shared" ca="1" si="1"/>
        <v>#VALUE!</v>
      </c>
      <c r="AN7" s="39" t="e">
        <f t="shared" ca="1" si="1"/>
        <v>#VALUE!</v>
      </c>
      <c r="AO7" s="39" t="e">
        <f t="shared" ca="1" si="1"/>
        <v>#VALUE!</v>
      </c>
      <c r="AP7" s="39" t="e">
        <f t="shared" ca="1" si="1"/>
        <v>#VALUE!</v>
      </c>
      <c r="AQ7" s="39" t="e">
        <f t="shared" ca="1" si="1"/>
        <v>#VALUE!</v>
      </c>
      <c r="AR7" s="39" t="e">
        <f t="shared" ca="1" si="1"/>
        <v>#VALUE!</v>
      </c>
      <c r="AS7" s="39" t="e">
        <f t="shared" ca="1" si="1"/>
        <v>#VALUE!</v>
      </c>
      <c r="AT7" s="39" t="e">
        <f t="shared" ca="1" si="1"/>
        <v>#VALUE!</v>
      </c>
      <c r="AU7" s="39" t="e">
        <f t="shared" ca="1" si="1"/>
        <v>#VALUE!</v>
      </c>
      <c r="AV7" s="39" t="e">
        <f t="shared" ca="1" si="1"/>
        <v>#VALUE!</v>
      </c>
      <c r="AW7" s="39" t="e">
        <f t="shared" ca="1" si="1"/>
        <v>#VALUE!</v>
      </c>
      <c r="AX7" s="39" t="e">
        <f t="shared" ca="1" si="1"/>
        <v>#VALUE!</v>
      </c>
      <c r="AY7" s="39" t="e">
        <f t="shared" ca="1" si="1"/>
        <v>#VALUE!</v>
      </c>
    </row>
    <row r="8" spans="1:60" x14ac:dyDescent="0.25">
      <c r="A8" s="32" t="s">
        <v>164</v>
      </c>
      <c r="B8" s="40">
        <v>1</v>
      </c>
      <c r="C8" s="40">
        <v>1</v>
      </c>
      <c r="D8" s="40">
        <v>1</v>
      </c>
      <c r="E8" s="40">
        <v>1</v>
      </c>
      <c r="F8" s="40">
        <v>1</v>
      </c>
      <c r="G8" s="40">
        <v>1</v>
      </c>
      <c r="H8" s="40">
        <v>1</v>
      </c>
      <c r="I8" s="40">
        <v>1</v>
      </c>
      <c r="J8" s="40">
        <v>1</v>
      </c>
      <c r="K8" s="40">
        <v>1</v>
      </c>
      <c r="L8" s="41" t="e">
        <f t="shared" ref="L8:AY8" ca="1" si="2">MAX(0.1,MIN(5,L8+0.02*(0.3-L9)))</f>
        <v>#VALUE!</v>
      </c>
      <c r="M8" s="41" t="e">
        <f t="shared" ca="1" si="2"/>
        <v>#VALUE!</v>
      </c>
      <c r="N8" s="41" t="e">
        <f t="shared" ca="1" si="2"/>
        <v>#VALUE!</v>
      </c>
      <c r="O8" s="41" t="e">
        <f t="shared" ca="1" si="2"/>
        <v>#VALUE!</v>
      </c>
      <c r="P8" s="41" t="e">
        <f t="shared" ca="1" si="2"/>
        <v>#VALUE!</v>
      </c>
      <c r="Q8" s="41" t="e">
        <f t="shared" ca="1" si="2"/>
        <v>#VALUE!</v>
      </c>
      <c r="R8" s="41" t="e">
        <f t="shared" ca="1" si="2"/>
        <v>#VALUE!</v>
      </c>
      <c r="S8" s="41" t="e">
        <f t="shared" ca="1" si="2"/>
        <v>#VALUE!</v>
      </c>
      <c r="T8" s="41" t="e">
        <f t="shared" ca="1" si="2"/>
        <v>#VALUE!</v>
      </c>
      <c r="U8" s="41" t="e">
        <f t="shared" ca="1" si="2"/>
        <v>#VALUE!</v>
      </c>
      <c r="V8" s="41" t="e">
        <f t="shared" ca="1" si="2"/>
        <v>#VALUE!</v>
      </c>
      <c r="W8" s="41" t="e">
        <f t="shared" ca="1" si="2"/>
        <v>#VALUE!</v>
      </c>
      <c r="X8" s="41" t="e">
        <f t="shared" ca="1" si="2"/>
        <v>#VALUE!</v>
      </c>
      <c r="Y8" s="41" t="e">
        <f t="shared" ca="1" si="2"/>
        <v>#VALUE!</v>
      </c>
      <c r="Z8" s="41" t="e">
        <f t="shared" ca="1" si="2"/>
        <v>#VALUE!</v>
      </c>
      <c r="AA8" s="41" t="e">
        <f t="shared" ca="1" si="2"/>
        <v>#VALUE!</v>
      </c>
      <c r="AB8" s="41" t="e">
        <f t="shared" ca="1" si="2"/>
        <v>#VALUE!</v>
      </c>
      <c r="AC8" s="41" t="e">
        <f t="shared" ca="1" si="2"/>
        <v>#VALUE!</v>
      </c>
      <c r="AD8" s="41" t="e">
        <f t="shared" ca="1" si="2"/>
        <v>#VALUE!</v>
      </c>
      <c r="AE8" s="41" t="e">
        <f t="shared" ca="1" si="2"/>
        <v>#VALUE!</v>
      </c>
      <c r="AF8" s="41" t="e">
        <f t="shared" ca="1" si="2"/>
        <v>#VALUE!</v>
      </c>
      <c r="AG8" s="41" t="e">
        <f t="shared" ca="1" si="2"/>
        <v>#VALUE!</v>
      </c>
      <c r="AH8" s="41" t="e">
        <f t="shared" ca="1" si="2"/>
        <v>#VALUE!</v>
      </c>
      <c r="AI8" s="41" t="e">
        <f t="shared" ca="1" si="2"/>
        <v>#VALUE!</v>
      </c>
      <c r="AJ8" s="41" t="e">
        <f t="shared" ca="1" si="2"/>
        <v>#VALUE!</v>
      </c>
      <c r="AK8" s="41" t="e">
        <f t="shared" ca="1" si="2"/>
        <v>#VALUE!</v>
      </c>
      <c r="AL8" s="41" t="e">
        <f t="shared" ca="1" si="2"/>
        <v>#VALUE!</v>
      </c>
      <c r="AM8" s="41" t="e">
        <f t="shared" ca="1" si="2"/>
        <v>#VALUE!</v>
      </c>
      <c r="AN8" s="41" t="e">
        <f t="shared" ca="1" si="2"/>
        <v>#VALUE!</v>
      </c>
      <c r="AO8" s="41" t="e">
        <f t="shared" ca="1" si="2"/>
        <v>#VALUE!</v>
      </c>
      <c r="AP8" s="41" t="e">
        <f t="shared" ca="1" si="2"/>
        <v>#VALUE!</v>
      </c>
      <c r="AQ8" s="41" t="e">
        <f t="shared" ca="1" si="2"/>
        <v>#VALUE!</v>
      </c>
      <c r="AR8" s="41" t="e">
        <f t="shared" ca="1" si="2"/>
        <v>#VALUE!</v>
      </c>
      <c r="AS8" s="41" t="e">
        <f t="shared" ca="1" si="2"/>
        <v>#VALUE!</v>
      </c>
      <c r="AT8" s="41" t="e">
        <f t="shared" ca="1" si="2"/>
        <v>#VALUE!</v>
      </c>
      <c r="AU8" s="41" t="e">
        <f t="shared" ca="1" si="2"/>
        <v>#VALUE!</v>
      </c>
      <c r="AV8" s="41" t="e">
        <f t="shared" ca="1" si="2"/>
        <v>#VALUE!</v>
      </c>
      <c r="AW8" s="41" t="e">
        <f t="shared" ca="1" si="2"/>
        <v>#VALUE!</v>
      </c>
      <c r="AX8" s="41" t="e">
        <f t="shared" ca="1" si="2"/>
        <v>#VALUE!</v>
      </c>
      <c r="AY8" s="41" t="e">
        <f t="shared" ca="1" si="2"/>
        <v>#VALUE!</v>
      </c>
    </row>
    <row r="9" spans="1:60" x14ac:dyDescent="0.25">
      <c r="A9" s="32" t="s">
        <v>165</v>
      </c>
      <c r="B9" s="42" t="e">
        <f t="shared" ref="B9:AG9" ca="1" si="3">0.9*B9+0.0999999999999999*B7</f>
        <v>#VALUE!</v>
      </c>
      <c r="C9" s="42" t="e">
        <f t="shared" ca="1" si="3"/>
        <v>#VALUE!</v>
      </c>
      <c r="D9" s="42" t="e">
        <f t="shared" ca="1" si="3"/>
        <v>#VALUE!</v>
      </c>
      <c r="E9" s="42" t="e">
        <f t="shared" ca="1" si="3"/>
        <v>#VALUE!</v>
      </c>
      <c r="F9" s="42" t="e">
        <f t="shared" ca="1" si="3"/>
        <v>#VALUE!</v>
      </c>
      <c r="G9" s="42" t="e">
        <f t="shared" ca="1" si="3"/>
        <v>#VALUE!</v>
      </c>
      <c r="H9" s="42" t="e">
        <f t="shared" ca="1" si="3"/>
        <v>#VALUE!</v>
      </c>
      <c r="I9" s="42" t="e">
        <f t="shared" ca="1" si="3"/>
        <v>#VALUE!</v>
      </c>
      <c r="J9" s="42" t="e">
        <f t="shared" ca="1" si="3"/>
        <v>#VALUE!</v>
      </c>
      <c r="K9" s="42" t="e">
        <f t="shared" ca="1" si="3"/>
        <v>#VALUE!</v>
      </c>
      <c r="L9" s="42" t="e">
        <f t="shared" ca="1" si="3"/>
        <v>#VALUE!</v>
      </c>
      <c r="M9" s="42" t="e">
        <f t="shared" ca="1" si="3"/>
        <v>#VALUE!</v>
      </c>
      <c r="N9" s="42" t="e">
        <f t="shared" ca="1" si="3"/>
        <v>#VALUE!</v>
      </c>
      <c r="O9" s="42" t="e">
        <f t="shared" ca="1" si="3"/>
        <v>#VALUE!</v>
      </c>
      <c r="P9" s="42" t="e">
        <f t="shared" ca="1" si="3"/>
        <v>#VALUE!</v>
      </c>
      <c r="Q9" s="42" t="e">
        <f t="shared" ca="1" si="3"/>
        <v>#VALUE!</v>
      </c>
      <c r="R9" s="42" t="e">
        <f t="shared" ca="1" si="3"/>
        <v>#VALUE!</v>
      </c>
      <c r="S9" s="42" t="e">
        <f t="shared" ca="1" si="3"/>
        <v>#VALUE!</v>
      </c>
      <c r="T9" s="42" t="e">
        <f t="shared" ca="1" si="3"/>
        <v>#VALUE!</v>
      </c>
      <c r="U9" s="42" t="e">
        <f t="shared" ca="1" si="3"/>
        <v>#VALUE!</v>
      </c>
      <c r="V9" s="42" t="e">
        <f t="shared" ca="1" si="3"/>
        <v>#VALUE!</v>
      </c>
      <c r="W9" s="42" t="e">
        <f t="shared" ca="1" si="3"/>
        <v>#VALUE!</v>
      </c>
      <c r="X9" s="42" t="e">
        <f t="shared" ca="1" si="3"/>
        <v>#VALUE!</v>
      </c>
      <c r="Y9" s="42" t="e">
        <f t="shared" ca="1" si="3"/>
        <v>#VALUE!</v>
      </c>
      <c r="Z9" s="42" t="e">
        <f t="shared" ca="1" si="3"/>
        <v>#VALUE!</v>
      </c>
      <c r="AA9" s="42" t="e">
        <f t="shared" ca="1" si="3"/>
        <v>#VALUE!</v>
      </c>
      <c r="AB9" s="42" t="e">
        <f t="shared" ca="1" si="3"/>
        <v>#VALUE!</v>
      </c>
      <c r="AC9" s="42" t="e">
        <f t="shared" ca="1" si="3"/>
        <v>#VALUE!</v>
      </c>
      <c r="AD9" s="42" t="e">
        <f t="shared" ca="1" si="3"/>
        <v>#VALUE!</v>
      </c>
      <c r="AE9" s="42" t="e">
        <f t="shared" ca="1" si="3"/>
        <v>#VALUE!</v>
      </c>
      <c r="AF9" s="42" t="e">
        <f t="shared" ca="1" si="3"/>
        <v>#VALUE!</v>
      </c>
      <c r="AG9" s="42" t="e">
        <f t="shared" ca="1" si="3"/>
        <v>#VALUE!</v>
      </c>
      <c r="AH9" s="42" t="e">
        <f t="shared" ref="AH9:AY9" ca="1" si="4">0.9*AH9+0.0999999999999999*AH7</f>
        <v>#VALUE!</v>
      </c>
      <c r="AI9" s="42" t="e">
        <f t="shared" ca="1" si="4"/>
        <v>#VALUE!</v>
      </c>
      <c r="AJ9" s="42" t="e">
        <f t="shared" ca="1" si="4"/>
        <v>#VALUE!</v>
      </c>
      <c r="AK9" s="42" t="e">
        <f t="shared" ca="1" si="4"/>
        <v>#VALUE!</v>
      </c>
      <c r="AL9" s="42" t="e">
        <f t="shared" ca="1" si="4"/>
        <v>#VALUE!</v>
      </c>
      <c r="AM9" s="42" t="e">
        <f t="shared" ca="1" si="4"/>
        <v>#VALUE!</v>
      </c>
      <c r="AN9" s="42" t="e">
        <f t="shared" ca="1" si="4"/>
        <v>#VALUE!</v>
      </c>
      <c r="AO9" s="42" t="e">
        <f t="shared" ca="1" si="4"/>
        <v>#VALUE!</v>
      </c>
      <c r="AP9" s="42" t="e">
        <f t="shared" ca="1" si="4"/>
        <v>#VALUE!</v>
      </c>
      <c r="AQ9" s="42" t="e">
        <f t="shared" ca="1" si="4"/>
        <v>#VALUE!</v>
      </c>
      <c r="AR9" s="42" t="e">
        <f t="shared" ca="1" si="4"/>
        <v>#VALUE!</v>
      </c>
      <c r="AS9" s="42" t="e">
        <f t="shared" ca="1" si="4"/>
        <v>#VALUE!</v>
      </c>
      <c r="AT9" s="42" t="e">
        <f t="shared" ca="1" si="4"/>
        <v>#VALUE!</v>
      </c>
      <c r="AU9" s="42" t="e">
        <f t="shared" ca="1" si="4"/>
        <v>#VALUE!</v>
      </c>
      <c r="AV9" s="42" t="e">
        <f t="shared" ca="1" si="4"/>
        <v>#VALUE!</v>
      </c>
      <c r="AW9" s="42" t="e">
        <f t="shared" ca="1" si="4"/>
        <v>#VALUE!</v>
      </c>
      <c r="AX9" s="42" t="e">
        <f t="shared" ca="1" si="4"/>
        <v>#VALUE!</v>
      </c>
      <c r="AY9" s="42" t="e">
        <f t="shared" ca="1" si="4"/>
        <v>#VALUE!</v>
      </c>
    </row>
    <row r="10" spans="1:60" x14ac:dyDescent="0.25">
      <c r="A10" s="32" t="s">
        <v>166</v>
      </c>
      <c r="B10" s="43">
        <v>1</v>
      </c>
      <c r="C10" s="43">
        <v>1</v>
      </c>
      <c r="D10" s="43">
        <v>1</v>
      </c>
      <c r="E10" s="43">
        <v>1</v>
      </c>
      <c r="F10" s="43">
        <v>1</v>
      </c>
      <c r="G10" s="43">
        <v>1</v>
      </c>
      <c r="H10" s="43">
        <v>1</v>
      </c>
      <c r="I10" s="43">
        <v>1</v>
      </c>
      <c r="J10" s="43">
        <v>1</v>
      </c>
      <c r="K10" s="43">
        <v>1</v>
      </c>
      <c r="L10" s="43">
        <v>1</v>
      </c>
      <c r="M10" s="43">
        <v>1</v>
      </c>
      <c r="N10" s="43">
        <v>1</v>
      </c>
      <c r="O10" s="43">
        <v>1</v>
      </c>
      <c r="P10" s="44">
        <v>-1</v>
      </c>
      <c r="Q10" s="43">
        <v>1</v>
      </c>
      <c r="R10" s="43">
        <v>1</v>
      </c>
      <c r="S10" s="43">
        <v>1</v>
      </c>
      <c r="T10" s="44">
        <v>-1</v>
      </c>
      <c r="U10" s="43">
        <v>1</v>
      </c>
      <c r="V10" s="43">
        <v>1</v>
      </c>
      <c r="W10" s="43">
        <v>1</v>
      </c>
      <c r="X10" s="44">
        <v>-1</v>
      </c>
      <c r="Y10" s="43">
        <v>1</v>
      </c>
      <c r="Z10" s="44">
        <v>-1</v>
      </c>
      <c r="AA10" s="43">
        <v>1</v>
      </c>
      <c r="AB10" s="43">
        <v>1</v>
      </c>
      <c r="AC10" s="43">
        <v>1</v>
      </c>
      <c r="AD10" s="44">
        <v>-1</v>
      </c>
      <c r="AE10" s="43">
        <v>1</v>
      </c>
      <c r="AF10" s="44">
        <v>-1</v>
      </c>
      <c r="AG10" s="43">
        <v>1</v>
      </c>
      <c r="AH10" s="43">
        <v>1</v>
      </c>
      <c r="AI10" s="43">
        <v>1</v>
      </c>
      <c r="AJ10" s="44">
        <v>-1</v>
      </c>
      <c r="AK10" s="44">
        <v>-1</v>
      </c>
      <c r="AL10" s="43">
        <v>1</v>
      </c>
      <c r="AM10" s="43">
        <v>1</v>
      </c>
      <c r="AN10" s="43">
        <v>1</v>
      </c>
      <c r="AO10" s="43">
        <v>1</v>
      </c>
      <c r="AP10" s="43">
        <v>1</v>
      </c>
      <c r="AQ10" s="43">
        <v>1</v>
      </c>
      <c r="AR10" s="43">
        <v>1</v>
      </c>
      <c r="AS10" s="43">
        <v>1</v>
      </c>
      <c r="AT10" s="43">
        <v>1</v>
      </c>
      <c r="AU10" s="43">
        <v>1</v>
      </c>
      <c r="AV10" s="43">
        <v>1</v>
      </c>
      <c r="AW10" s="43">
        <v>1</v>
      </c>
      <c r="AX10" s="43">
        <v>1</v>
      </c>
      <c r="AY10" s="43">
        <v>1</v>
      </c>
    </row>
    <row r="11" spans="1:60" x14ac:dyDescent="0.25">
      <c r="A11" s="32" t="s">
        <v>167</v>
      </c>
      <c r="B11" s="45" t="s">
        <v>168</v>
      </c>
      <c r="C11" s="45" t="s">
        <v>169</v>
      </c>
      <c r="D11" s="45" t="s">
        <v>170</v>
      </c>
      <c r="E11" s="45" t="s">
        <v>171</v>
      </c>
      <c r="F11" s="45" t="s">
        <v>172</v>
      </c>
      <c r="G11" s="45" t="s">
        <v>173</v>
      </c>
      <c r="H11" s="45" t="s">
        <v>174</v>
      </c>
      <c r="I11" s="45" t="s">
        <v>175</v>
      </c>
      <c r="J11" s="45" t="s">
        <v>176</v>
      </c>
      <c r="K11" s="45" t="s">
        <v>177</v>
      </c>
      <c r="L11" s="45" t="s">
        <v>178</v>
      </c>
      <c r="M11" s="45" t="s">
        <v>179</v>
      </c>
      <c r="N11" s="45" t="s">
        <v>180</v>
      </c>
      <c r="O11" s="45" t="s">
        <v>181</v>
      </c>
      <c r="P11" s="45" t="s">
        <v>182</v>
      </c>
      <c r="Q11" s="45" t="s">
        <v>183</v>
      </c>
      <c r="R11" s="45" t="s">
        <v>184</v>
      </c>
      <c r="S11" s="45" t="s">
        <v>185</v>
      </c>
      <c r="T11" s="45" t="s">
        <v>186</v>
      </c>
      <c r="U11" s="45" t="s">
        <v>187</v>
      </c>
      <c r="V11" s="45" t="s">
        <v>188</v>
      </c>
      <c r="W11" s="45" t="s">
        <v>189</v>
      </c>
      <c r="X11" s="45" t="s">
        <v>190</v>
      </c>
      <c r="Y11" s="45" t="s">
        <v>191</v>
      </c>
      <c r="Z11" s="45" t="s">
        <v>192</v>
      </c>
      <c r="AA11" s="45" t="s">
        <v>193</v>
      </c>
      <c r="AB11" s="45" t="s">
        <v>194</v>
      </c>
      <c r="AC11" s="45" t="s">
        <v>195</v>
      </c>
      <c r="AD11" s="45" t="s">
        <v>196</v>
      </c>
      <c r="AE11" s="45" t="s">
        <v>197</v>
      </c>
      <c r="AF11" s="45" t="s">
        <v>198</v>
      </c>
      <c r="AG11" s="45" t="s">
        <v>199</v>
      </c>
      <c r="AH11" s="45" t="s">
        <v>200</v>
      </c>
      <c r="AI11" s="45" t="s">
        <v>201</v>
      </c>
      <c r="AJ11" s="45" t="s">
        <v>202</v>
      </c>
      <c r="AK11" s="45" t="s">
        <v>203</v>
      </c>
      <c r="AL11" s="45" t="s">
        <v>204</v>
      </c>
      <c r="AM11" s="45" t="s">
        <v>205</v>
      </c>
      <c r="AN11" s="45" t="s">
        <v>206</v>
      </c>
      <c r="AO11" s="45" t="s">
        <v>207</v>
      </c>
      <c r="AP11" s="45" t="s">
        <v>208</v>
      </c>
      <c r="AQ11" s="45" t="s">
        <v>209</v>
      </c>
      <c r="AR11" s="45" t="s">
        <v>210</v>
      </c>
      <c r="AS11" s="45" t="s">
        <v>211</v>
      </c>
      <c r="AT11" s="45" t="s">
        <v>212</v>
      </c>
      <c r="AU11" s="45" t="s">
        <v>213</v>
      </c>
      <c r="AV11" s="45" t="s">
        <v>214</v>
      </c>
      <c r="AW11" s="45" t="s">
        <v>215</v>
      </c>
      <c r="AX11" s="45" t="s">
        <v>216</v>
      </c>
      <c r="AY11" s="45" t="s">
        <v>217</v>
      </c>
    </row>
    <row r="13" spans="1:60" x14ac:dyDescent="0.25">
      <c r="A13" s="32" t="s">
        <v>218</v>
      </c>
    </row>
    <row r="14" spans="1:60" x14ac:dyDescent="0.25">
      <c r="B14" s="45" t="s">
        <v>168</v>
      </c>
      <c r="C14" s="45" t="s">
        <v>169</v>
      </c>
      <c r="D14" s="45" t="s">
        <v>170</v>
      </c>
      <c r="E14" s="45" t="s">
        <v>171</v>
      </c>
      <c r="F14" s="45" t="s">
        <v>172</v>
      </c>
      <c r="G14" s="45" t="s">
        <v>173</v>
      </c>
      <c r="H14" s="45" t="s">
        <v>174</v>
      </c>
      <c r="I14" s="45" t="s">
        <v>175</v>
      </c>
      <c r="J14" s="45" t="s">
        <v>176</v>
      </c>
      <c r="K14" s="45" t="s">
        <v>177</v>
      </c>
      <c r="L14" s="45" t="s">
        <v>178</v>
      </c>
      <c r="M14" s="45" t="s">
        <v>179</v>
      </c>
      <c r="N14" s="45" t="s">
        <v>180</v>
      </c>
      <c r="O14" s="45" t="s">
        <v>181</v>
      </c>
      <c r="P14" s="45" t="s">
        <v>182</v>
      </c>
      <c r="Q14" s="45" t="s">
        <v>183</v>
      </c>
      <c r="R14" s="45" t="s">
        <v>184</v>
      </c>
      <c r="S14" s="45" t="s">
        <v>185</v>
      </c>
      <c r="T14" s="45" t="s">
        <v>186</v>
      </c>
      <c r="U14" s="45" t="s">
        <v>187</v>
      </c>
      <c r="V14" s="45" t="s">
        <v>188</v>
      </c>
      <c r="W14" s="45" t="s">
        <v>189</v>
      </c>
      <c r="X14" s="45" t="s">
        <v>190</v>
      </c>
      <c r="Y14" s="45" t="s">
        <v>191</v>
      </c>
      <c r="Z14" s="45" t="s">
        <v>192</v>
      </c>
      <c r="AA14" s="45" t="s">
        <v>193</v>
      </c>
      <c r="AB14" s="45" t="s">
        <v>194</v>
      </c>
      <c r="AC14" s="45" t="s">
        <v>195</v>
      </c>
      <c r="AD14" s="45" t="s">
        <v>196</v>
      </c>
      <c r="AE14" s="45" t="s">
        <v>197</v>
      </c>
      <c r="AF14" s="45" t="s">
        <v>198</v>
      </c>
      <c r="AG14" s="45" t="s">
        <v>199</v>
      </c>
      <c r="AH14" s="45" t="s">
        <v>200</v>
      </c>
      <c r="AI14" s="45" t="s">
        <v>201</v>
      </c>
      <c r="AJ14" s="45" t="s">
        <v>202</v>
      </c>
      <c r="AK14" s="45" t="s">
        <v>203</v>
      </c>
      <c r="AL14" s="45" t="s">
        <v>204</v>
      </c>
      <c r="AM14" s="45" t="s">
        <v>205</v>
      </c>
      <c r="AN14" s="45" t="s">
        <v>206</v>
      </c>
      <c r="AO14" s="45" t="s">
        <v>207</v>
      </c>
      <c r="AP14" s="45" t="s">
        <v>208</v>
      </c>
      <c r="AQ14" s="45" t="s">
        <v>209</v>
      </c>
      <c r="AR14" s="45" t="s">
        <v>210</v>
      </c>
      <c r="AS14" s="45" t="s">
        <v>211</v>
      </c>
      <c r="AT14" s="45" t="s">
        <v>212</v>
      </c>
      <c r="AU14" s="45" t="s">
        <v>213</v>
      </c>
      <c r="AV14" s="45" t="s">
        <v>214</v>
      </c>
      <c r="AW14" s="45" t="s">
        <v>215</v>
      </c>
      <c r="AX14" s="45" t="s">
        <v>216</v>
      </c>
      <c r="AY14" s="45" t="s">
        <v>217</v>
      </c>
    </row>
    <row r="15" spans="1:60" x14ac:dyDescent="0.25">
      <c r="A15" s="45" t="s">
        <v>168</v>
      </c>
      <c r="B15" s="46">
        <v>0</v>
      </c>
      <c r="C15" s="46">
        <v>0</v>
      </c>
      <c r="D15" s="46">
        <v>0</v>
      </c>
      <c r="E15" s="46">
        <v>0</v>
      </c>
      <c r="F15" s="46">
        <v>0</v>
      </c>
      <c r="G15" s="46">
        <v>0</v>
      </c>
      <c r="H15" s="46">
        <v>0</v>
      </c>
      <c r="I15" s="46">
        <v>0</v>
      </c>
      <c r="J15" s="46">
        <v>0</v>
      </c>
      <c r="K15" s="46">
        <v>0</v>
      </c>
      <c r="L15" s="47">
        <v>0.9</v>
      </c>
      <c r="M15" s="46">
        <v>0</v>
      </c>
      <c r="N15" s="46">
        <v>0</v>
      </c>
      <c r="O15" s="46">
        <v>0</v>
      </c>
      <c r="P15" s="48">
        <v>-0.66</v>
      </c>
      <c r="Q15" s="46">
        <v>0</v>
      </c>
      <c r="R15" s="47">
        <v>0.4</v>
      </c>
      <c r="S15" s="48">
        <v>-0.19</v>
      </c>
      <c r="T15" s="46">
        <v>0</v>
      </c>
      <c r="U15" s="46">
        <v>0</v>
      </c>
      <c r="V15" s="46">
        <v>0</v>
      </c>
      <c r="W15" s="47">
        <v>0.43</v>
      </c>
      <c r="X15" s="46">
        <v>0</v>
      </c>
      <c r="Y15" s="46">
        <v>0</v>
      </c>
      <c r="Z15" s="46">
        <v>0</v>
      </c>
      <c r="AA15" s="46">
        <v>0</v>
      </c>
      <c r="AB15" s="46">
        <v>0</v>
      </c>
      <c r="AC15" s="47">
        <v>0.25</v>
      </c>
      <c r="AD15" s="46">
        <v>0</v>
      </c>
      <c r="AE15" s="46">
        <v>0</v>
      </c>
      <c r="AF15" s="46">
        <v>0</v>
      </c>
      <c r="AG15" s="46">
        <v>0</v>
      </c>
      <c r="AH15" s="46">
        <v>0</v>
      </c>
      <c r="AI15" s="47">
        <v>0.19</v>
      </c>
      <c r="AJ15" s="46">
        <v>0</v>
      </c>
      <c r="AK15" s="46">
        <v>0</v>
      </c>
      <c r="AL15" s="47">
        <v>0.3</v>
      </c>
      <c r="AM15" s="46">
        <v>0</v>
      </c>
      <c r="AN15" s="46">
        <v>0</v>
      </c>
      <c r="AO15" s="46">
        <v>0</v>
      </c>
      <c r="AP15" s="46">
        <v>0</v>
      </c>
      <c r="AQ15" s="46">
        <v>0</v>
      </c>
      <c r="AR15" s="46">
        <v>0</v>
      </c>
      <c r="AS15" s="46">
        <v>0</v>
      </c>
      <c r="AT15" s="46">
        <v>0</v>
      </c>
      <c r="AU15" s="46">
        <v>0</v>
      </c>
      <c r="AV15" s="46">
        <v>0</v>
      </c>
      <c r="AW15" s="46">
        <v>0</v>
      </c>
      <c r="AX15" s="46">
        <v>0</v>
      </c>
      <c r="AY15" s="46">
        <v>0</v>
      </c>
    </row>
    <row r="16" spans="1:60" x14ac:dyDescent="0.25">
      <c r="A16" s="45" t="s">
        <v>169</v>
      </c>
      <c r="B16" s="46">
        <v>0</v>
      </c>
      <c r="C16" s="46">
        <v>0</v>
      </c>
      <c r="D16" s="46">
        <v>0</v>
      </c>
      <c r="E16" s="46">
        <v>0</v>
      </c>
      <c r="F16" s="46">
        <v>0</v>
      </c>
      <c r="G16" s="46">
        <v>0</v>
      </c>
      <c r="H16" s="46">
        <v>0</v>
      </c>
      <c r="I16" s="46">
        <v>0</v>
      </c>
      <c r="J16" s="46">
        <v>0</v>
      </c>
      <c r="K16" s="46">
        <v>0</v>
      </c>
      <c r="L16" s="48">
        <v>-0.3</v>
      </c>
      <c r="M16" s="47">
        <v>0.41</v>
      </c>
      <c r="N16" s="47">
        <v>0.95</v>
      </c>
      <c r="O16" s="46">
        <v>0</v>
      </c>
      <c r="P16" s="46">
        <v>0</v>
      </c>
      <c r="Q16" s="46">
        <v>0</v>
      </c>
      <c r="R16" s="46">
        <v>0</v>
      </c>
      <c r="S16" s="47">
        <v>0.72</v>
      </c>
      <c r="T16" s="46">
        <v>0</v>
      </c>
      <c r="U16" s="46">
        <v>0</v>
      </c>
      <c r="V16" s="46">
        <v>0</v>
      </c>
      <c r="W16" s="47">
        <v>0.47</v>
      </c>
      <c r="X16" s="46">
        <v>0</v>
      </c>
      <c r="Y16" s="47">
        <v>0.31</v>
      </c>
      <c r="Z16" s="46">
        <v>0</v>
      </c>
      <c r="AA16" s="46">
        <v>0</v>
      </c>
      <c r="AB16" s="46">
        <v>0</v>
      </c>
      <c r="AC16" s="47">
        <v>0.25</v>
      </c>
      <c r="AD16" s="47">
        <v>0.99</v>
      </c>
      <c r="AE16" s="47">
        <v>1.3</v>
      </c>
      <c r="AF16" s="47">
        <v>0.46</v>
      </c>
      <c r="AG16" s="46">
        <v>0</v>
      </c>
      <c r="AH16" s="46">
        <v>0</v>
      </c>
      <c r="AI16" s="46">
        <v>0</v>
      </c>
      <c r="AJ16" s="46">
        <v>0</v>
      </c>
      <c r="AK16" s="46">
        <v>0</v>
      </c>
      <c r="AL16" s="46">
        <v>0</v>
      </c>
      <c r="AM16" s="47">
        <v>0.4</v>
      </c>
      <c r="AN16" s="46">
        <v>0</v>
      </c>
      <c r="AO16" s="47">
        <v>0.14000000000000001</v>
      </c>
      <c r="AP16" s="46">
        <v>0</v>
      </c>
      <c r="AQ16" s="46">
        <v>0</v>
      </c>
      <c r="AR16" s="46">
        <v>0</v>
      </c>
      <c r="AS16" s="46">
        <v>0</v>
      </c>
      <c r="AT16" s="46">
        <v>0</v>
      </c>
      <c r="AU16" s="46">
        <v>0</v>
      </c>
      <c r="AV16" s="46">
        <v>0</v>
      </c>
      <c r="AW16" s="46">
        <v>0</v>
      </c>
      <c r="AX16" s="46">
        <v>0</v>
      </c>
      <c r="AY16" s="46">
        <v>0</v>
      </c>
    </row>
    <row r="17" spans="1:51" x14ac:dyDescent="0.25">
      <c r="A17" s="45" t="s">
        <v>170</v>
      </c>
      <c r="B17" s="46">
        <v>0</v>
      </c>
      <c r="C17" s="46">
        <v>0</v>
      </c>
      <c r="D17" s="46">
        <v>0</v>
      </c>
      <c r="E17" s="46">
        <v>0</v>
      </c>
      <c r="F17" s="46">
        <v>0</v>
      </c>
      <c r="G17" s="46">
        <v>0</v>
      </c>
      <c r="H17" s="46">
        <v>0</v>
      </c>
      <c r="I17" s="46">
        <v>0</v>
      </c>
      <c r="J17" s="46">
        <v>0</v>
      </c>
      <c r="K17" s="46">
        <v>0</v>
      </c>
      <c r="L17" s="47">
        <v>0.05</v>
      </c>
      <c r="M17" s="46">
        <v>0</v>
      </c>
      <c r="N17" s="47">
        <v>0.37</v>
      </c>
      <c r="O17" s="47">
        <v>0.41</v>
      </c>
      <c r="P17" s="46">
        <v>0</v>
      </c>
      <c r="Q17" s="46">
        <v>0</v>
      </c>
      <c r="R17" s="46">
        <v>0</v>
      </c>
      <c r="S17" s="46">
        <v>0</v>
      </c>
      <c r="T17" s="47">
        <v>0.43</v>
      </c>
      <c r="U17" s="46">
        <v>0</v>
      </c>
      <c r="V17" s="46">
        <v>0</v>
      </c>
      <c r="W17" s="46">
        <v>0</v>
      </c>
      <c r="X17" s="46">
        <v>0</v>
      </c>
      <c r="Y17" s="46">
        <v>0</v>
      </c>
      <c r="Z17" s="46">
        <v>0</v>
      </c>
      <c r="AA17" s="47">
        <v>0.5</v>
      </c>
      <c r="AB17" s="48">
        <v>-7.0000000000000007E-2</v>
      </c>
      <c r="AC17" s="46">
        <v>0</v>
      </c>
      <c r="AD17" s="46">
        <v>0</v>
      </c>
      <c r="AE17" s="46">
        <v>0</v>
      </c>
      <c r="AF17" s="47">
        <v>0.89</v>
      </c>
      <c r="AG17" s="46">
        <v>0</v>
      </c>
      <c r="AH17" s="46">
        <v>0</v>
      </c>
      <c r="AI17" s="46">
        <v>0</v>
      </c>
      <c r="AJ17" s="46">
        <v>0</v>
      </c>
      <c r="AK17" s="46">
        <v>0</v>
      </c>
      <c r="AL17" s="46">
        <v>0</v>
      </c>
      <c r="AM17" s="46">
        <v>0</v>
      </c>
      <c r="AN17" s="46">
        <v>0</v>
      </c>
      <c r="AO17" s="46">
        <v>0</v>
      </c>
      <c r="AP17" s="46">
        <v>0</v>
      </c>
      <c r="AQ17" s="46">
        <v>0</v>
      </c>
      <c r="AR17" s="46">
        <v>0</v>
      </c>
      <c r="AS17" s="46">
        <v>0</v>
      </c>
      <c r="AT17" s="46">
        <v>0</v>
      </c>
      <c r="AU17" s="46">
        <v>0</v>
      </c>
      <c r="AV17" s="46">
        <v>0</v>
      </c>
      <c r="AW17" s="46">
        <v>0</v>
      </c>
      <c r="AX17" s="46">
        <v>0</v>
      </c>
      <c r="AY17" s="46">
        <v>0</v>
      </c>
    </row>
    <row r="18" spans="1:51" x14ac:dyDescent="0.25">
      <c r="A18" s="45" t="s">
        <v>171</v>
      </c>
      <c r="B18" s="46">
        <v>0</v>
      </c>
      <c r="C18" s="46">
        <v>0</v>
      </c>
      <c r="D18" s="46">
        <v>0</v>
      </c>
      <c r="E18" s="46">
        <v>0</v>
      </c>
      <c r="F18" s="46">
        <v>0</v>
      </c>
      <c r="G18" s="46">
        <v>0</v>
      </c>
      <c r="H18" s="46">
        <v>0</v>
      </c>
      <c r="I18" s="46">
        <v>0</v>
      </c>
      <c r="J18" s="46">
        <v>0</v>
      </c>
      <c r="K18" s="46">
        <v>0</v>
      </c>
      <c r="L18" s="46">
        <v>0</v>
      </c>
      <c r="M18" s="46">
        <v>0</v>
      </c>
      <c r="N18" s="46">
        <v>0</v>
      </c>
      <c r="O18" s="46">
        <v>0</v>
      </c>
      <c r="P18" s="46">
        <v>0</v>
      </c>
      <c r="Q18" s="48">
        <v>-0.06</v>
      </c>
      <c r="R18" s="47">
        <v>0.2</v>
      </c>
      <c r="S18" s="46">
        <v>0</v>
      </c>
      <c r="T18" s="46">
        <v>0</v>
      </c>
      <c r="U18" s="47">
        <v>0.1</v>
      </c>
      <c r="V18" s="46">
        <v>0</v>
      </c>
      <c r="W18" s="46">
        <v>0</v>
      </c>
      <c r="X18" s="46">
        <v>0</v>
      </c>
      <c r="Y18" s="46">
        <v>0</v>
      </c>
      <c r="Z18" s="47">
        <v>0.93</v>
      </c>
      <c r="AA18" s="46">
        <v>0</v>
      </c>
      <c r="AB18" s="46">
        <v>0</v>
      </c>
      <c r="AC18" s="46">
        <v>0</v>
      </c>
      <c r="AD18" s="47">
        <v>0.39</v>
      </c>
      <c r="AE18" s="47">
        <v>0.44</v>
      </c>
      <c r="AF18" s="46">
        <v>0</v>
      </c>
      <c r="AG18" s="46">
        <v>0</v>
      </c>
      <c r="AH18" s="46">
        <v>0</v>
      </c>
      <c r="AI18" s="47">
        <v>0.27</v>
      </c>
      <c r="AJ18" s="46">
        <v>0</v>
      </c>
      <c r="AK18" s="48">
        <v>-0.23</v>
      </c>
      <c r="AL18" s="46">
        <v>0</v>
      </c>
      <c r="AM18" s="47">
        <v>0.46</v>
      </c>
      <c r="AN18" s="46">
        <v>0</v>
      </c>
      <c r="AO18" s="48">
        <v>-0.63</v>
      </c>
      <c r="AP18" s="46">
        <v>0</v>
      </c>
      <c r="AQ18" s="46">
        <v>0</v>
      </c>
      <c r="AR18" s="46">
        <v>0</v>
      </c>
      <c r="AS18" s="46">
        <v>0</v>
      </c>
      <c r="AT18" s="46">
        <v>0</v>
      </c>
      <c r="AU18" s="46">
        <v>0</v>
      </c>
      <c r="AV18" s="46">
        <v>0</v>
      </c>
      <c r="AW18" s="46">
        <v>0</v>
      </c>
      <c r="AX18" s="46">
        <v>0</v>
      </c>
      <c r="AY18" s="46">
        <v>0</v>
      </c>
    </row>
    <row r="19" spans="1:51" x14ac:dyDescent="0.25">
      <c r="A19" s="45" t="s">
        <v>172</v>
      </c>
      <c r="B19" s="46">
        <v>0</v>
      </c>
      <c r="C19" s="46">
        <v>0</v>
      </c>
      <c r="D19" s="46">
        <v>0</v>
      </c>
      <c r="E19" s="46">
        <v>0</v>
      </c>
      <c r="F19" s="46">
        <v>0</v>
      </c>
      <c r="G19" s="46">
        <v>0</v>
      </c>
      <c r="H19" s="46">
        <v>0</v>
      </c>
      <c r="I19" s="46">
        <v>0</v>
      </c>
      <c r="J19" s="46">
        <v>0</v>
      </c>
      <c r="K19" s="46">
        <v>0</v>
      </c>
      <c r="L19" s="46">
        <v>0</v>
      </c>
      <c r="M19" s="47">
        <v>0.94</v>
      </c>
      <c r="N19" s="47">
        <v>0.98</v>
      </c>
      <c r="O19" s="47">
        <v>0.44</v>
      </c>
      <c r="P19" s="46">
        <v>0</v>
      </c>
      <c r="Q19" s="46">
        <v>0</v>
      </c>
      <c r="R19" s="46">
        <v>0</v>
      </c>
      <c r="S19" s="46">
        <v>0</v>
      </c>
      <c r="T19" s="46">
        <v>0</v>
      </c>
      <c r="U19" s="46">
        <v>0</v>
      </c>
      <c r="V19" s="46">
        <v>0</v>
      </c>
      <c r="W19" s="46">
        <v>0</v>
      </c>
      <c r="X19" s="48">
        <v>-0.86</v>
      </c>
      <c r="Y19" s="46">
        <v>0</v>
      </c>
      <c r="Z19" s="46">
        <v>0</v>
      </c>
      <c r="AA19" s="48">
        <v>-0.08</v>
      </c>
      <c r="AB19" s="46">
        <v>0</v>
      </c>
      <c r="AC19" s="46">
        <v>0</v>
      </c>
      <c r="AD19" s="46">
        <v>0</v>
      </c>
      <c r="AE19" s="47">
        <v>0.05</v>
      </c>
      <c r="AF19" s="46">
        <v>0</v>
      </c>
      <c r="AG19" s="46">
        <v>0</v>
      </c>
      <c r="AH19" s="46">
        <v>0</v>
      </c>
      <c r="AI19" s="46">
        <v>0</v>
      </c>
      <c r="AJ19" s="46">
        <v>0</v>
      </c>
      <c r="AK19" s="47">
        <v>0.35</v>
      </c>
      <c r="AL19" s="46">
        <v>0</v>
      </c>
      <c r="AM19" s="48">
        <v>-0.67</v>
      </c>
      <c r="AN19" s="48">
        <v>-0.54</v>
      </c>
      <c r="AO19" s="46">
        <v>0</v>
      </c>
      <c r="AP19" s="46">
        <v>0</v>
      </c>
      <c r="AQ19" s="46">
        <v>0</v>
      </c>
      <c r="AR19" s="46">
        <v>0</v>
      </c>
      <c r="AS19" s="46">
        <v>0</v>
      </c>
      <c r="AT19" s="46">
        <v>0</v>
      </c>
      <c r="AU19" s="46">
        <v>0</v>
      </c>
      <c r="AV19" s="46">
        <v>0</v>
      </c>
      <c r="AW19" s="46">
        <v>0</v>
      </c>
      <c r="AX19" s="46">
        <v>0</v>
      </c>
      <c r="AY19" s="46">
        <v>0</v>
      </c>
    </row>
    <row r="20" spans="1:51" x14ac:dyDescent="0.25">
      <c r="A20" s="45" t="s">
        <v>173</v>
      </c>
      <c r="B20" s="46">
        <v>0</v>
      </c>
      <c r="C20" s="46">
        <v>0</v>
      </c>
      <c r="D20" s="46">
        <v>0</v>
      </c>
      <c r="E20" s="46">
        <v>0</v>
      </c>
      <c r="F20" s="46">
        <v>0</v>
      </c>
      <c r="G20" s="46">
        <v>0</v>
      </c>
      <c r="H20" s="46">
        <v>0</v>
      </c>
      <c r="I20" s="46">
        <v>0</v>
      </c>
      <c r="J20" s="46">
        <v>0</v>
      </c>
      <c r="K20" s="46">
        <v>0</v>
      </c>
      <c r="L20" s="47">
        <v>0.14000000000000001</v>
      </c>
      <c r="M20" s="46">
        <v>0</v>
      </c>
      <c r="N20" s="46">
        <v>0</v>
      </c>
      <c r="O20" s="47">
        <v>0.09</v>
      </c>
      <c r="P20" s="46">
        <v>0</v>
      </c>
      <c r="Q20" s="47">
        <v>0.63</v>
      </c>
      <c r="R20" s="46">
        <v>0</v>
      </c>
      <c r="S20" s="46">
        <v>0</v>
      </c>
      <c r="T20" s="46">
        <v>0</v>
      </c>
      <c r="U20" s="47">
        <v>0.8</v>
      </c>
      <c r="V20" s="47">
        <v>0.73</v>
      </c>
      <c r="W20" s="46">
        <v>0</v>
      </c>
      <c r="X20" s="47">
        <v>0.14000000000000001</v>
      </c>
      <c r="Y20" s="47">
        <v>0.63</v>
      </c>
      <c r="Z20" s="46">
        <v>0</v>
      </c>
      <c r="AA20" s="46">
        <v>0</v>
      </c>
      <c r="AB20" s="46">
        <v>0</v>
      </c>
      <c r="AC20" s="46">
        <v>0</v>
      </c>
      <c r="AD20" s="46">
        <v>0</v>
      </c>
      <c r="AE20" s="46">
        <v>0</v>
      </c>
      <c r="AF20" s="46">
        <v>0</v>
      </c>
      <c r="AG20" s="46">
        <v>0</v>
      </c>
      <c r="AH20" s="46">
        <v>0</v>
      </c>
      <c r="AI20" s="46">
        <v>0</v>
      </c>
      <c r="AJ20" s="46">
        <v>0</v>
      </c>
      <c r="AK20" s="46">
        <v>0</v>
      </c>
      <c r="AL20" s="46">
        <v>0</v>
      </c>
      <c r="AM20" s="46">
        <v>0</v>
      </c>
      <c r="AN20" s="46">
        <v>0</v>
      </c>
      <c r="AO20" s="46">
        <v>0</v>
      </c>
      <c r="AP20" s="46">
        <v>0</v>
      </c>
      <c r="AQ20" s="46">
        <v>0</v>
      </c>
      <c r="AR20" s="46">
        <v>0</v>
      </c>
      <c r="AS20" s="46">
        <v>0</v>
      </c>
      <c r="AT20" s="46">
        <v>0</v>
      </c>
      <c r="AU20" s="46">
        <v>0</v>
      </c>
      <c r="AV20" s="46">
        <v>0</v>
      </c>
      <c r="AW20" s="46">
        <v>0</v>
      </c>
      <c r="AX20" s="46">
        <v>0</v>
      </c>
      <c r="AY20" s="46">
        <v>0</v>
      </c>
    </row>
    <row r="21" spans="1:51" x14ac:dyDescent="0.25">
      <c r="A21" s="45" t="s">
        <v>174</v>
      </c>
      <c r="B21" s="46">
        <v>0</v>
      </c>
      <c r="C21" s="46">
        <v>0</v>
      </c>
      <c r="D21" s="46">
        <v>0</v>
      </c>
      <c r="E21" s="46">
        <v>0</v>
      </c>
      <c r="F21" s="46">
        <v>0</v>
      </c>
      <c r="G21" s="46">
        <v>0</v>
      </c>
      <c r="H21" s="46">
        <v>0</v>
      </c>
      <c r="I21" s="46">
        <v>0</v>
      </c>
      <c r="J21" s="46">
        <v>0</v>
      </c>
      <c r="K21" s="46">
        <v>0</v>
      </c>
      <c r="L21" s="47">
        <v>0.32</v>
      </c>
      <c r="M21" s="46">
        <v>0</v>
      </c>
      <c r="N21" s="46">
        <v>0</v>
      </c>
      <c r="O21" s="46">
        <v>0</v>
      </c>
      <c r="P21" s="46">
        <v>0</v>
      </c>
      <c r="Q21" s="46">
        <v>0</v>
      </c>
      <c r="R21" s="47">
        <v>0.62</v>
      </c>
      <c r="S21" s="46">
        <v>0</v>
      </c>
      <c r="T21" s="46">
        <v>0</v>
      </c>
      <c r="U21" s="46">
        <v>0</v>
      </c>
      <c r="V21" s="46">
        <v>0</v>
      </c>
      <c r="W21" s="46">
        <v>0</v>
      </c>
      <c r="X21" s="47">
        <v>0.47</v>
      </c>
      <c r="Y21" s="46">
        <v>0</v>
      </c>
      <c r="Z21" s="46">
        <v>0</v>
      </c>
      <c r="AA21" s="48">
        <v>-0.03</v>
      </c>
      <c r="AB21" s="46">
        <v>0</v>
      </c>
      <c r="AC21" s="47">
        <v>0.32</v>
      </c>
      <c r="AD21" s="46">
        <v>0</v>
      </c>
      <c r="AE21" s="47">
        <v>0.36</v>
      </c>
      <c r="AF21" s="46">
        <v>0</v>
      </c>
      <c r="AG21" s="47">
        <v>0.06</v>
      </c>
      <c r="AH21" s="46">
        <v>0</v>
      </c>
      <c r="AI21" s="46">
        <v>0</v>
      </c>
      <c r="AJ21" s="46">
        <v>0</v>
      </c>
      <c r="AK21" s="47">
        <v>0.23</v>
      </c>
      <c r="AL21" s="46">
        <v>0</v>
      </c>
      <c r="AM21" s="46">
        <v>0</v>
      </c>
      <c r="AN21" s="46">
        <v>0</v>
      </c>
      <c r="AO21" s="46">
        <v>0</v>
      </c>
      <c r="AP21" s="46">
        <v>0</v>
      </c>
      <c r="AQ21" s="46">
        <v>0</v>
      </c>
      <c r="AR21" s="46">
        <v>0</v>
      </c>
      <c r="AS21" s="46">
        <v>0</v>
      </c>
      <c r="AT21" s="46">
        <v>0</v>
      </c>
      <c r="AU21" s="46">
        <v>0</v>
      </c>
      <c r="AV21" s="46">
        <v>0</v>
      </c>
      <c r="AW21" s="46">
        <v>0</v>
      </c>
      <c r="AX21" s="46">
        <v>0</v>
      </c>
      <c r="AY21" s="46">
        <v>0</v>
      </c>
    </row>
    <row r="22" spans="1:51" x14ac:dyDescent="0.25">
      <c r="A22" s="45" t="s">
        <v>175</v>
      </c>
      <c r="B22" s="46">
        <v>0</v>
      </c>
      <c r="C22" s="46">
        <v>0</v>
      </c>
      <c r="D22" s="46">
        <v>0</v>
      </c>
      <c r="E22" s="46">
        <v>0</v>
      </c>
      <c r="F22" s="46">
        <v>0</v>
      </c>
      <c r="G22" s="46">
        <v>0</v>
      </c>
      <c r="H22" s="46">
        <v>0</v>
      </c>
      <c r="I22" s="46">
        <v>0</v>
      </c>
      <c r="J22" s="46">
        <v>0</v>
      </c>
      <c r="K22" s="46">
        <v>0</v>
      </c>
      <c r="L22" s="47">
        <v>0.22</v>
      </c>
      <c r="M22" s="47">
        <v>0.23</v>
      </c>
      <c r="N22" s="48">
        <v>-0.16</v>
      </c>
      <c r="O22" s="46">
        <v>0</v>
      </c>
      <c r="P22" s="46">
        <v>0</v>
      </c>
      <c r="Q22" s="46">
        <v>0</v>
      </c>
      <c r="R22" s="46">
        <v>0</v>
      </c>
      <c r="S22" s="46">
        <v>0</v>
      </c>
      <c r="T22" s="46">
        <v>0</v>
      </c>
      <c r="U22" s="47">
        <v>0.03</v>
      </c>
      <c r="V22" s="46">
        <v>0</v>
      </c>
      <c r="W22" s="48">
        <v>-0.15</v>
      </c>
      <c r="X22" s="46">
        <v>0</v>
      </c>
      <c r="Y22" s="46">
        <v>0</v>
      </c>
      <c r="Z22" s="47">
        <v>0.42</v>
      </c>
      <c r="AA22" s="46">
        <v>0</v>
      </c>
      <c r="AB22" s="47">
        <v>0.26</v>
      </c>
      <c r="AC22" s="48">
        <v>-0.1</v>
      </c>
      <c r="AD22" s="46">
        <v>0</v>
      </c>
      <c r="AE22" s="48">
        <v>-0.18</v>
      </c>
      <c r="AF22" s="46">
        <v>0</v>
      </c>
      <c r="AG22" s="46">
        <v>0</v>
      </c>
      <c r="AH22" s="46">
        <v>0</v>
      </c>
      <c r="AI22" s="46">
        <v>0</v>
      </c>
      <c r="AJ22" s="46">
        <v>0</v>
      </c>
      <c r="AK22" s="46">
        <v>0</v>
      </c>
      <c r="AL22" s="48">
        <v>-0.03</v>
      </c>
      <c r="AM22" s="46">
        <v>0</v>
      </c>
      <c r="AN22" s="46">
        <v>0</v>
      </c>
      <c r="AO22" s="46">
        <v>0</v>
      </c>
      <c r="AP22" s="46">
        <v>0</v>
      </c>
      <c r="AQ22" s="46">
        <v>0</v>
      </c>
      <c r="AR22" s="46">
        <v>0</v>
      </c>
      <c r="AS22" s="46">
        <v>0</v>
      </c>
      <c r="AT22" s="46">
        <v>0</v>
      </c>
      <c r="AU22" s="46">
        <v>0</v>
      </c>
      <c r="AV22" s="46">
        <v>0</v>
      </c>
      <c r="AW22" s="46">
        <v>0</v>
      </c>
      <c r="AX22" s="46">
        <v>0</v>
      </c>
      <c r="AY22" s="46">
        <v>0</v>
      </c>
    </row>
    <row r="23" spans="1:51" x14ac:dyDescent="0.25">
      <c r="A23" s="45" t="s">
        <v>176</v>
      </c>
      <c r="B23" s="46">
        <v>0</v>
      </c>
      <c r="C23" s="46">
        <v>0</v>
      </c>
      <c r="D23" s="46">
        <v>0</v>
      </c>
      <c r="E23" s="46">
        <v>0</v>
      </c>
      <c r="F23" s="46">
        <v>0</v>
      </c>
      <c r="G23" s="46">
        <v>0</v>
      </c>
      <c r="H23" s="46">
        <v>0</v>
      </c>
      <c r="I23" s="46">
        <v>0</v>
      </c>
      <c r="J23" s="46">
        <v>0</v>
      </c>
      <c r="K23" s="46">
        <v>0</v>
      </c>
      <c r="L23" s="47">
        <v>0.31</v>
      </c>
      <c r="M23" s="46">
        <v>0</v>
      </c>
      <c r="N23" s="46">
        <v>0</v>
      </c>
      <c r="O23" s="47">
        <v>0.34</v>
      </c>
      <c r="P23" s="46">
        <v>0</v>
      </c>
      <c r="Q23" s="46">
        <v>0</v>
      </c>
      <c r="R23" s="46">
        <v>0</v>
      </c>
      <c r="S23" s="46">
        <v>0</v>
      </c>
      <c r="T23" s="46">
        <v>0</v>
      </c>
      <c r="U23" s="46">
        <v>0</v>
      </c>
      <c r="V23" s="47">
        <v>0.19</v>
      </c>
      <c r="W23" s="47">
        <v>0.27</v>
      </c>
      <c r="X23" s="48">
        <v>-0.85</v>
      </c>
      <c r="Y23" s="46">
        <v>0</v>
      </c>
      <c r="Z23" s="46">
        <v>0</v>
      </c>
      <c r="AA23" s="47">
        <v>0.36</v>
      </c>
      <c r="AB23" s="47">
        <v>0.98</v>
      </c>
      <c r="AC23" s="48">
        <v>-0.09</v>
      </c>
      <c r="AD23" s="46">
        <v>0</v>
      </c>
      <c r="AE23" s="46">
        <v>0</v>
      </c>
      <c r="AF23" s="46">
        <v>0</v>
      </c>
      <c r="AG23" s="47">
        <v>0.04</v>
      </c>
      <c r="AH23" s="46">
        <v>0</v>
      </c>
      <c r="AI23" s="47">
        <v>0.68</v>
      </c>
      <c r="AJ23" s="46">
        <v>0</v>
      </c>
      <c r="AK23" s="47">
        <v>0.34</v>
      </c>
      <c r="AL23" s="46">
        <v>0</v>
      </c>
      <c r="AM23" s="47">
        <v>0.12</v>
      </c>
      <c r="AN23" s="46">
        <v>0</v>
      </c>
      <c r="AO23" s="47">
        <v>1.23</v>
      </c>
      <c r="AP23" s="46">
        <v>0</v>
      </c>
      <c r="AQ23" s="46">
        <v>0</v>
      </c>
      <c r="AR23" s="46">
        <v>0</v>
      </c>
      <c r="AS23" s="46">
        <v>0</v>
      </c>
      <c r="AT23" s="46">
        <v>0</v>
      </c>
      <c r="AU23" s="46">
        <v>0</v>
      </c>
      <c r="AV23" s="46">
        <v>0</v>
      </c>
      <c r="AW23" s="46">
        <v>0</v>
      </c>
      <c r="AX23" s="46">
        <v>0</v>
      </c>
      <c r="AY23" s="46">
        <v>0</v>
      </c>
    </row>
    <row r="24" spans="1:51" x14ac:dyDescent="0.25">
      <c r="A24" s="45" t="s">
        <v>177</v>
      </c>
      <c r="B24" s="46">
        <v>0</v>
      </c>
      <c r="C24" s="46">
        <v>0</v>
      </c>
      <c r="D24" s="46">
        <v>0</v>
      </c>
      <c r="E24" s="46">
        <v>0</v>
      </c>
      <c r="F24" s="46">
        <v>0</v>
      </c>
      <c r="G24" s="46">
        <v>0</v>
      </c>
      <c r="H24" s="46">
        <v>0</v>
      </c>
      <c r="I24" s="46">
        <v>0</v>
      </c>
      <c r="J24" s="46">
        <v>0</v>
      </c>
      <c r="K24" s="46">
        <v>0</v>
      </c>
      <c r="L24" s="46">
        <v>0</v>
      </c>
      <c r="M24" s="46">
        <v>0</v>
      </c>
      <c r="N24" s="48">
        <v>-0.39</v>
      </c>
      <c r="O24" s="47">
        <v>1.06</v>
      </c>
      <c r="P24" s="46">
        <v>0</v>
      </c>
      <c r="Q24" s="46">
        <v>0</v>
      </c>
      <c r="R24" s="46">
        <v>0</v>
      </c>
      <c r="S24" s="46">
        <v>0</v>
      </c>
      <c r="T24" s="46">
        <v>0</v>
      </c>
      <c r="U24" s="48">
        <v>-0.05</v>
      </c>
      <c r="V24" s="46">
        <v>0</v>
      </c>
      <c r="W24" s="48">
        <v>-0.66</v>
      </c>
      <c r="X24" s="48">
        <v>-0.09</v>
      </c>
      <c r="Y24" s="46">
        <v>0</v>
      </c>
      <c r="Z24" s="47">
        <v>0.45</v>
      </c>
      <c r="AA24" s="48">
        <v>-0.35</v>
      </c>
      <c r="AB24" s="46">
        <v>0</v>
      </c>
      <c r="AC24" s="46">
        <v>0</v>
      </c>
      <c r="AD24" s="46">
        <v>0</v>
      </c>
      <c r="AE24" s="46">
        <v>0</v>
      </c>
      <c r="AF24" s="46">
        <v>0</v>
      </c>
      <c r="AG24" s="48">
        <v>-0.69</v>
      </c>
      <c r="AH24" s="46">
        <v>0</v>
      </c>
      <c r="AI24" s="46">
        <v>0</v>
      </c>
      <c r="AJ24" s="46">
        <v>0</v>
      </c>
      <c r="AK24" s="46">
        <v>0</v>
      </c>
      <c r="AL24" s="47">
        <v>0.94</v>
      </c>
      <c r="AM24" s="46">
        <v>0</v>
      </c>
      <c r="AN24" s="46">
        <v>0</v>
      </c>
      <c r="AO24" s="48">
        <v>-0.05</v>
      </c>
      <c r="AP24" s="46">
        <v>0</v>
      </c>
      <c r="AQ24" s="46">
        <v>0</v>
      </c>
      <c r="AR24" s="46">
        <v>0</v>
      </c>
      <c r="AS24" s="46">
        <v>0</v>
      </c>
      <c r="AT24" s="46">
        <v>0</v>
      </c>
      <c r="AU24" s="46">
        <v>0</v>
      </c>
      <c r="AV24" s="46">
        <v>0</v>
      </c>
      <c r="AW24" s="46">
        <v>0</v>
      </c>
      <c r="AX24" s="46">
        <v>0</v>
      </c>
      <c r="AY24" s="46">
        <v>0</v>
      </c>
    </row>
    <row r="25" spans="1:51" x14ac:dyDescent="0.25">
      <c r="A25" s="45" t="s">
        <v>178</v>
      </c>
      <c r="B25" s="46">
        <v>0</v>
      </c>
      <c r="C25" s="46">
        <v>0</v>
      </c>
      <c r="D25" s="46">
        <v>0</v>
      </c>
      <c r="E25" s="46">
        <v>0</v>
      </c>
      <c r="F25" s="46">
        <v>0</v>
      </c>
      <c r="G25" s="46">
        <v>0</v>
      </c>
      <c r="H25" s="46">
        <v>0</v>
      </c>
      <c r="I25" s="46">
        <v>0</v>
      </c>
      <c r="J25" s="46">
        <v>0</v>
      </c>
      <c r="K25" s="46">
        <v>0</v>
      </c>
      <c r="L25" s="46">
        <v>0</v>
      </c>
      <c r="M25" s="46">
        <v>0</v>
      </c>
      <c r="N25" s="46">
        <v>0</v>
      </c>
      <c r="O25" s="46">
        <v>0</v>
      </c>
      <c r="P25" s="46">
        <v>0</v>
      </c>
      <c r="Q25" s="48">
        <v>-0.06</v>
      </c>
      <c r="R25" s="46">
        <v>0</v>
      </c>
      <c r="S25" s="48">
        <v>-0.1</v>
      </c>
      <c r="T25" s="46">
        <v>0</v>
      </c>
      <c r="U25" s="48">
        <v>-0.04</v>
      </c>
      <c r="V25" s="46">
        <v>0</v>
      </c>
      <c r="W25" s="46">
        <v>0</v>
      </c>
      <c r="X25" s="46">
        <v>0</v>
      </c>
      <c r="Y25" s="46">
        <v>0</v>
      </c>
      <c r="Z25" s="46">
        <v>0</v>
      </c>
      <c r="AA25" s="46">
        <v>0</v>
      </c>
      <c r="AB25" s="46">
        <v>0</v>
      </c>
      <c r="AC25" s="46">
        <v>0</v>
      </c>
      <c r="AD25" s="46">
        <v>0</v>
      </c>
      <c r="AE25" s="46">
        <v>0</v>
      </c>
      <c r="AF25" s="46">
        <v>0</v>
      </c>
      <c r="AG25" s="47">
        <v>0.26</v>
      </c>
      <c r="AH25" s="46">
        <v>0</v>
      </c>
      <c r="AI25" s="46">
        <v>0</v>
      </c>
      <c r="AJ25" s="46">
        <v>0</v>
      </c>
      <c r="AK25" s="46">
        <v>0</v>
      </c>
      <c r="AL25" s="47">
        <v>0.57999999999999996</v>
      </c>
      <c r="AM25" s="46">
        <v>0</v>
      </c>
      <c r="AN25" s="46">
        <v>0</v>
      </c>
      <c r="AO25" s="46">
        <v>0</v>
      </c>
      <c r="AP25" s="46">
        <v>0</v>
      </c>
      <c r="AQ25" s="46">
        <v>0</v>
      </c>
      <c r="AR25" s="47">
        <v>0.97</v>
      </c>
      <c r="AS25" s="46">
        <v>0</v>
      </c>
      <c r="AT25" s="46">
        <v>0</v>
      </c>
      <c r="AU25" s="47">
        <v>0.43</v>
      </c>
      <c r="AV25" s="47">
        <v>0.36</v>
      </c>
      <c r="AW25" s="46">
        <v>0</v>
      </c>
      <c r="AX25" s="46">
        <v>0</v>
      </c>
      <c r="AY25" s="47">
        <v>0.05</v>
      </c>
    </row>
    <row r="26" spans="1:51" x14ac:dyDescent="0.25">
      <c r="A26" s="45" t="s">
        <v>179</v>
      </c>
      <c r="B26" s="46">
        <v>0</v>
      </c>
      <c r="C26" s="46">
        <v>0</v>
      </c>
      <c r="D26" s="46">
        <v>0</v>
      </c>
      <c r="E26" s="46">
        <v>0</v>
      </c>
      <c r="F26" s="46">
        <v>0</v>
      </c>
      <c r="G26" s="46">
        <v>0</v>
      </c>
      <c r="H26" s="46">
        <v>0</v>
      </c>
      <c r="I26" s="46">
        <v>0</v>
      </c>
      <c r="J26" s="46">
        <v>0</v>
      </c>
      <c r="K26" s="46">
        <v>0</v>
      </c>
      <c r="L26" s="46">
        <v>0</v>
      </c>
      <c r="M26" s="46">
        <v>0</v>
      </c>
      <c r="N26" s="46">
        <v>0</v>
      </c>
      <c r="O26" s="46">
        <v>0</v>
      </c>
      <c r="P26" s="46">
        <v>0</v>
      </c>
      <c r="Q26" s="46">
        <v>0</v>
      </c>
      <c r="R26" s="46">
        <v>0</v>
      </c>
      <c r="S26" s="46">
        <v>0</v>
      </c>
      <c r="T26" s="46">
        <v>0</v>
      </c>
      <c r="U26" s="46">
        <v>0</v>
      </c>
      <c r="V26" s="46">
        <v>0</v>
      </c>
      <c r="W26" s="47">
        <v>1.06</v>
      </c>
      <c r="X26" s="46">
        <v>0</v>
      </c>
      <c r="Y26" s="46">
        <v>0</v>
      </c>
      <c r="Z26" s="46">
        <v>0</v>
      </c>
      <c r="AA26" s="46">
        <v>0</v>
      </c>
      <c r="AB26" s="46">
        <v>0</v>
      </c>
      <c r="AC26" s="47">
        <v>0.03</v>
      </c>
      <c r="AD26" s="46">
        <v>0</v>
      </c>
      <c r="AE26" s="48">
        <v>-0.35</v>
      </c>
      <c r="AF26" s="48">
        <v>-0.93</v>
      </c>
      <c r="AG26" s="46">
        <v>0</v>
      </c>
      <c r="AH26" s="47">
        <v>0.44</v>
      </c>
      <c r="AI26" s="46">
        <v>0</v>
      </c>
      <c r="AJ26" s="46">
        <v>0</v>
      </c>
      <c r="AK26" s="47">
        <v>0.3</v>
      </c>
      <c r="AL26" s="46">
        <v>0</v>
      </c>
      <c r="AM26" s="46">
        <v>0</v>
      </c>
      <c r="AN26" s="46">
        <v>0</v>
      </c>
      <c r="AO26" s="46">
        <v>0</v>
      </c>
      <c r="AP26" s="47">
        <v>1.0900000000000001</v>
      </c>
      <c r="AQ26" s="46">
        <v>0</v>
      </c>
      <c r="AR26" s="46">
        <v>0</v>
      </c>
      <c r="AS26" s="46">
        <v>0</v>
      </c>
      <c r="AT26" s="46">
        <v>0</v>
      </c>
      <c r="AU26" s="46">
        <v>0</v>
      </c>
      <c r="AV26" s="46">
        <v>0</v>
      </c>
      <c r="AW26" s="46">
        <v>0</v>
      </c>
      <c r="AX26" s="48">
        <v>-0.02</v>
      </c>
      <c r="AY26" s="48">
        <v>-0.09</v>
      </c>
    </row>
    <row r="27" spans="1:51" x14ac:dyDescent="0.25">
      <c r="A27" s="45" t="s">
        <v>180</v>
      </c>
      <c r="B27" s="46">
        <v>0</v>
      </c>
      <c r="C27" s="46">
        <v>0</v>
      </c>
      <c r="D27" s="46">
        <v>0</v>
      </c>
      <c r="E27" s="46">
        <v>0</v>
      </c>
      <c r="F27" s="46">
        <v>0</v>
      </c>
      <c r="G27" s="46">
        <v>0</v>
      </c>
      <c r="H27" s="46">
        <v>0</v>
      </c>
      <c r="I27" s="46">
        <v>0</v>
      </c>
      <c r="J27" s="46">
        <v>0</v>
      </c>
      <c r="K27" s="46">
        <v>0</v>
      </c>
      <c r="L27" s="46">
        <v>0</v>
      </c>
      <c r="M27" s="46">
        <v>0</v>
      </c>
      <c r="N27" s="46">
        <v>0</v>
      </c>
      <c r="O27" s="46">
        <v>0</v>
      </c>
      <c r="P27" s="47">
        <v>1.19</v>
      </c>
      <c r="Q27" s="46">
        <v>0</v>
      </c>
      <c r="R27" s="46">
        <v>0</v>
      </c>
      <c r="S27" s="46">
        <v>0</v>
      </c>
      <c r="T27" s="48">
        <v>-0.28000000000000003</v>
      </c>
      <c r="U27" s="48">
        <v>-0.04</v>
      </c>
      <c r="V27" s="46">
        <v>0</v>
      </c>
      <c r="W27" s="46">
        <v>0</v>
      </c>
      <c r="X27" s="48">
        <v>-0.36</v>
      </c>
      <c r="Y27" s="46">
        <v>0</v>
      </c>
      <c r="Z27" s="46">
        <v>0</v>
      </c>
      <c r="AA27" s="46">
        <v>0</v>
      </c>
      <c r="AB27" s="46">
        <v>0</v>
      </c>
      <c r="AC27" s="46">
        <v>0</v>
      </c>
      <c r="AD27" s="46">
        <v>0</v>
      </c>
      <c r="AE27" s="46">
        <v>0</v>
      </c>
      <c r="AF27" s="46">
        <v>0</v>
      </c>
      <c r="AG27" s="47">
        <v>0.67</v>
      </c>
      <c r="AH27" s="46">
        <v>0</v>
      </c>
      <c r="AI27" s="46">
        <v>0</v>
      </c>
      <c r="AJ27" s="48">
        <v>-0.37</v>
      </c>
      <c r="AK27" s="46">
        <v>0</v>
      </c>
      <c r="AL27" s="47">
        <v>0.67</v>
      </c>
      <c r="AM27" s="46">
        <v>0</v>
      </c>
      <c r="AN27" s="46">
        <v>0</v>
      </c>
      <c r="AO27" s="46">
        <v>0</v>
      </c>
      <c r="AP27" s="46">
        <v>0</v>
      </c>
      <c r="AQ27" s="46">
        <v>0</v>
      </c>
      <c r="AR27" s="47">
        <v>0.73</v>
      </c>
      <c r="AS27" s="48">
        <v>-0.05</v>
      </c>
      <c r="AT27" s="46">
        <v>0</v>
      </c>
      <c r="AU27" s="47">
        <v>0.18</v>
      </c>
      <c r="AV27" s="46">
        <v>0</v>
      </c>
      <c r="AW27" s="46">
        <v>0</v>
      </c>
      <c r="AX27" s="46">
        <v>0</v>
      </c>
      <c r="AY27" s="47">
        <v>0.43</v>
      </c>
    </row>
    <row r="28" spans="1:51" x14ac:dyDescent="0.25">
      <c r="A28" s="45" t="s">
        <v>181</v>
      </c>
      <c r="B28" s="46">
        <v>0</v>
      </c>
      <c r="C28" s="46">
        <v>0</v>
      </c>
      <c r="D28" s="46">
        <v>0</v>
      </c>
      <c r="E28" s="46">
        <v>0</v>
      </c>
      <c r="F28" s="46">
        <v>0</v>
      </c>
      <c r="G28" s="46">
        <v>0</v>
      </c>
      <c r="H28" s="46">
        <v>0</v>
      </c>
      <c r="I28" s="46">
        <v>0</v>
      </c>
      <c r="J28" s="46">
        <v>0</v>
      </c>
      <c r="K28" s="46">
        <v>0</v>
      </c>
      <c r="L28" s="46">
        <v>0</v>
      </c>
      <c r="M28" s="46">
        <v>0</v>
      </c>
      <c r="N28" s="46">
        <v>0</v>
      </c>
      <c r="O28" s="46">
        <v>0</v>
      </c>
      <c r="P28" s="46">
        <v>0</v>
      </c>
      <c r="Q28" s="48">
        <v>-0.61</v>
      </c>
      <c r="R28" s="46">
        <v>0</v>
      </c>
      <c r="S28" s="46">
        <v>0</v>
      </c>
      <c r="T28" s="46">
        <v>0</v>
      </c>
      <c r="U28" s="46">
        <v>0</v>
      </c>
      <c r="V28" s="46">
        <v>0</v>
      </c>
      <c r="W28" s="46">
        <v>0</v>
      </c>
      <c r="X28" s="46">
        <v>0</v>
      </c>
      <c r="Y28" s="46">
        <v>0</v>
      </c>
      <c r="Z28" s="46">
        <v>0</v>
      </c>
      <c r="AA28" s="46">
        <v>0</v>
      </c>
      <c r="AB28" s="46">
        <v>0</v>
      </c>
      <c r="AC28" s="46">
        <v>0</v>
      </c>
      <c r="AD28" s="46">
        <v>0</v>
      </c>
      <c r="AE28" s="46">
        <v>0</v>
      </c>
      <c r="AF28" s="46">
        <v>0</v>
      </c>
      <c r="AG28" s="46">
        <v>0</v>
      </c>
      <c r="AH28" s="46">
        <v>0</v>
      </c>
      <c r="AI28" s="46">
        <v>0</v>
      </c>
      <c r="AJ28" s="46">
        <v>0</v>
      </c>
      <c r="AK28" s="46">
        <v>0</v>
      </c>
      <c r="AL28" s="48">
        <v>-0.22</v>
      </c>
      <c r="AM28" s="47">
        <v>0.53</v>
      </c>
      <c r="AN28" s="48">
        <v>-0.28000000000000003</v>
      </c>
      <c r="AO28" s="46">
        <v>0</v>
      </c>
      <c r="AP28" s="47">
        <v>0.2</v>
      </c>
      <c r="AQ28" s="47">
        <v>0.63</v>
      </c>
      <c r="AR28" s="47">
        <v>0.52</v>
      </c>
      <c r="AS28" s="46">
        <v>0</v>
      </c>
      <c r="AT28" s="47">
        <v>0.59</v>
      </c>
      <c r="AU28" s="47">
        <v>0.54</v>
      </c>
      <c r="AV28" s="47">
        <v>0.63</v>
      </c>
      <c r="AW28" s="46">
        <v>0</v>
      </c>
      <c r="AX28" s="46">
        <v>0</v>
      </c>
      <c r="AY28" s="46">
        <v>0</v>
      </c>
    </row>
    <row r="29" spans="1:51" x14ac:dyDescent="0.25">
      <c r="A29" s="45" t="s">
        <v>182</v>
      </c>
      <c r="B29" s="46">
        <v>0</v>
      </c>
      <c r="C29" s="46">
        <v>0</v>
      </c>
      <c r="D29" s="46">
        <v>0</v>
      </c>
      <c r="E29" s="46">
        <v>0</v>
      </c>
      <c r="F29" s="46">
        <v>0</v>
      </c>
      <c r="G29" s="46">
        <v>0</v>
      </c>
      <c r="H29" s="46">
        <v>0</v>
      </c>
      <c r="I29" s="46">
        <v>0</v>
      </c>
      <c r="J29" s="46">
        <v>0</v>
      </c>
      <c r="K29" s="46">
        <v>0</v>
      </c>
      <c r="L29" s="46">
        <v>0</v>
      </c>
      <c r="M29" s="46">
        <v>0</v>
      </c>
      <c r="N29" s="46">
        <v>0</v>
      </c>
      <c r="O29" s="48">
        <v>-0.16</v>
      </c>
      <c r="P29" s="46">
        <v>0</v>
      </c>
      <c r="Q29" s="47">
        <v>0.09</v>
      </c>
      <c r="R29" s="46">
        <v>0</v>
      </c>
      <c r="S29" s="47">
        <v>7.0000000000000007E-2</v>
      </c>
      <c r="T29" s="46">
        <v>0</v>
      </c>
      <c r="U29" s="46">
        <v>0</v>
      </c>
      <c r="V29" s="46">
        <v>0</v>
      </c>
      <c r="W29" s="46">
        <v>0</v>
      </c>
      <c r="X29" s="46">
        <v>0</v>
      </c>
      <c r="Y29" s="46">
        <v>0</v>
      </c>
      <c r="Z29" s="46">
        <v>0</v>
      </c>
      <c r="AA29" s="48">
        <v>-0.28999999999999998</v>
      </c>
      <c r="AB29" s="46">
        <v>0</v>
      </c>
      <c r="AC29" s="46">
        <v>0</v>
      </c>
      <c r="AD29" s="46">
        <v>0</v>
      </c>
      <c r="AE29" s="46">
        <v>0</v>
      </c>
      <c r="AF29" s="48">
        <v>-0.09</v>
      </c>
      <c r="AG29" s="46">
        <v>0</v>
      </c>
      <c r="AH29" s="46">
        <v>0</v>
      </c>
      <c r="AI29" s="46">
        <v>0</v>
      </c>
      <c r="AJ29" s="46">
        <v>0</v>
      </c>
      <c r="AK29" s="46">
        <v>0</v>
      </c>
      <c r="AL29" s="46">
        <v>0</v>
      </c>
      <c r="AM29" s="46">
        <v>0</v>
      </c>
      <c r="AN29" s="46">
        <v>0</v>
      </c>
      <c r="AO29" s="46">
        <v>0</v>
      </c>
      <c r="AP29" s="46">
        <v>0</v>
      </c>
      <c r="AQ29" s="46">
        <v>0</v>
      </c>
      <c r="AR29" s="46">
        <v>0</v>
      </c>
      <c r="AS29" s="47">
        <v>0.31</v>
      </c>
      <c r="AT29" s="46">
        <v>0</v>
      </c>
      <c r="AU29" s="46">
        <v>0</v>
      </c>
      <c r="AV29" s="47">
        <v>0.19</v>
      </c>
      <c r="AW29" s="46">
        <v>0</v>
      </c>
      <c r="AX29" s="47">
        <v>0.05</v>
      </c>
      <c r="AY29" s="47">
        <v>0.83</v>
      </c>
    </row>
    <row r="30" spans="1:51" x14ac:dyDescent="0.25">
      <c r="A30" s="45" t="s">
        <v>183</v>
      </c>
      <c r="B30" s="46">
        <v>0</v>
      </c>
      <c r="C30" s="46">
        <v>0</v>
      </c>
      <c r="D30" s="46">
        <v>0</v>
      </c>
      <c r="E30" s="46">
        <v>0</v>
      </c>
      <c r="F30" s="46">
        <v>0</v>
      </c>
      <c r="G30" s="46">
        <v>0</v>
      </c>
      <c r="H30" s="46">
        <v>0</v>
      </c>
      <c r="I30" s="46">
        <v>0</v>
      </c>
      <c r="J30" s="46">
        <v>0</v>
      </c>
      <c r="K30" s="46">
        <v>0</v>
      </c>
      <c r="L30" s="46">
        <v>0</v>
      </c>
      <c r="M30" s="47">
        <v>0.46</v>
      </c>
      <c r="N30" s="47">
        <v>0.91</v>
      </c>
      <c r="O30" s="46">
        <v>0</v>
      </c>
      <c r="P30" s="46">
        <v>0</v>
      </c>
      <c r="Q30" s="46">
        <v>0</v>
      </c>
      <c r="R30" s="46">
        <v>0</v>
      </c>
      <c r="S30" s="46">
        <v>0</v>
      </c>
      <c r="T30" s="46">
        <v>0</v>
      </c>
      <c r="U30" s="46">
        <v>0</v>
      </c>
      <c r="V30" s="46">
        <v>0</v>
      </c>
      <c r="W30" s="46">
        <v>0</v>
      </c>
      <c r="X30" s="46">
        <v>0</v>
      </c>
      <c r="Y30" s="46">
        <v>0</v>
      </c>
      <c r="Z30" s="46">
        <v>0</v>
      </c>
      <c r="AA30" s="46">
        <v>0</v>
      </c>
      <c r="AB30" s="46">
        <v>0</v>
      </c>
      <c r="AC30" s="46">
        <v>0</v>
      </c>
      <c r="AD30" s="46">
        <v>0</v>
      </c>
      <c r="AE30" s="46">
        <v>0</v>
      </c>
      <c r="AF30" s="46">
        <v>0</v>
      </c>
      <c r="AG30" s="47">
        <v>0.05</v>
      </c>
      <c r="AH30" s="46">
        <v>0</v>
      </c>
      <c r="AI30" s="46">
        <v>0</v>
      </c>
      <c r="AJ30" s="46">
        <v>0</v>
      </c>
      <c r="AK30" s="46">
        <v>0</v>
      </c>
      <c r="AL30" s="46">
        <v>0</v>
      </c>
      <c r="AM30" s="47">
        <v>0.17</v>
      </c>
      <c r="AN30" s="46">
        <v>0</v>
      </c>
      <c r="AO30" s="46">
        <v>0</v>
      </c>
      <c r="AP30" s="46">
        <v>0</v>
      </c>
      <c r="AQ30" s="46">
        <v>0</v>
      </c>
      <c r="AR30" s="46">
        <v>0</v>
      </c>
      <c r="AS30" s="46">
        <v>0</v>
      </c>
      <c r="AT30" s="46">
        <v>0</v>
      </c>
      <c r="AU30" s="47">
        <v>0.06</v>
      </c>
      <c r="AV30" s="46">
        <v>0</v>
      </c>
      <c r="AW30" s="47">
        <v>0.54</v>
      </c>
      <c r="AX30" s="46">
        <v>0</v>
      </c>
      <c r="AY30" s="47">
        <v>0.49</v>
      </c>
    </row>
    <row r="31" spans="1:51" x14ac:dyDescent="0.25">
      <c r="A31" s="45" t="s">
        <v>184</v>
      </c>
      <c r="B31" s="46">
        <v>0</v>
      </c>
      <c r="C31" s="46">
        <v>0</v>
      </c>
      <c r="D31" s="46">
        <v>0</v>
      </c>
      <c r="E31" s="46">
        <v>0</v>
      </c>
      <c r="F31" s="46">
        <v>0</v>
      </c>
      <c r="G31" s="46">
        <v>0</v>
      </c>
      <c r="H31" s="46">
        <v>0</v>
      </c>
      <c r="I31" s="46">
        <v>0</v>
      </c>
      <c r="J31" s="46">
        <v>0</v>
      </c>
      <c r="K31" s="46">
        <v>0</v>
      </c>
      <c r="L31" s="46">
        <v>0</v>
      </c>
      <c r="M31" s="46">
        <v>0</v>
      </c>
      <c r="N31" s="46">
        <v>0</v>
      </c>
      <c r="O31" s="48">
        <v>-0.19</v>
      </c>
      <c r="P31" s="46">
        <v>0</v>
      </c>
      <c r="Q31" s="46">
        <v>0</v>
      </c>
      <c r="R31" s="46">
        <v>0</v>
      </c>
      <c r="S31" s="46">
        <v>0</v>
      </c>
      <c r="T31" s="46">
        <v>0</v>
      </c>
      <c r="U31" s="46">
        <v>0</v>
      </c>
      <c r="V31" s="46">
        <v>0</v>
      </c>
      <c r="W31" s="46">
        <v>0</v>
      </c>
      <c r="X31" s="47">
        <v>0.16</v>
      </c>
      <c r="Y31" s="46">
        <v>0</v>
      </c>
      <c r="Z31" s="47">
        <v>0.27</v>
      </c>
      <c r="AA31" s="46">
        <v>0</v>
      </c>
      <c r="AB31" s="46">
        <v>0</v>
      </c>
      <c r="AC31" s="46">
        <v>0</v>
      </c>
      <c r="AD31" s="46">
        <v>0</v>
      </c>
      <c r="AE31" s="46">
        <v>0</v>
      </c>
      <c r="AF31" s="46">
        <v>0</v>
      </c>
      <c r="AG31" s="46">
        <v>0</v>
      </c>
      <c r="AH31" s="46">
        <v>0</v>
      </c>
      <c r="AI31" s="46">
        <v>0</v>
      </c>
      <c r="AJ31" s="48">
        <v>-0.61</v>
      </c>
      <c r="AK31" s="48">
        <v>-0.74</v>
      </c>
      <c r="AL31" s="46">
        <v>0</v>
      </c>
      <c r="AM31" s="46">
        <v>0</v>
      </c>
      <c r="AN31" s="46">
        <v>0</v>
      </c>
      <c r="AO31" s="46">
        <v>0</v>
      </c>
      <c r="AP31" s="46">
        <v>0</v>
      </c>
      <c r="AQ31" s="46">
        <v>0</v>
      </c>
      <c r="AR31" s="46">
        <v>0</v>
      </c>
      <c r="AS31" s="46">
        <v>0</v>
      </c>
      <c r="AT31" s="46">
        <v>0</v>
      </c>
      <c r="AU31" s="46">
        <v>0</v>
      </c>
      <c r="AV31" s="48">
        <v>-0.19</v>
      </c>
      <c r="AW31" s="48">
        <v>-0.28000000000000003</v>
      </c>
      <c r="AX31" s="46">
        <v>0</v>
      </c>
      <c r="AY31" s="46">
        <v>0</v>
      </c>
    </row>
    <row r="32" spans="1:51" x14ac:dyDescent="0.25">
      <c r="A32" s="45" t="s">
        <v>185</v>
      </c>
      <c r="B32" s="46">
        <v>0</v>
      </c>
      <c r="C32" s="46">
        <v>0</v>
      </c>
      <c r="D32" s="46">
        <v>0</v>
      </c>
      <c r="E32" s="46">
        <v>0</v>
      </c>
      <c r="F32" s="46">
        <v>0</v>
      </c>
      <c r="G32" s="46">
        <v>0</v>
      </c>
      <c r="H32" s="46">
        <v>0</v>
      </c>
      <c r="I32" s="46">
        <v>0</v>
      </c>
      <c r="J32" s="46">
        <v>0</v>
      </c>
      <c r="K32" s="46">
        <v>0</v>
      </c>
      <c r="L32" s="46">
        <v>0</v>
      </c>
      <c r="M32" s="46">
        <v>0.01</v>
      </c>
      <c r="N32" s="48">
        <v>-0.53</v>
      </c>
      <c r="O32" s="46">
        <v>0</v>
      </c>
      <c r="P32" s="48">
        <v>-0.06</v>
      </c>
      <c r="Q32" s="46">
        <v>0</v>
      </c>
      <c r="R32" s="47">
        <v>0.28999999999999998</v>
      </c>
      <c r="S32" s="46">
        <v>0</v>
      </c>
      <c r="T32" s="48">
        <v>-0.56000000000000005</v>
      </c>
      <c r="U32" s="46">
        <v>0</v>
      </c>
      <c r="V32" s="48">
        <v>-1.06</v>
      </c>
      <c r="W32" s="46">
        <v>0</v>
      </c>
      <c r="X32" s="46">
        <v>0</v>
      </c>
      <c r="Y32" s="46">
        <v>0</v>
      </c>
      <c r="Z32" s="46">
        <v>0</v>
      </c>
      <c r="AA32" s="46">
        <v>0</v>
      </c>
      <c r="AB32" s="46">
        <v>0</v>
      </c>
      <c r="AC32" s="46">
        <v>0</v>
      </c>
      <c r="AD32" s="46">
        <v>0</v>
      </c>
      <c r="AE32" s="46">
        <v>0</v>
      </c>
      <c r="AF32" s="48">
        <v>-0.7</v>
      </c>
      <c r="AG32" s="48">
        <v>-0.46</v>
      </c>
      <c r="AH32" s="46">
        <v>0</v>
      </c>
      <c r="AI32" s="48">
        <v>-0.33</v>
      </c>
      <c r="AJ32" s="46">
        <v>0</v>
      </c>
      <c r="AK32" s="46">
        <v>0</v>
      </c>
      <c r="AL32" s="46">
        <v>0</v>
      </c>
      <c r="AM32" s="48">
        <v>-0.81</v>
      </c>
      <c r="AN32" s="46">
        <v>0</v>
      </c>
      <c r="AO32" s="46">
        <v>0</v>
      </c>
      <c r="AP32" s="46">
        <v>0</v>
      </c>
      <c r="AQ32" s="47">
        <v>1.21</v>
      </c>
      <c r="AR32" s="46">
        <v>0</v>
      </c>
      <c r="AS32" s="46">
        <v>0</v>
      </c>
      <c r="AT32" s="46">
        <v>0</v>
      </c>
      <c r="AU32" s="46">
        <v>0</v>
      </c>
      <c r="AV32" s="46">
        <v>0</v>
      </c>
      <c r="AW32" s="46">
        <v>0</v>
      </c>
      <c r="AX32" s="46">
        <v>0</v>
      </c>
      <c r="AY32" s="46">
        <v>0</v>
      </c>
    </row>
    <row r="33" spans="1:51" x14ac:dyDescent="0.25">
      <c r="A33" s="45" t="s">
        <v>186</v>
      </c>
      <c r="B33" s="46">
        <v>0</v>
      </c>
      <c r="C33" s="46">
        <v>0</v>
      </c>
      <c r="D33" s="46">
        <v>0</v>
      </c>
      <c r="E33" s="46">
        <v>0</v>
      </c>
      <c r="F33" s="46">
        <v>0</v>
      </c>
      <c r="G33" s="46">
        <v>0</v>
      </c>
      <c r="H33" s="46">
        <v>0</v>
      </c>
      <c r="I33" s="46">
        <v>0</v>
      </c>
      <c r="J33" s="46">
        <v>0</v>
      </c>
      <c r="K33" s="46">
        <v>0</v>
      </c>
      <c r="L33" s="46">
        <v>0</v>
      </c>
      <c r="M33" s="46">
        <v>0</v>
      </c>
      <c r="N33" s="46">
        <v>0</v>
      </c>
      <c r="O33" s="46">
        <v>0</v>
      </c>
      <c r="P33" s="47">
        <v>1.1200000000000001</v>
      </c>
      <c r="Q33" s="46">
        <v>0</v>
      </c>
      <c r="R33" s="47">
        <v>0.31</v>
      </c>
      <c r="S33" s="46">
        <v>0</v>
      </c>
      <c r="T33" s="46">
        <v>0</v>
      </c>
      <c r="U33" s="46">
        <v>0</v>
      </c>
      <c r="V33" s="46">
        <v>0</v>
      </c>
      <c r="W33" s="46">
        <v>0</v>
      </c>
      <c r="X33" s="46">
        <v>0</v>
      </c>
      <c r="Y33" s="46">
        <v>0</v>
      </c>
      <c r="Z33" s="46">
        <v>0</v>
      </c>
      <c r="AA33" s="46">
        <v>0</v>
      </c>
      <c r="AB33" s="46">
        <v>0</v>
      </c>
      <c r="AC33" s="46">
        <v>0</v>
      </c>
      <c r="AD33" s="46">
        <v>0</v>
      </c>
      <c r="AE33" s="46">
        <v>0</v>
      </c>
      <c r="AF33" s="47">
        <v>0.42</v>
      </c>
      <c r="AG33" s="46">
        <v>0</v>
      </c>
      <c r="AH33" s="46">
        <v>0</v>
      </c>
      <c r="AI33" s="46">
        <v>0</v>
      </c>
      <c r="AJ33" s="46">
        <v>0</v>
      </c>
      <c r="AK33" s="46">
        <v>0</v>
      </c>
      <c r="AL33" s="48">
        <v>-0.3</v>
      </c>
      <c r="AM33" s="46">
        <v>0</v>
      </c>
      <c r="AN33" s="46">
        <v>0</v>
      </c>
      <c r="AO33" s="46">
        <v>0</v>
      </c>
      <c r="AP33" s="46">
        <v>0</v>
      </c>
      <c r="AQ33" s="48">
        <v>-0.48</v>
      </c>
      <c r="AR33" s="47">
        <v>0.1</v>
      </c>
      <c r="AS33" s="46">
        <v>0</v>
      </c>
      <c r="AT33" s="46">
        <v>0</v>
      </c>
      <c r="AU33" s="46">
        <v>0</v>
      </c>
      <c r="AV33" s="46">
        <v>0</v>
      </c>
      <c r="AW33" s="46">
        <v>0</v>
      </c>
      <c r="AX33" s="47">
        <v>0.15</v>
      </c>
      <c r="AY33" s="47">
        <v>7.0000000000000007E-2</v>
      </c>
    </row>
    <row r="34" spans="1:51" x14ac:dyDescent="0.25">
      <c r="A34" s="45" t="s">
        <v>187</v>
      </c>
      <c r="B34" s="46">
        <v>0</v>
      </c>
      <c r="C34" s="46">
        <v>0</v>
      </c>
      <c r="D34" s="46">
        <v>0</v>
      </c>
      <c r="E34" s="46">
        <v>0</v>
      </c>
      <c r="F34" s="46">
        <v>0</v>
      </c>
      <c r="G34" s="46">
        <v>0</v>
      </c>
      <c r="H34" s="46">
        <v>0</v>
      </c>
      <c r="I34" s="46">
        <v>0</v>
      </c>
      <c r="J34" s="46">
        <v>0</v>
      </c>
      <c r="K34" s="46">
        <v>0</v>
      </c>
      <c r="L34" s="46">
        <v>0</v>
      </c>
      <c r="M34" s="46">
        <v>0</v>
      </c>
      <c r="N34" s="46">
        <v>0</v>
      </c>
      <c r="O34" s="46">
        <v>0</v>
      </c>
      <c r="P34" s="46">
        <v>0</v>
      </c>
      <c r="Q34" s="46">
        <v>0</v>
      </c>
      <c r="R34" s="46">
        <v>0</v>
      </c>
      <c r="S34" s="46">
        <v>0</v>
      </c>
      <c r="T34" s="46">
        <v>0</v>
      </c>
      <c r="U34" s="46">
        <v>0</v>
      </c>
      <c r="V34" s="46">
        <v>0</v>
      </c>
      <c r="W34" s="48">
        <v>-0.23</v>
      </c>
      <c r="X34" s="46">
        <v>0</v>
      </c>
      <c r="Y34" s="46">
        <v>0</v>
      </c>
      <c r="Z34" s="46">
        <v>0</v>
      </c>
      <c r="AA34" s="47">
        <v>0.22</v>
      </c>
      <c r="AB34" s="46">
        <v>0</v>
      </c>
      <c r="AC34" s="46">
        <v>0</v>
      </c>
      <c r="AD34" s="46">
        <v>0</v>
      </c>
      <c r="AE34" s="46">
        <v>0</v>
      </c>
      <c r="AF34" s="46">
        <v>0</v>
      </c>
      <c r="AG34" s="46">
        <v>0</v>
      </c>
      <c r="AH34" s="46">
        <v>0</v>
      </c>
      <c r="AI34" s="46">
        <v>0</v>
      </c>
      <c r="AJ34" s="46">
        <v>0</v>
      </c>
      <c r="AK34" s="48">
        <v>-0.36</v>
      </c>
      <c r="AL34" s="46">
        <v>0</v>
      </c>
      <c r="AM34" s="46">
        <v>0</v>
      </c>
      <c r="AN34" s="46">
        <v>0</v>
      </c>
      <c r="AO34" s="46">
        <v>0</v>
      </c>
      <c r="AP34" s="46">
        <v>0</v>
      </c>
      <c r="AQ34" s="46">
        <v>0</v>
      </c>
      <c r="AR34" s="46">
        <v>0</v>
      </c>
      <c r="AS34" s="46">
        <v>0</v>
      </c>
      <c r="AT34" s="47">
        <v>0.43</v>
      </c>
      <c r="AU34" s="46">
        <v>0</v>
      </c>
      <c r="AV34" s="46">
        <v>0</v>
      </c>
      <c r="AW34" s="48">
        <v>-0.47</v>
      </c>
      <c r="AX34" s="46">
        <v>0</v>
      </c>
      <c r="AY34" s="46">
        <v>0</v>
      </c>
    </row>
    <row r="35" spans="1:51" x14ac:dyDescent="0.25">
      <c r="A35" s="45" t="s">
        <v>188</v>
      </c>
      <c r="B35" s="46">
        <v>0</v>
      </c>
      <c r="C35" s="46">
        <v>0</v>
      </c>
      <c r="D35" s="46">
        <v>0</v>
      </c>
      <c r="E35" s="46">
        <v>0</v>
      </c>
      <c r="F35" s="46">
        <v>0</v>
      </c>
      <c r="G35" s="46">
        <v>0</v>
      </c>
      <c r="H35" s="46">
        <v>0</v>
      </c>
      <c r="I35" s="46">
        <v>0</v>
      </c>
      <c r="J35" s="46">
        <v>0</v>
      </c>
      <c r="K35" s="46">
        <v>0</v>
      </c>
      <c r="L35" s="46">
        <v>0</v>
      </c>
      <c r="M35" s="46">
        <v>0</v>
      </c>
      <c r="N35" s="46">
        <v>0</v>
      </c>
      <c r="O35" s="46">
        <v>0</v>
      </c>
      <c r="P35" s="46">
        <v>0</v>
      </c>
      <c r="Q35" s="46">
        <v>0</v>
      </c>
      <c r="R35" s="46">
        <v>0</v>
      </c>
      <c r="S35" s="48">
        <v>-0.76</v>
      </c>
      <c r="T35" s="46">
        <v>0</v>
      </c>
      <c r="U35" s="46">
        <v>0</v>
      </c>
      <c r="V35" s="46">
        <v>0</v>
      </c>
      <c r="W35" s="48">
        <v>-0.38</v>
      </c>
      <c r="X35" s="46">
        <v>0</v>
      </c>
      <c r="Y35" s="48">
        <v>-0.06</v>
      </c>
      <c r="Z35" s="46">
        <v>0</v>
      </c>
      <c r="AA35" s="46">
        <v>0</v>
      </c>
      <c r="AB35" s="46">
        <v>0</v>
      </c>
      <c r="AC35" s="46">
        <v>0</v>
      </c>
      <c r="AD35" s="46">
        <v>0</v>
      </c>
      <c r="AE35" s="46">
        <v>0</v>
      </c>
      <c r="AF35" s="46">
        <v>0</v>
      </c>
      <c r="AG35" s="46">
        <v>0</v>
      </c>
      <c r="AH35" s="46">
        <v>0</v>
      </c>
      <c r="AI35" s="46">
        <v>0</v>
      </c>
      <c r="AJ35" s="46">
        <v>0</v>
      </c>
      <c r="AK35" s="48">
        <v>-0.09</v>
      </c>
      <c r="AL35" s="46">
        <v>0</v>
      </c>
      <c r="AM35" s="47">
        <v>0.04</v>
      </c>
      <c r="AN35" s="46">
        <v>0</v>
      </c>
      <c r="AO35" s="46">
        <v>0</v>
      </c>
      <c r="AP35" s="46">
        <v>0</v>
      </c>
      <c r="AQ35" s="46">
        <v>0</v>
      </c>
      <c r="AR35" s="48">
        <v>-0.17</v>
      </c>
      <c r="AS35" s="47">
        <v>0.55000000000000004</v>
      </c>
      <c r="AT35" s="46">
        <v>0</v>
      </c>
      <c r="AU35" s="46">
        <v>0</v>
      </c>
      <c r="AV35" s="46">
        <v>0</v>
      </c>
      <c r="AW35" s="48">
        <v>-0.06</v>
      </c>
      <c r="AX35" s="46">
        <v>0</v>
      </c>
      <c r="AY35" s="46">
        <v>0</v>
      </c>
    </row>
    <row r="36" spans="1:51" x14ac:dyDescent="0.25">
      <c r="A36" s="45" t="s">
        <v>189</v>
      </c>
      <c r="B36" s="46">
        <v>0</v>
      </c>
      <c r="C36" s="46">
        <v>0</v>
      </c>
      <c r="D36" s="46">
        <v>0</v>
      </c>
      <c r="E36" s="46">
        <v>0</v>
      </c>
      <c r="F36" s="46">
        <v>0</v>
      </c>
      <c r="G36" s="46">
        <v>0</v>
      </c>
      <c r="H36" s="46">
        <v>0</v>
      </c>
      <c r="I36" s="46">
        <v>0</v>
      </c>
      <c r="J36" s="46">
        <v>0</v>
      </c>
      <c r="K36" s="46">
        <v>0</v>
      </c>
      <c r="L36" s="48">
        <v>-0.46</v>
      </c>
      <c r="M36" s="46">
        <v>0</v>
      </c>
      <c r="N36" s="46">
        <v>0</v>
      </c>
      <c r="O36" s="48">
        <v>-0.27</v>
      </c>
      <c r="P36" s="46">
        <v>0</v>
      </c>
      <c r="Q36" s="46">
        <v>0</v>
      </c>
      <c r="R36" s="46">
        <v>0</v>
      </c>
      <c r="S36" s="46">
        <v>0</v>
      </c>
      <c r="T36" s="46">
        <v>0</v>
      </c>
      <c r="U36" s="46">
        <v>0</v>
      </c>
      <c r="V36" s="46">
        <v>0</v>
      </c>
      <c r="W36" s="46">
        <v>0</v>
      </c>
      <c r="X36" s="46">
        <v>0</v>
      </c>
      <c r="Y36" s="46">
        <v>0</v>
      </c>
      <c r="Z36" s="48">
        <v>-0.44</v>
      </c>
      <c r="AA36" s="46">
        <v>0</v>
      </c>
      <c r="AB36" s="48">
        <v>-0.3</v>
      </c>
      <c r="AC36" s="46">
        <v>0</v>
      </c>
      <c r="AD36" s="48">
        <v>-0.51</v>
      </c>
      <c r="AE36" s="46">
        <v>0</v>
      </c>
      <c r="AF36" s="48">
        <v>-0.02</v>
      </c>
      <c r="AG36" s="46">
        <v>0</v>
      </c>
      <c r="AH36" s="48">
        <v>-0.03</v>
      </c>
      <c r="AI36" s="46">
        <v>0</v>
      </c>
      <c r="AJ36" s="46">
        <v>0</v>
      </c>
      <c r="AK36" s="46">
        <v>0</v>
      </c>
      <c r="AL36" s="46">
        <v>0</v>
      </c>
      <c r="AM36" s="47">
        <v>0.84</v>
      </c>
      <c r="AN36" s="46">
        <v>0</v>
      </c>
      <c r="AO36" s="48">
        <v>-0.09</v>
      </c>
      <c r="AP36" s="46">
        <v>0</v>
      </c>
      <c r="AQ36" s="46">
        <v>0</v>
      </c>
      <c r="AR36" s="47">
        <v>7.0000000000000007E-2</v>
      </c>
      <c r="AS36" s="46">
        <v>0</v>
      </c>
      <c r="AT36" s="47">
        <v>0.18</v>
      </c>
      <c r="AU36" s="46">
        <v>0</v>
      </c>
      <c r="AV36" s="46">
        <v>0</v>
      </c>
      <c r="AW36" s="46">
        <v>0</v>
      </c>
      <c r="AX36" s="46">
        <v>0</v>
      </c>
      <c r="AY36" s="46">
        <v>0</v>
      </c>
    </row>
    <row r="37" spans="1:51" x14ac:dyDescent="0.25">
      <c r="A37" s="45" t="s">
        <v>190</v>
      </c>
      <c r="B37" s="46">
        <v>0</v>
      </c>
      <c r="C37" s="46">
        <v>0</v>
      </c>
      <c r="D37" s="46">
        <v>0</v>
      </c>
      <c r="E37" s="46">
        <v>0</v>
      </c>
      <c r="F37" s="46">
        <v>0</v>
      </c>
      <c r="G37" s="46">
        <v>0</v>
      </c>
      <c r="H37" s="46">
        <v>0</v>
      </c>
      <c r="I37" s="46">
        <v>0</v>
      </c>
      <c r="J37" s="46">
        <v>0</v>
      </c>
      <c r="K37" s="46">
        <v>0</v>
      </c>
      <c r="L37" s="46">
        <v>0</v>
      </c>
      <c r="M37" s="46">
        <v>0</v>
      </c>
      <c r="N37" s="48">
        <v>-0.61</v>
      </c>
      <c r="O37" s="47">
        <v>0.38</v>
      </c>
      <c r="P37" s="46">
        <v>0</v>
      </c>
      <c r="Q37" s="46">
        <v>0</v>
      </c>
      <c r="R37" s="46">
        <v>0</v>
      </c>
      <c r="S37" s="46">
        <v>0</v>
      </c>
      <c r="T37" s="46">
        <v>0</v>
      </c>
      <c r="U37" s="47">
        <v>0.51</v>
      </c>
      <c r="V37" s="46">
        <v>0</v>
      </c>
      <c r="W37" s="46">
        <v>0</v>
      </c>
      <c r="X37" s="46">
        <v>0</v>
      </c>
      <c r="Y37" s="46">
        <v>0</v>
      </c>
      <c r="Z37" s="46">
        <v>0</v>
      </c>
      <c r="AA37" s="46">
        <v>0</v>
      </c>
      <c r="AB37" s="46">
        <v>0</v>
      </c>
      <c r="AC37" s="47">
        <v>0.55000000000000004</v>
      </c>
      <c r="AD37" s="46">
        <v>0</v>
      </c>
      <c r="AE37" s="48">
        <v>-0.08</v>
      </c>
      <c r="AF37" s="46">
        <v>0</v>
      </c>
      <c r="AG37" s="47">
        <v>0.51</v>
      </c>
      <c r="AH37" s="46">
        <v>0</v>
      </c>
      <c r="AI37" s="46">
        <v>0</v>
      </c>
      <c r="AJ37" s="47">
        <v>0.63</v>
      </c>
      <c r="AK37" s="46">
        <v>0</v>
      </c>
      <c r="AL37" s="46">
        <v>0</v>
      </c>
      <c r="AM37" s="48">
        <v>-0.45</v>
      </c>
      <c r="AN37" s="46">
        <v>0</v>
      </c>
      <c r="AO37" s="46">
        <v>0</v>
      </c>
      <c r="AP37" s="47">
        <v>0.7</v>
      </c>
      <c r="AQ37" s="46">
        <v>0</v>
      </c>
      <c r="AR37" s="47">
        <v>0.63</v>
      </c>
      <c r="AS37" s="46">
        <v>0</v>
      </c>
      <c r="AT37" s="47">
        <v>0.05</v>
      </c>
      <c r="AU37" s="47">
        <v>0.33</v>
      </c>
      <c r="AV37" s="47">
        <v>0.03</v>
      </c>
      <c r="AW37" s="46">
        <v>0</v>
      </c>
      <c r="AX37" s="46">
        <v>0</v>
      </c>
      <c r="AY37" s="46">
        <v>0</v>
      </c>
    </row>
    <row r="38" spans="1:51" x14ac:dyDescent="0.25">
      <c r="A38" s="45" t="s">
        <v>191</v>
      </c>
      <c r="B38" s="46">
        <v>0</v>
      </c>
      <c r="C38" s="46">
        <v>0</v>
      </c>
      <c r="D38" s="46">
        <v>0</v>
      </c>
      <c r="E38" s="46">
        <v>0</v>
      </c>
      <c r="F38" s="46">
        <v>0</v>
      </c>
      <c r="G38" s="46">
        <v>0</v>
      </c>
      <c r="H38" s="46">
        <v>0</v>
      </c>
      <c r="I38" s="46">
        <v>0</v>
      </c>
      <c r="J38" s="46">
        <v>0</v>
      </c>
      <c r="K38" s="46">
        <v>0</v>
      </c>
      <c r="L38" s="46">
        <v>0</v>
      </c>
      <c r="M38" s="46">
        <v>0</v>
      </c>
      <c r="N38" s="46">
        <v>0</v>
      </c>
      <c r="O38" s="46">
        <v>0</v>
      </c>
      <c r="P38" s="46">
        <v>0</v>
      </c>
      <c r="Q38" s="46">
        <v>0</v>
      </c>
      <c r="R38" s="46">
        <v>0</v>
      </c>
      <c r="S38" s="46">
        <v>0</v>
      </c>
      <c r="T38" s="46">
        <v>0</v>
      </c>
      <c r="U38" s="46">
        <v>0</v>
      </c>
      <c r="V38" s="46">
        <v>0</v>
      </c>
      <c r="W38" s="46">
        <v>0</v>
      </c>
      <c r="X38" s="46">
        <v>0</v>
      </c>
      <c r="Y38" s="46">
        <v>0</v>
      </c>
      <c r="Z38" s="46">
        <v>0</v>
      </c>
      <c r="AA38" s="46">
        <v>0</v>
      </c>
      <c r="AB38" s="46">
        <v>0</v>
      </c>
      <c r="AC38" s="46">
        <v>0</v>
      </c>
      <c r="AD38" s="47">
        <v>0.36</v>
      </c>
      <c r="AE38" s="46">
        <v>0</v>
      </c>
      <c r="AF38" s="46">
        <v>0</v>
      </c>
      <c r="AG38" s="48">
        <v>-0.25</v>
      </c>
      <c r="AH38" s="46">
        <v>0</v>
      </c>
      <c r="AI38" s="48">
        <v>-0.28999999999999998</v>
      </c>
      <c r="AJ38" s="46">
        <v>0</v>
      </c>
      <c r="AK38" s="46">
        <v>0</v>
      </c>
      <c r="AL38" s="46">
        <v>0</v>
      </c>
      <c r="AM38" s="46">
        <v>0</v>
      </c>
      <c r="AN38" s="46">
        <v>0</v>
      </c>
      <c r="AO38" s="46">
        <v>0</v>
      </c>
      <c r="AP38" s="46">
        <v>0</v>
      </c>
      <c r="AQ38" s="46">
        <v>0</v>
      </c>
      <c r="AR38" s="46">
        <v>0</v>
      </c>
      <c r="AS38" s="46">
        <v>0</v>
      </c>
      <c r="AT38" s="47">
        <v>0.09</v>
      </c>
      <c r="AU38" s="47">
        <v>0.3</v>
      </c>
      <c r="AV38" s="46">
        <v>0</v>
      </c>
      <c r="AW38" s="46">
        <v>0</v>
      </c>
      <c r="AX38" s="46">
        <v>0</v>
      </c>
      <c r="AY38" s="46">
        <v>0</v>
      </c>
    </row>
    <row r="39" spans="1:51" x14ac:dyDescent="0.25">
      <c r="A39" s="45" t="s">
        <v>192</v>
      </c>
      <c r="B39" s="46">
        <v>0</v>
      </c>
      <c r="C39" s="46">
        <v>0</v>
      </c>
      <c r="D39" s="46">
        <v>0</v>
      </c>
      <c r="E39" s="46">
        <v>0</v>
      </c>
      <c r="F39" s="46">
        <v>0</v>
      </c>
      <c r="G39" s="46">
        <v>0</v>
      </c>
      <c r="H39" s="46">
        <v>0</v>
      </c>
      <c r="I39" s="46">
        <v>0</v>
      </c>
      <c r="J39" s="46">
        <v>0</v>
      </c>
      <c r="K39" s="46">
        <v>0</v>
      </c>
      <c r="L39" s="46">
        <v>0</v>
      </c>
      <c r="M39" s="47">
        <v>0.31</v>
      </c>
      <c r="N39" s="46">
        <v>0</v>
      </c>
      <c r="O39" s="46">
        <v>0</v>
      </c>
      <c r="P39" s="46">
        <v>0</v>
      </c>
      <c r="Q39" s="46">
        <v>0</v>
      </c>
      <c r="R39" s="46">
        <v>0</v>
      </c>
      <c r="S39" s="46">
        <v>0</v>
      </c>
      <c r="T39" s="46">
        <v>0</v>
      </c>
      <c r="U39" s="46">
        <v>0</v>
      </c>
      <c r="V39" s="48">
        <v>-0.21</v>
      </c>
      <c r="W39" s="48">
        <v>-0.12</v>
      </c>
      <c r="X39" s="47">
        <v>0.8</v>
      </c>
      <c r="Y39" s="46">
        <v>0</v>
      </c>
      <c r="Z39" s="46">
        <v>0</v>
      </c>
      <c r="AA39" s="46">
        <v>0</v>
      </c>
      <c r="AB39" s="46">
        <v>0</v>
      </c>
      <c r="AC39" s="46">
        <v>0</v>
      </c>
      <c r="AD39" s="46">
        <v>0</v>
      </c>
      <c r="AE39" s="48">
        <v>-0.03</v>
      </c>
      <c r="AF39" s="48">
        <v>-0.02</v>
      </c>
      <c r="AG39" s="46">
        <v>0</v>
      </c>
      <c r="AH39" s="46">
        <v>0</v>
      </c>
      <c r="AI39" s="47">
        <v>0.52</v>
      </c>
      <c r="AJ39" s="46">
        <v>0</v>
      </c>
      <c r="AK39" s="46">
        <v>0</v>
      </c>
      <c r="AL39" s="46">
        <v>0</v>
      </c>
      <c r="AM39" s="46">
        <v>0</v>
      </c>
      <c r="AN39" s="46">
        <v>0</v>
      </c>
      <c r="AO39" s="46">
        <v>0</v>
      </c>
      <c r="AP39" s="46">
        <v>0</v>
      </c>
      <c r="AQ39" s="47">
        <v>0.32</v>
      </c>
      <c r="AR39" s="46">
        <v>0</v>
      </c>
      <c r="AS39" s="47">
        <v>1.4</v>
      </c>
      <c r="AT39" s="48">
        <v>-0.24</v>
      </c>
      <c r="AU39" s="46">
        <v>0</v>
      </c>
      <c r="AV39" s="47">
        <v>0.48</v>
      </c>
      <c r="AW39" s="46">
        <v>0</v>
      </c>
      <c r="AX39" s="48">
        <v>-0.76</v>
      </c>
      <c r="AY39" s="46">
        <v>0</v>
      </c>
    </row>
    <row r="40" spans="1:51" x14ac:dyDescent="0.25">
      <c r="A40" s="45" t="s">
        <v>193</v>
      </c>
      <c r="B40" s="46">
        <v>0</v>
      </c>
      <c r="C40" s="46">
        <v>0</v>
      </c>
      <c r="D40" s="46">
        <v>0</v>
      </c>
      <c r="E40" s="46">
        <v>0</v>
      </c>
      <c r="F40" s="46">
        <v>0</v>
      </c>
      <c r="G40" s="46">
        <v>0</v>
      </c>
      <c r="H40" s="46">
        <v>0</v>
      </c>
      <c r="I40" s="46">
        <v>0</v>
      </c>
      <c r="J40" s="46">
        <v>0</v>
      </c>
      <c r="K40" s="46">
        <v>0</v>
      </c>
      <c r="L40" s="46">
        <v>0</v>
      </c>
      <c r="M40" s="46">
        <v>0</v>
      </c>
      <c r="N40" s="48">
        <v>-0.57999999999999996</v>
      </c>
      <c r="O40" s="46">
        <v>0</v>
      </c>
      <c r="P40" s="46">
        <v>0</v>
      </c>
      <c r="Q40" s="46">
        <v>0</v>
      </c>
      <c r="R40" s="46">
        <v>0</v>
      </c>
      <c r="S40" s="48">
        <v>-0.44</v>
      </c>
      <c r="T40" s="48">
        <v>-0.05</v>
      </c>
      <c r="U40" s="46">
        <v>0</v>
      </c>
      <c r="V40" s="46">
        <v>0</v>
      </c>
      <c r="W40" s="46">
        <v>0</v>
      </c>
      <c r="X40" s="46">
        <v>0</v>
      </c>
      <c r="Y40" s="46">
        <v>0</v>
      </c>
      <c r="Z40" s="46">
        <v>0</v>
      </c>
      <c r="AA40" s="46">
        <v>0</v>
      </c>
      <c r="AB40" s="46">
        <v>0</v>
      </c>
      <c r="AC40" s="46">
        <v>0</v>
      </c>
      <c r="AD40" s="46">
        <v>0</v>
      </c>
      <c r="AE40" s="46">
        <v>0</v>
      </c>
      <c r="AF40" s="46">
        <v>0</v>
      </c>
      <c r="AG40" s="47">
        <v>0.61</v>
      </c>
      <c r="AH40" s="46">
        <v>0</v>
      </c>
      <c r="AI40" s="46">
        <v>0</v>
      </c>
      <c r="AJ40" s="46">
        <v>0</v>
      </c>
      <c r="AK40" s="46">
        <v>0</v>
      </c>
      <c r="AL40" s="46">
        <v>0</v>
      </c>
      <c r="AM40" s="46">
        <v>0</v>
      </c>
      <c r="AN40" s="46">
        <v>0</v>
      </c>
      <c r="AO40" s="46">
        <v>0</v>
      </c>
      <c r="AP40" s="46">
        <v>0</v>
      </c>
      <c r="AQ40" s="47">
        <v>0.25</v>
      </c>
      <c r="AR40" s="47">
        <v>0.49</v>
      </c>
      <c r="AS40" s="47">
        <v>0.18</v>
      </c>
      <c r="AT40" s="46">
        <v>0</v>
      </c>
      <c r="AU40" s="47">
        <v>0.46</v>
      </c>
      <c r="AV40" s="47">
        <v>0.71</v>
      </c>
      <c r="AW40" s="46">
        <v>0</v>
      </c>
      <c r="AX40" s="46">
        <v>0</v>
      </c>
      <c r="AY40" s="46">
        <v>0</v>
      </c>
    </row>
    <row r="41" spans="1:51" x14ac:dyDescent="0.25">
      <c r="A41" s="45" t="s">
        <v>194</v>
      </c>
      <c r="B41" s="46">
        <v>0</v>
      </c>
      <c r="C41" s="46">
        <v>0</v>
      </c>
      <c r="D41" s="46">
        <v>0</v>
      </c>
      <c r="E41" s="46">
        <v>0</v>
      </c>
      <c r="F41" s="46">
        <v>0</v>
      </c>
      <c r="G41" s="46">
        <v>0</v>
      </c>
      <c r="H41" s="46">
        <v>0</v>
      </c>
      <c r="I41" s="46">
        <v>0</v>
      </c>
      <c r="J41" s="46">
        <v>0</v>
      </c>
      <c r="K41" s="46">
        <v>0</v>
      </c>
      <c r="L41" s="46">
        <v>0</v>
      </c>
      <c r="M41" s="46">
        <v>0</v>
      </c>
      <c r="N41" s="46">
        <v>0</v>
      </c>
      <c r="O41" s="48">
        <v>-0.38</v>
      </c>
      <c r="P41" s="46">
        <v>0</v>
      </c>
      <c r="Q41" s="48">
        <v>-0.89</v>
      </c>
      <c r="R41" s="46">
        <v>0</v>
      </c>
      <c r="S41" s="47">
        <v>0.05</v>
      </c>
      <c r="T41" s="46">
        <v>0</v>
      </c>
      <c r="U41" s="46">
        <v>0</v>
      </c>
      <c r="V41" s="46">
        <v>0</v>
      </c>
      <c r="W41" s="46">
        <v>0</v>
      </c>
      <c r="X41" s="46">
        <v>0</v>
      </c>
      <c r="Y41" s="46">
        <v>0</v>
      </c>
      <c r="Z41" s="47">
        <v>0.27</v>
      </c>
      <c r="AA41" s="46">
        <v>0</v>
      </c>
      <c r="AB41" s="46">
        <v>0</v>
      </c>
      <c r="AC41" s="47">
        <v>0.41</v>
      </c>
      <c r="AD41" s="46">
        <v>0</v>
      </c>
      <c r="AE41" s="46">
        <v>0</v>
      </c>
      <c r="AF41" s="46">
        <v>0</v>
      </c>
      <c r="AG41" s="46">
        <v>0</v>
      </c>
      <c r="AH41" s="46">
        <v>0</v>
      </c>
      <c r="AI41" s="46">
        <v>0</v>
      </c>
      <c r="AJ41" s="46">
        <v>0</v>
      </c>
      <c r="AK41" s="46">
        <v>0</v>
      </c>
      <c r="AL41" s="46">
        <v>0</v>
      </c>
      <c r="AM41" s="46">
        <v>0</v>
      </c>
      <c r="AN41" s="46">
        <v>0</v>
      </c>
      <c r="AO41" s="46">
        <v>0</v>
      </c>
      <c r="AP41" s="46">
        <v>0</v>
      </c>
      <c r="AQ41" s="46">
        <v>0</v>
      </c>
      <c r="AR41" s="46">
        <v>0</v>
      </c>
      <c r="AS41" s="46">
        <v>0</v>
      </c>
      <c r="AT41" s="46">
        <v>0</v>
      </c>
      <c r="AU41" s="46">
        <v>0</v>
      </c>
      <c r="AV41" s="46">
        <v>0</v>
      </c>
      <c r="AW41" s="46">
        <v>0</v>
      </c>
      <c r="AX41" s="47">
        <v>0.53</v>
      </c>
      <c r="AY41" s="46">
        <v>0</v>
      </c>
    </row>
    <row r="42" spans="1:51" x14ac:dyDescent="0.25">
      <c r="A42" s="45" t="s">
        <v>195</v>
      </c>
      <c r="B42" s="46">
        <v>0</v>
      </c>
      <c r="C42" s="46">
        <v>0</v>
      </c>
      <c r="D42" s="46">
        <v>0</v>
      </c>
      <c r="E42" s="46">
        <v>0</v>
      </c>
      <c r="F42" s="46">
        <v>0</v>
      </c>
      <c r="G42" s="46">
        <v>0</v>
      </c>
      <c r="H42" s="46">
        <v>0</v>
      </c>
      <c r="I42" s="46">
        <v>0</v>
      </c>
      <c r="J42" s="46">
        <v>0</v>
      </c>
      <c r="K42" s="46">
        <v>0</v>
      </c>
      <c r="L42" s="46">
        <v>0</v>
      </c>
      <c r="M42" s="46">
        <v>0</v>
      </c>
      <c r="N42" s="46">
        <v>0</v>
      </c>
      <c r="O42" s="46">
        <v>0</v>
      </c>
      <c r="P42" s="46">
        <v>0</v>
      </c>
      <c r="Q42" s="46">
        <v>0</v>
      </c>
      <c r="R42" s="46">
        <v>0</v>
      </c>
      <c r="S42" s="46">
        <v>0</v>
      </c>
      <c r="T42" s="46">
        <v>0</v>
      </c>
      <c r="U42" s="46">
        <v>0</v>
      </c>
      <c r="V42" s="46">
        <v>0</v>
      </c>
      <c r="W42" s="46">
        <v>0</v>
      </c>
      <c r="X42" s="46">
        <v>0</v>
      </c>
      <c r="Y42" s="46">
        <v>0</v>
      </c>
      <c r="Z42" s="46">
        <v>0</v>
      </c>
      <c r="AA42" s="46">
        <v>0</v>
      </c>
      <c r="AB42" s="48">
        <v>-0.67</v>
      </c>
      <c r="AC42" s="46">
        <v>0</v>
      </c>
      <c r="AD42" s="46">
        <v>0</v>
      </c>
      <c r="AE42" s="46">
        <v>0</v>
      </c>
      <c r="AF42" s="46">
        <v>0</v>
      </c>
      <c r="AG42" s="46">
        <v>0</v>
      </c>
      <c r="AH42" s="47">
        <v>0.56999999999999995</v>
      </c>
      <c r="AI42" s="46">
        <v>0</v>
      </c>
      <c r="AJ42" s="46">
        <v>0</v>
      </c>
      <c r="AK42" s="46">
        <v>0</v>
      </c>
      <c r="AL42" s="46">
        <v>0</v>
      </c>
      <c r="AM42" s="46">
        <v>0</v>
      </c>
      <c r="AN42" s="46">
        <v>0</v>
      </c>
      <c r="AO42" s="46">
        <v>0</v>
      </c>
      <c r="AP42" s="47">
        <v>0.56999999999999995</v>
      </c>
      <c r="AQ42" s="47">
        <v>0.06</v>
      </c>
      <c r="AR42" s="46">
        <v>0</v>
      </c>
      <c r="AS42" s="47">
        <v>0.14000000000000001</v>
      </c>
      <c r="AT42" s="46">
        <v>0</v>
      </c>
      <c r="AU42" s="46">
        <v>0</v>
      </c>
      <c r="AV42" s="46">
        <v>0</v>
      </c>
      <c r="AW42" s="46">
        <v>0</v>
      </c>
      <c r="AX42" s="48">
        <v>-0.06</v>
      </c>
      <c r="AY42" s="46">
        <v>0</v>
      </c>
    </row>
    <row r="43" spans="1:51" x14ac:dyDescent="0.25">
      <c r="A43" s="45" t="s">
        <v>196</v>
      </c>
      <c r="B43" s="46">
        <v>0</v>
      </c>
      <c r="C43" s="46">
        <v>0</v>
      </c>
      <c r="D43" s="46">
        <v>0</v>
      </c>
      <c r="E43" s="46">
        <v>0</v>
      </c>
      <c r="F43" s="46">
        <v>0</v>
      </c>
      <c r="G43" s="46">
        <v>0</v>
      </c>
      <c r="H43" s="46">
        <v>0</v>
      </c>
      <c r="I43" s="46">
        <v>0</v>
      </c>
      <c r="J43" s="46">
        <v>0</v>
      </c>
      <c r="K43" s="46">
        <v>0</v>
      </c>
      <c r="L43" s="46">
        <v>0</v>
      </c>
      <c r="M43" s="46">
        <v>0</v>
      </c>
      <c r="N43" s="46">
        <v>0</v>
      </c>
      <c r="O43" s="46">
        <v>0</v>
      </c>
      <c r="P43" s="46">
        <v>0</v>
      </c>
      <c r="Q43" s="46">
        <v>0</v>
      </c>
      <c r="R43" s="46">
        <v>0</v>
      </c>
      <c r="S43" s="46">
        <v>0</v>
      </c>
      <c r="T43" s="46">
        <v>0</v>
      </c>
      <c r="U43" s="47">
        <v>0.6</v>
      </c>
      <c r="V43" s="46">
        <v>0</v>
      </c>
      <c r="W43" s="46">
        <v>0</v>
      </c>
      <c r="X43" s="46">
        <v>0</v>
      </c>
      <c r="Y43" s="46">
        <v>0</v>
      </c>
      <c r="Z43" s="47">
        <v>0.26</v>
      </c>
      <c r="AA43" s="48">
        <v>-0.4</v>
      </c>
      <c r="AB43" s="46">
        <v>0</v>
      </c>
      <c r="AC43" s="46">
        <v>0</v>
      </c>
      <c r="AD43" s="46">
        <v>0</v>
      </c>
      <c r="AE43" s="46">
        <v>0</v>
      </c>
      <c r="AF43" s="46">
        <v>0</v>
      </c>
      <c r="AG43" s="46">
        <v>0</v>
      </c>
      <c r="AH43" s="46">
        <v>0</v>
      </c>
      <c r="AI43" s="46">
        <v>0</v>
      </c>
      <c r="AJ43" s="46">
        <v>0</v>
      </c>
      <c r="AK43" s="46">
        <v>0</v>
      </c>
      <c r="AL43" s="46">
        <v>0</v>
      </c>
      <c r="AM43" s="48">
        <v>-0.13</v>
      </c>
      <c r="AN43" s="46">
        <v>0</v>
      </c>
      <c r="AO43" s="46">
        <v>0</v>
      </c>
      <c r="AP43" s="48">
        <v>-0.18</v>
      </c>
      <c r="AQ43" s="46">
        <v>0</v>
      </c>
      <c r="AR43" s="48">
        <v>-0.12</v>
      </c>
      <c r="AS43" s="46">
        <v>0.01</v>
      </c>
      <c r="AT43" s="46">
        <v>0</v>
      </c>
      <c r="AU43" s="47">
        <v>0.61</v>
      </c>
      <c r="AV43" s="46">
        <v>0</v>
      </c>
      <c r="AW43" s="46">
        <v>0</v>
      </c>
      <c r="AX43" s="46">
        <v>0</v>
      </c>
      <c r="AY43" s="46">
        <v>0</v>
      </c>
    </row>
    <row r="44" spans="1:51" x14ac:dyDescent="0.25">
      <c r="A44" s="45" t="s">
        <v>197</v>
      </c>
      <c r="B44" s="46">
        <v>0</v>
      </c>
      <c r="C44" s="46">
        <v>0</v>
      </c>
      <c r="D44" s="46">
        <v>0</v>
      </c>
      <c r="E44" s="46">
        <v>0</v>
      </c>
      <c r="F44" s="46">
        <v>0</v>
      </c>
      <c r="G44" s="46">
        <v>0</v>
      </c>
      <c r="H44" s="46">
        <v>0</v>
      </c>
      <c r="I44" s="46">
        <v>0</v>
      </c>
      <c r="J44" s="46">
        <v>0</v>
      </c>
      <c r="K44" s="46">
        <v>0</v>
      </c>
      <c r="L44" s="46">
        <v>0</v>
      </c>
      <c r="M44" s="46">
        <v>0</v>
      </c>
      <c r="N44" s="46">
        <v>0</v>
      </c>
      <c r="O44" s="46">
        <v>0</v>
      </c>
      <c r="P44" s="46">
        <v>0</v>
      </c>
      <c r="Q44" s="46">
        <v>0</v>
      </c>
      <c r="R44" s="46">
        <v>0</v>
      </c>
      <c r="S44" s="46">
        <v>0</v>
      </c>
      <c r="T44" s="46">
        <v>0</v>
      </c>
      <c r="U44" s="46">
        <v>0</v>
      </c>
      <c r="V44" s="46">
        <v>0</v>
      </c>
      <c r="W44" s="46">
        <v>0</v>
      </c>
      <c r="X44" s="46">
        <v>0</v>
      </c>
      <c r="Y44" s="46">
        <v>0</v>
      </c>
      <c r="Z44" s="46">
        <v>0</v>
      </c>
      <c r="AA44" s="46">
        <v>0</v>
      </c>
      <c r="AB44" s="47">
        <v>0.15</v>
      </c>
      <c r="AC44" s="47">
        <v>0.77</v>
      </c>
      <c r="AD44" s="46">
        <v>0</v>
      </c>
      <c r="AE44" s="46">
        <v>0</v>
      </c>
      <c r="AF44" s="46">
        <v>0</v>
      </c>
      <c r="AG44" s="46">
        <v>0</v>
      </c>
      <c r="AH44" s="46">
        <v>0</v>
      </c>
      <c r="AI44" s="46">
        <v>0</v>
      </c>
      <c r="AJ44" s="46">
        <v>0</v>
      </c>
      <c r="AK44" s="46">
        <v>0</v>
      </c>
      <c r="AL44" s="46">
        <v>0</v>
      </c>
      <c r="AM44" s="46">
        <v>0</v>
      </c>
      <c r="AN44" s="46">
        <v>0</v>
      </c>
      <c r="AO44" s="46">
        <v>0</v>
      </c>
      <c r="AP44" s="46">
        <v>0</v>
      </c>
      <c r="AQ44" s="47">
        <v>0.95</v>
      </c>
      <c r="AR44" s="47">
        <v>0.83</v>
      </c>
      <c r="AS44" s="46">
        <v>0</v>
      </c>
      <c r="AT44" s="46">
        <v>0</v>
      </c>
      <c r="AU44" s="46">
        <v>0</v>
      </c>
      <c r="AV44" s="46">
        <v>0</v>
      </c>
      <c r="AW44" s="46">
        <v>0</v>
      </c>
      <c r="AX44" s="46">
        <v>0</v>
      </c>
      <c r="AY44" s="46">
        <v>0</v>
      </c>
    </row>
    <row r="45" spans="1:51" x14ac:dyDescent="0.25">
      <c r="A45" s="45" t="s">
        <v>198</v>
      </c>
      <c r="B45" s="46">
        <v>0</v>
      </c>
      <c r="C45" s="46">
        <v>0</v>
      </c>
      <c r="D45" s="46">
        <v>0</v>
      </c>
      <c r="E45" s="46">
        <v>0</v>
      </c>
      <c r="F45" s="46">
        <v>0</v>
      </c>
      <c r="G45" s="46">
        <v>0</v>
      </c>
      <c r="H45" s="46">
        <v>0</v>
      </c>
      <c r="I45" s="46">
        <v>0</v>
      </c>
      <c r="J45" s="46">
        <v>0</v>
      </c>
      <c r="K45" s="46">
        <v>0</v>
      </c>
      <c r="L45" s="46">
        <v>0</v>
      </c>
      <c r="M45" s="46">
        <v>0</v>
      </c>
      <c r="N45" s="46">
        <v>0</v>
      </c>
      <c r="O45" s="46">
        <v>0</v>
      </c>
      <c r="P45" s="46">
        <v>0</v>
      </c>
      <c r="Q45" s="46">
        <v>0</v>
      </c>
      <c r="R45" s="46">
        <v>0</v>
      </c>
      <c r="S45" s="47">
        <v>0.1</v>
      </c>
      <c r="T45" s="46">
        <v>0</v>
      </c>
      <c r="U45" s="46">
        <v>0</v>
      </c>
      <c r="V45" s="46">
        <v>0</v>
      </c>
      <c r="W45" s="46">
        <v>0</v>
      </c>
      <c r="X45" s="46">
        <v>0</v>
      </c>
      <c r="Y45" s="46">
        <v>0</v>
      </c>
      <c r="Z45" s="48">
        <v>-0.32</v>
      </c>
      <c r="AA45" s="46">
        <v>0</v>
      </c>
      <c r="AB45" s="46">
        <v>0</v>
      </c>
      <c r="AC45" s="46">
        <v>0</v>
      </c>
      <c r="AD45" s="46">
        <v>0</v>
      </c>
      <c r="AE45" s="46">
        <v>0</v>
      </c>
      <c r="AF45" s="46">
        <v>0</v>
      </c>
      <c r="AG45" s="46">
        <v>0</v>
      </c>
      <c r="AH45" s="47">
        <v>0.67</v>
      </c>
      <c r="AI45" s="46">
        <v>0</v>
      </c>
      <c r="AJ45" s="46">
        <v>0</v>
      </c>
      <c r="AK45" s="46">
        <v>0</v>
      </c>
      <c r="AL45" s="46">
        <v>0</v>
      </c>
      <c r="AM45" s="48">
        <v>-0.08</v>
      </c>
      <c r="AN45" s="46">
        <v>0</v>
      </c>
      <c r="AO45" s="46">
        <v>0</v>
      </c>
      <c r="AP45" s="47">
        <v>0.37</v>
      </c>
      <c r="AQ45" s="46">
        <v>0</v>
      </c>
      <c r="AR45" s="46">
        <v>0</v>
      </c>
      <c r="AS45" s="46">
        <v>0</v>
      </c>
      <c r="AT45" s="46">
        <v>0</v>
      </c>
      <c r="AU45" s="46">
        <v>0</v>
      </c>
      <c r="AV45" s="46">
        <v>0</v>
      </c>
      <c r="AW45" s="48">
        <v>-0.4</v>
      </c>
      <c r="AX45" s="46">
        <v>0</v>
      </c>
      <c r="AY45" s="46">
        <v>0</v>
      </c>
    </row>
    <row r="46" spans="1:51" x14ac:dyDescent="0.25">
      <c r="A46" s="45" t="s">
        <v>199</v>
      </c>
      <c r="B46" s="46">
        <v>0</v>
      </c>
      <c r="C46" s="46">
        <v>0</v>
      </c>
      <c r="D46" s="46">
        <v>0</v>
      </c>
      <c r="E46" s="46">
        <v>0</v>
      </c>
      <c r="F46" s="46">
        <v>0</v>
      </c>
      <c r="G46" s="46">
        <v>0</v>
      </c>
      <c r="H46" s="46">
        <v>0</v>
      </c>
      <c r="I46" s="46">
        <v>0</v>
      </c>
      <c r="J46" s="46">
        <v>0</v>
      </c>
      <c r="K46" s="46">
        <v>0</v>
      </c>
      <c r="L46" s="46">
        <v>0</v>
      </c>
      <c r="M46" s="46">
        <v>0</v>
      </c>
      <c r="N46" s="46">
        <v>0</v>
      </c>
      <c r="O46" s="46">
        <v>0</v>
      </c>
      <c r="P46" s="46">
        <v>0</v>
      </c>
      <c r="Q46" s="46">
        <v>0</v>
      </c>
      <c r="R46" s="46">
        <v>0</v>
      </c>
      <c r="S46" s="46">
        <v>0</v>
      </c>
      <c r="T46" s="46">
        <v>0</v>
      </c>
      <c r="U46" s="46">
        <v>0</v>
      </c>
      <c r="V46" s="46">
        <v>0</v>
      </c>
      <c r="W46" s="46">
        <v>0</v>
      </c>
      <c r="X46" s="46">
        <v>0</v>
      </c>
      <c r="Y46" s="46">
        <v>0</v>
      </c>
      <c r="Z46" s="46">
        <v>0</v>
      </c>
      <c r="AA46" s="46">
        <v>0</v>
      </c>
      <c r="AB46" s="46">
        <v>0</v>
      </c>
      <c r="AC46" s="46">
        <v>0</v>
      </c>
      <c r="AD46" s="46">
        <v>0</v>
      </c>
      <c r="AE46" s="48">
        <v>-0.09</v>
      </c>
      <c r="AF46" s="46">
        <v>0</v>
      </c>
      <c r="AG46" s="46">
        <v>0</v>
      </c>
      <c r="AH46" s="46">
        <v>0</v>
      </c>
      <c r="AI46" s="46">
        <v>0</v>
      </c>
      <c r="AJ46" s="46">
        <v>0</v>
      </c>
      <c r="AK46" s="46">
        <v>0</v>
      </c>
      <c r="AL46" s="46">
        <v>0</v>
      </c>
      <c r="AM46" s="46">
        <v>0</v>
      </c>
      <c r="AN46" s="46">
        <v>0</v>
      </c>
      <c r="AO46" s="46">
        <v>0</v>
      </c>
      <c r="AP46" s="48">
        <v>-0.21</v>
      </c>
      <c r="AQ46" s="46">
        <v>0</v>
      </c>
      <c r="AR46" s="47">
        <v>0.09</v>
      </c>
      <c r="AS46" s="46">
        <v>0</v>
      </c>
      <c r="AT46" s="47">
        <v>0.49</v>
      </c>
      <c r="AU46" s="48">
        <v>-0.3</v>
      </c>
      <c r="AV46" s="46">
        <v>0</v>
      </c>
      <c r="AW46" s="46">
        <v>0</v>
      </c>
      <c r="AX46" s="46">
        <v>0</v>
      </c>
      <c r="AY46" s="48">
        <v>-0.08</v>
      </c>
    </row>
    <row r="47" spans="1:51" x14ac:dyDescent="0.25">
      <c r="A47" s="45" t="s">
        <v>200</v>
      </c>
      <c r="B47" s="46">
        <v>0</v>
      </c>
      <c r="C47" s="46">
        <v>0</v>
      </c>
      <c r="D47" s="46">
        <v>0</v>
      </c>
      <c r="E47" s="46">
        <v>0</v>
      </c>
      <c r="F47" s="46">
        <v>0</v>
      </c>
      <c r="G47" s="46">
        <v>0</v>
      </c>
      <c r="H47" s="46">
        <v>0</v>
      </c>
      <c r="I47" s="46">
        <v>0</v>
      </c>
      <c r="J47" s="46">
        <v>0</v>
      </c>
      <c r="K47" s="46">
        <v>0</v>
      </c>
      <c r="L47" s="46">
        <v>0</v>
      </c>
      <c r="M47" s="47">
        <v>0.14000000000000001</v>
      </c>
      <c r="N47" s="46">
        <v>0</v>
      </c>
      <c r="O47" s="48">
        <v>-0.02</v>
      </c>
      <c r="P47" s="46">
        <v>0</v>
      </c>
      <c r="Q47" s="46">
        <v>0</v>
      </c>
      <c r="R47" s="46">
        <v>0</v>
      </c>
      <c r="S47" s="46">
        <v>0</v>
      </c>
      <c r="T47" s="48">
        <v>-0.56999999999999995</v>
      </c>
      <c r="U47" s="46">
        <v>0</v>
      </c>
      <c r="V47" s="46">
        <v>0</v>
      </c>
      <c r="W47" s="46">
        <v>0</v>
      </c>
      <c r="X47" s="46">
        <v>0</v>
      </c>
      <c r="Y47" s="46">
        <v>0</v>
      </c>
      <c r="Z47" s="46">
        <v>0</v>
      </c>
      <c r="AA47" s="46">
        <v>0</v>
      </c>
      <c r="AB47" s="46">
        <v>0</v>
      </c>
      <c r="AC47" s="46">
        <v>0</v>
      </c>
      <c r="AD47" s="46">
        <v>0</v>
      </c>
      <c r="AE47" s="46">
        <v>0</v>
      </c>
      <c r="AF47" s="46">
        <v>0</v>
      </c>
      <c r="AG47" s="48">
        <v>-0.19</v>
      </c>
      <c r="AH47" s="46">
        <v>0</v>
      </c>
      <c r="AI47" s="46">
        <v>0</v>
      </c>
      <c r="AJ47" s="46">
        <v>0</v>
      </c>
      <c r="AK47" s="46">
        <v>0</v>
      </c>
      <c r="AL47" s="46">
        <v>0</v>
      </c>
      <c r="AM47" s="46">
        <v>0</v>
      </c>
      <c r="AN47" s="46">
        <v>0</v>
      </c>
      <c r="AO47" s="46">
        <v>0</v>
      </c>
      <c r="AP47" s="47">
        <v>0.41</v>
      </c>
      <c r="AQ47" s="46">
        <v>0</v>
      </c>
      <c r="AR47" s="48">
        <v>-0.12</v>
      </c>
      <c r="AS47" s="46">
        <v>0</v>
      </c>
      <c r="AT47" s="47">
        <v>0.13</v>
      </c>
      <c r="AU47" s="48">
        <v>-0.25</v>
      </c>
      <c r="AV47" s="47">
        <v>0.82</v>
      </c>
      <c r="AW47" s="48">
        <v>-0.45</v>
      </c>
      <c r="AX47" s="46">
        <v>0</v>
      </c>
      <c r="AY47" s="46">
        <v>0</v>
      </c>
    </row>
    <row r="48" spans="1:51" x14ac:dyDescent="0.25">
      <c r="A48" s="45" t="s">
        <v>201</v>
      </c>
      <c r="B48" s="46">
        <v>0</v>
      </c>
      <c r="C48" s="46">
        <v>0</v>
      </c>
      <c r="D48" s="46">
        <v>0</v>
      </c>
      <c r="E48" s="46">
        <v>0</v>
      </c>
      <c r="F48" s="46">
        <v>0</v>
      </c>
      <c r="G48" s="46">
        <v>0</v>
      </c>
      <c r="H48" s="46">
        <v>0</v>
      </c>
      <c r="I48" s="46">
        <v>0</v>
      </c>
      <c r="J48" s="46">
        <v>0</v>
      </c>
      <c r="K48" s="46">
        <v>0</v>
      </c>
      <c r="L48" s="46">
        <v>0</v>
      </c>
      <c r="M48" s="46">
        <v>0</v>
      </c>
      <c r="N48" s="46">
        <v>0</v>
      </c>
      <c r="O48" s="46">
        <v>0</v>
      </c>
      <c r="P48" s="46">
        <v>0</v>
      </c>
      <c r="Q48" s="46">
        <v>0</v>
      </c>
      <c r="R48" s="46">
        <v>0</v>
      </c>
      <c r="S48" s="46">
        <v>0</v>
      </c>
      <c r="T48" s="46">
        <v>0</v>
      </c>
      <c r="U48" s="46">
        <v>0</v>
      </c>
      <c r="V48" s="46">
        <v>0</v>
      </c>
      <c r="W48" s="46">
        <v>0</v>
      </c>
      <c r="X48" s="46">
        <v>0</v>
      </c>
      <c r="Y48" s="46">
        <v>0</v>
      </c>
      <c r="Z48" s="46">
        <v>0</v>
      </c>
      <c r="AA48" s="46">
        <v>0</v>
      </c>
      <c r="AB48" s="46">
        <v>0</v>
      </c>
      <c r="AC48" s="46">
        <v>0</v>
      </c>
      <c r="AD48" s="47">
        <v>0.19</v>
      </c>
      <c r="AE48" s="46">
        <v>0</v>
      </c>
      <c r="AF48" s="46">
        <v>0</v>
      </c>
      <c r="AG48" s="46">
        <v>0</v>
      </c>
      <c r="AH48" s="47">
        <v>0.61</v>
      </c>
      <c r="AI48" s="46">
        <v>0</v>
      </c>
      <c r="AJ48" s="46">
        <v>0</v>
      </c>
      <c r="AK48" s="46">
        <v>0</v>
      </c>
      <c r="AL48" s="46">
        <v>0</v>
      </c>
      <c r="AM48" s="46">
        <v>0</v>
      </c>
      <c r="AN48" s="48">
        <v>-0.2</v>
      </c>
      <c r="AO48" s="48">
        <v>-0.9</v>
      </c>
      <c r="AP48" s="46">
        <v>0</v>
      </c>
      <c r="AQ48" s="46">
        <v>0</v>
      </c>
      <c r="AR48" s="47">
        <v>0.73</v>
      </c>
      <c r="AS48" s="47">
        <v>0.24</v>
      </c>
      <c r="AT48" s="46">
        <v>0</v>
      </c>
      <c r="AU48" s="48">
        <v>-0.46</v>
      </c>
      <c r="AV48" s="46">
        <v>0</v>
      </c>
      <c r="AW48" s="46">
        <v>0</v>
      </c>
      <c r="AX48" s="46">
        <v>0</v>
      </c>
      <c r="AY48" s="46">
        <v>0</v>
      </c>
    </row>
    <row r="49" spans="1:51" x14ac:dyDescent="0.25">
      <c r="A49" s="45" t="s">
        <v>202</v>
      </c>
      <c r="B49" s="46">
        <v>0</v>
      </c>
      <c r="C49" s="46">
        <v>0</v>
      </c>
      <c r="D49" s="46">
        <v>0</v>
      </c>
      <c r="E49" s="46">
        <v>0</v>
      </c>
      <c r="F49" s="46">
        <v>0</v>
      </c>
      <c r="G49" s="46">
        <v>0</v>
      </c>
      <c r="H49" s="46">
        <v>0</v>
      </c>
      <c r="I49" s="46">
        <v>0</v>
      </c>
      <c r="J49" s="46">
        <v>0</v>
      </c>
      <c r="K49" s="46">
        <v>0</v>
      </c>
      <c r="L49" s="46">
        <v>0</v>
      </c>
      <c r="M49" s="46">
        <v>0</v>
      </c>
      <c r="N49" s="46">
        <v>0</v>
      </c>
      <c r="O49" s="46">
        <v>0</v>
      </c>
      <c r="P49" s="47">
        <v>0.08</v>
      </c>
      <c r="Q49" s="46">
        <v>0</v>
      </c>
      <c r="R49" s="46">
        <v>0</v>
      </c>
      <c r="S49" s="46">
        <v>0.01</v>
      </c>
      <c r="T49" s="46">
        <v>0</v>
      </c>
      <c r="U49" s="46">
        <v>0</v>
      </c>
      <c r="V49" s="46">
        <v>0</v>
      </c>
      <c r="W49" s="46">
        <v>0.01</v>
      </c>
      <c r="X49" s="46">
        <v>0</v>
      </c>
      <c r="Y49" s="46">
        <v>0</v>
      </c>
      <c r="Z49" s="46">
        <v>0</v>
      </c>
      <c r="AA49" s="46">
        <v>0</v>
      </c>
      <c r="AB49" s="46">
        <v>0</v>
      </c>
      <c r="AC49" s="46">
        <v>0</v>
      </c>
      <c r="AD49" s="46">
        <v>0</v>
      </c>
      <c r="AE49" s="46">
        <v>0</v>
      </c>
      <c r="AF49" s="46">
        <v>0</v>
      </c>
      <c r="AG49" s="46">
        <v>0</v>
      </c>
      <c r="AH49" s="46">
        <v>0</v>
      </c>
      <c r="AI49" s="47">
        <v>0.16</v>
      </c>
      <c r="AJ49" s="46">
        <v>0</v>
      </c>
      <c r="AK49" s="46">
        <v>0</v>
      </c>
      <c r="AL49" s="46">
        <v>0</v>
      </c>
      <c r="AM49" s="46">
        <v>0</v>
      </c>
      <c r="AN49" s="46">
        <v>0</v>
      </c>
      <c r="AO49" s="46">
        <v>0</v>
      </c>
      <c r="AP49" s="46">
        <v>0</v>
      </c>
      <c r="AQ49" s="46">
        <v>0</v>
      </c>
      <c r="AR49" s="47">
        <v>0.12</v>
      </c>
      <c r="AS49" s="46">
        <v>0</v>
      </c>
      <c r="AT49" s="48">
        <v>-0.13</v>
      </c>
      <c r="AU49" s="46">
        <v>0</v>
      </c>
      <c r="AV49" s="47">
        <v>1.1599999999999999</v>
      </c>
      <c r="AW49" s="47">
        <v>0.35</v>
      </c>
      <c r="AX49" s="46">
        <v>0</v>
      </c>
      <c r="AY49" s="46">
        <v>0</v>
      </c>
    </row>
    <row r="50" spans="1:51" x14ac:dyDescent="0.25">
      <c r="A50" s="45" t="s">
        <v>203</v>
      </c>
      <c r="B50" s="46">
        <v>0</v>
      </c>
      <c r="C50" s="46">
        <v>0</v>
      </c>
      <c r="D50" s="46">
        <v>0</v>
      </c>
      <c r="E50" s="46">
        <v>0</v>
      </c>
      <c r="F50" s="46">
        <v>0</v>
      </c>
      <c r="G50" s="46">
        <v>0</v>
      </c>
      <c r="H50" s="46">
        <v>0</v>
      </c>
      <c r="I50" s="46">
        <v>0</v>
      </c>
      <c r="J50" s="46">
        <v>0</v>
      </c>
      <c r="K50" s="46">
        <v>0</v>
      </c>
      <c r="L50" s="46">
        <v>0</v>
      </c>
      <c r="M50" s="46">
        <v>0</v>
      </c>
      <c r="N50" s="46">
        <v>0</v>
      </c>
      <c r="O50" s="46">
        <v>0</v>
      </c>
      <c r="P50" s="46">
        <v>0</v>
      </c>
      <c r="Q50" s="46">
        <v>0</v>
      </c>
      <c r="R50" s="47">
        <v>0.23</v>
      </c>
      <c r="S50" s="46">
        <v>0</v>
      </c>
      <c r="T50" s="46">
        <v>0</v>
      </c>
      <c r="U50" s="46">
        <v>0</v>
      </c>
      <c r="V50" s="46">
        <v>0</v>
      </c>
      <c r="W50" s="46">
        <v>0</v>
      </c>
      <c r="X50" s="46">
        <v>0</v>
      </c>
      <c r="Y50" s="48">
        <v>-0.72</v>
      </c>
      <c r="Z50" s="46">
        <v>0</v>
      </c>
      <c r="AA50" s="46">
        <v>0</v>
      </c>
      <c r="AB50" s="46">
        <v>0</v>
      </c>
      <c r="AC50" s="47">
        <v>0.18</v>
      </c>
      <c r="AD50" s="46">
        <v>0</v>
      </c>
      <c r="AE50" s="46">
        <v>0</v>
      </c>
      <c r="AF50" s="46">
        <v>0</v>
      </c>
      <c r="AG50" s="46">
        <v>0</v>
      </c>
      <c r="AH50" s="46">
        <v>0</v>
      </c>
      <c r="AI50" s="47">
        <v>0.76</v>
      </c>
      <c r="AJ50" s="46">
        <v>0</v>
      </c>
      <c r="AK50" s="46">
        <v>0</v>
      </c>
      <c r="AL50" s="46">
        <v>0</v>
      </c>
      <c r="AM50" s="46">
        <v>0</v>
      </c>
      <c r="AN50" s="46">
        <v>0</v>
      </c>
      <c r="AO50" s="46">
        <v>0</v>
      </c>
      <c r="AP50" s="46">
        <v>0</v>
      </c>
      <c r="AQ50" s="46">
        <v>0</v>
      </c>
      <c r="AR50" s="47">
        <v>0.57999999999999996</v>
      </c>
      <c r="AS50" s="46">
        <v>0</v>
      </c>
      <c r="AT50" s="46">
        <v>0</v>
      </c>
      <c r="AU50" s="47">
        <v>0.06</v>
      </c>
      <c r="AV50" s="46">
        <v>0</v>
      </c>
      <c r="AW50" s="48">
        <v>-0.32</v>
      </c>
      <c r="AX50" s="47">
        <v>0.02</v>
      </c>
      <c r="AY50" s="46">
        <v>0</v>
      </c>
    </row>
    <row r="51" spans="1:51" x14ac:dyDescent="0.25">
      <c r="A51" s="45" t="s">
        <v>204</v>
      </c>
      <c r="B51" s="46">
        <v>0</v>
      </c>
      <c r="C51" s="46">
        <v>0</v>
      </c>
      <c r="D51" s="46">
        <v>0</v>
      </c>
      <c r="E51" s="46">
        <v>0</v>
      </c>
      <c r="F51" s="46">
        <v>0</v>
      </c>
      <c r="G51" s="46">
        <v>0</v>
      </c>
      <c r="H51" s="46">
        <v>0</v>
      </c>
      <c r="I51" s="46">
        <v>0</v>
      </c>
      <c r="J51" s="46">
        <v>0</v>
      </c>
      <c r="K51" s="46">
        <v>0</v>
      </c>
      <c r="L51" s="46">
        <v>0</v>
      </c>
      <c r="M51" s="46">
        <v>0</v>
      </c>
      <c r="N51" s="46">
        <v>0</v>
      </c>
      <c r="O51" s="47">
        <v>0.09</v>
      </c>
      <c r="P51" s="46">
        <v>0</v>
      </c>
      <c r="Q51" s="46">
        <v>0</v>
      </c>
      <c r="R51" s="46">
        <v>0</v>
      </c>
      <c r="S51" s="46">
        <v>0</v>
      </c>
      <c r="T51" s="46">
        <v>0</v>
      </c>
      <c r="U51" s="46">
        <v>0</v>
      </c>
      <c r="V51" s="47">
        <v>0.26</v>
      </c>
      <c r="W51" s="46">
        <v>0</v>
      </c>
      <c r="X51" s="46">
        <v>0</v>
      </c>
      <c r="Y51" s="46">
        <v>0</v>
      </c>
      <c r="Z51" s="47">
        <v>0.04</v>
      </c>
      <c r="AA51" s="46">
        <v>0</v>
      </c>
      <c r="AB51" s="46">
        <v>0</v>
      </c>
      <c r="AC51" s="46">
        <v>0</v>
      </c>
      <c r="AD51" s="46">
        <v>0</v>
      </c>
      <c r="AE51" s="46">
        <v>0</v>
      </c>
      <c r="AF51" s="47">
        <v>0.11</v>
      </c>
      <c r="AG51" s="48">
        <v>-0.45</v>
      </c>
      <c r="AH51" s="46">
        <v>0</v>
      </c>
      <c r="AI51" s="46">
        <v>0</v>
      </c>
      <c r="AJ51" s="46">
        <v>0</v>
      </c>
      <c r="AK51" s="46">
        <v>0</v>
      </c>
      <c r="AL51" s="46">
        <v>0</v>
      </c>
      <c r="AM51" s="48">
        <v>-0.83</v>
      </c>
      <c r="AN51" s="46">
        <v>0</v>
      </c>
      <c r="AO51" s="46">
        <v>0</v>
      </c>
      <c r="AP51" s="46">
        <v>0</v>
      </c>
      <c r="AQ51" s="46">
        <v>0</v>
      </c>
      <c r="AR51" s="46">
        <v>0</v>
      </c>
      <c r="AS51" s="47">
        <v>0.41</v>
      </c>
      <c r="AT51" s="46">
        <v>0</v>
      </c>
      <c r="AU51" s="46">
        <v>0</v>
      </c>
      <c r="AV51" s="46">
        <v>0</v>
      </c>
      <c r="AW51" s="47">
        <v>0.55000000000000004</v>
      </c>
      <c r="AX51" s="46">
        <v>0</v>
      </c>
      <c r="AY51" s="46">
        <v>0</v>
      </c>
    </row>
    <row r="52" spans="1:51" x14ac:dyDescent="0.25">
      <c r="A52" s="45" t="s">
        <v>205</v>
      </c>
      <c r="B52" s="46">
        <v>0</v>
      </c>
      <c r="C52" s="46">
        <v>0</v>
      </c>
      <c r="D52" s="46">
        <v>0</v>
      </c>
      <c r="E52" s="46">
        <v>0</v>
      </c>
      <c r="F52" s="46">
        <v>0</v>
      </c>
      <c r="G52" s="46">
        <v>0</v>
      </c>
      <c r="H52" s="46">
        <v>0</v>
      </c>
      <c r="I52" s="46">
        <v>0</v>
      </c>
      <c r="J52" s="46">
        <v>0</v>
      </c>
      <c r="K52" s="46">
        <v>0</v>
      </c>
      <c r="L52" s="46">
        <v>0</v>
      </c>
      <c r="M52" s="46">
        <v>0</v>
      </c>
      <c r="N52" s="46">
        <v>0</v>
      </c>
      <c r="O52" s="48">
        <v>-0.11</v>
      </c>
      <c r="P52" s="46">
        <v>0</v>
      </c>
      <c r="Q52" s="46">
        <v>0</v>
      </c>
      <c r="R52" s="46">
        <v>0</v>
      </c>
      <c r="S52" s="48">
        <v>-0.79</v>
      </c>
      <c r="T52" s="46">
        <v>0</v>
      </c>
      <c r="U52" s="46">
        <v>0</v>
      </c>
      <c r="V52" s="46">
        <v>0</v>
      </c>
      <c r="W52" s="46">
        <v>0</v>
      </c>
      <c r="X52" s="46">
        <v>0</v>
      </c>
      <c r="Y52" s="46">
        <v>0</v>
      </c>
      <c r="Z52" s="46">
        <v>0</v>
      </c>
      <c r="AA52" s="48">
        <v>-0.05</v>
      </c>
      <c r="AB52" s="46">
        <v>0</v>
      </c>
      <c r="AC52" s="46">
        <v>0</v>
      </c>
      <c r="AD52" s="46">
        <v>0</v>
      </c>
      <c r="AE52" s="48">
        <v>-0.28000000000000003</v>
      </c>
      <c r="AF52" s="46">
        <v>0</v>
      </c>
      <c r="AG52" s="46">
        <v>0</v>
      </c>
      <c r="AH52" s="46">
        <v>0</v>
      </c>
      <c r="AI52" s="46">
        <v>0</v>
      </c>
      <c r="AJ52" s="46">
        <v>0</v>
      </c>
      <c r="AK52" s="46">
        <v>0</v>
      </c>
      <c r="AL52" s="46">
        <v>0</v>
      </c>
      <c r="AM52" s="46">
        <v>0</v>
      </c>
      <c r="AN52" s="46">
        <v>0</v>
      </c>
      <c r="AO52" s="46">
        <v>0</v>
      </c>
      <c r="AP52" s="46">
        <v>0</v>
      </c>
      <c r="AQ52" s="46">
        <v>0</v>
      </c>
      <c r="AR52" s="46">
        <v>0</v>
      </c>
      <c r="AS52" s="47">
        <v>0.11</v>
      </c>
      <c r="AT52" s="46">
        <v>0</v>
      </c>
      <c r="AU52" s="46">
        <v>0</v>
      </c>
      <c r="AV52" s="47">
        <v>0.23</v>
      </c>
      <c r="AW52" s="46">
        <v>0</v>
      </c>
      <c r="AX52" s="46">
        <v>0</v>
      </c>
      <c r="AY52" s="46">
        <v>0</v>
      </c>
    </row>
    <row r="53" spans="1:51" x14ac:dyDescent="0.25">
      <c r="A53" s="45" t="s">
        <v>206</v>
      </c>
      <c r="B53" s="46">
        <v>0</v>
      </c>
      <c r="C53" s="46">
        <v>0</v>
      </c>
      <c r="D53" s="46">
        <v>0</v>
      </c>
      <c r="E53" s="46">
        <v>0</v>
      </c>
      <c r="F53" s="46">
        <v>0</v>
      </c>
      <c r="G53" s="46">
        <v>0</v>
      </c>
      <c r="H53" s="46">
        <v>0</v>
      </c>
      <c r="I53" s="46">
        <v>0</v>
      </c>
      <c r="J53" s="46">
        <v>0</v>
      </c>
      <c r="K53" s="46">
        <v>0</v>
      </c>
      <c r="L53" s="46">
        <v>0</v>
      </c>
      <c r="M53" s="46">
        <v>0</v>
      </c>
      <c r="N53" s="46">
        <v>0</v>
      </c>
      <c r="O53" s="46">
        <v>0</v>
      </c>
      <c r="P53" s="46">
        <v>0</v>
      </c>
      <c r="Q53" s="48">
        <v>-0.44</v>
      </c>
      <c r="R53" s="47">
        <v>0.66</v>
      </c>
      <c r="S53" s="46">
        <v>0</v>
      </c>
      <c r="T53" s="46">
        <v>0</v>
      </c>
      <c r="U53" s="46">
        <v>0</v>
      </c>
      <c r="V53" s="46">
        <v>0</v>
      </c>
      <c r="W53" s="46">
        <v>-0.01</v>
      </c>
      <c r="X53" s="46">
        <v>0</v>
      </c>
      <c r="Y53" s="46">
        <v>0</v>
      </c>
      <c r="Z53" s="46">
        <v>0</v>
      </c>
      <c r="AA53" s="46">
        <v>0</v>
      </c>
      <c r="AB53" s="46">
        <v>0</v>
      </c>
      <c r="AC53" s="46">
        <v>0</v>
      </c>
      <c r="AD53" s="46">
        <v>0</v>
      </c>
      <c r="AE53" s="46">
        <v>0</v>
      </c>
      <c r="AF53" s="46">
        <v>0</v>
      </c>
      <c r="AG53" s="46">
        <v>0</v>
      </c>
      <c r="AH53" s="46">
        <v>0</v>
      </c>
      <c r="AI53" s="46">
        <v>0</v>
      </c>
      <c r="AJ53" s="46">
        <v>0</v>
      </c>
      <c r="AK53" s="46">
        <v>0</v>
      </c>
      <c r="AL53" s="46">
        <v>0</v>
      </c>
      <c r="AM53" s="48">
        <v>-0.05</v>
      </c>
      <c r="AN53" s="46">
        <v>0</v>
      </c>
      <c r="AO53" s="48">
        <v>-0.36</v>
      </c>
      <c r="AP53" s="46">
        <v>0</v>
      </c>
      <c r="AQ53" s="46">
        <v>0</v>
      </c>
      <c r="AR53" s="47">
        <v>0.24</v>
      </c>
      <c r="AS53" s="46">
        <v>0</v>
      </c>
      <c r="AT53" s="46">
        <v>0</v>
      </c>
      <c r="AU53" s="46">
        <v>0</v>
      </c>
      <c r="AV53" s="47">
        <v>0.25</v>
      </c>
      <c r="AW53" s="47">
        <v>0.57999999999999996</v>
      </c>
      <c r="AX53" s="46">
        <v>0</v>
      </c>
      <c r="AY53" s="47">
        <v>0.77</v>
      </c>
    </row>
    <row r="54" spans="1:51" x14ac:dyDescent="0.25">
      <c r="A54" s="45" t="s">
        <v>207</v>
      </c>
      <c r="B54" s="46">
        <v>0</v>
      </c>
      <c r="C54" s="46">
        <v>0</v>
      </c>
      <c r="D54" s="46">
        <v>0</v>
      </c>
      <c r="E54" s="46">
        <v>0</v>
      </c>
      <c r="F54" s="46">
        <v>0</v>
      </c>
      <c r="G54" s="46">
        <v>0</v>
      </c>
      <c r="H54" s="46">
        <v>0</v>
      </c>
      <c r="I54" s="46">
        <v>0</v>
      </c>
      <c r="J54" s="46">
        <v>0</v>
      </c>
      <c r="K54" s="46">
        <v>0</v>
      </c>
      <c r="L54" s="46">
        <v>0</v>
      </c>
      <c r="M54" s="48">
        <v>-0.69</v>
      </c>
      <c r="N54" s="46">
        <v>0</v>
      </c>
      <c r="O54" s="46">
        <v>0</v>
      </c>
      <c r="P54" s="46">
        <v>0</v>
      </c>
      <c r="Q54" s="46">
        <v>0</v>
      </c>
      <c r="R54" s="46">
        <v>0</v>
      </c>
      <c r="S54" s="46">
        <v>0</v>
      </c>
      <c r="T54" s="47">
        <v>0.32</v>
      </c>
      <c r="U54" s="46">
        <v>0</v>
      </c>
      <c r="V54" s="46">
        <v>0</v>
      </c>
      <c r="W54" s="46">
        <v>0</v>
      </c>
      <c r="X54" s="48">
        <v>-0.63</v>
      </c>
      <c r="Y54" s="46">
        <v>0</v>
      </c>
      <c r="Z54" s="46">
        <v>0</v>
      </c>
      <c r="AA54" s="47">
        <v>0.25</v>
      </c>
      <c r="AB54" s="46">
        <v>0</v>
      </c>
      <c r="AC54" s="46">
        <v>0</v>
      </c>
      <c r="AD54" s="46">
        <v>0</v>
      </c>
      <c r="AE54" s="48">
        <v>-0.09</v>
      </c>
      <c r="AF54" s="48">
        <v>-0.33</v>
      </c>
      <c r="AG54" s="48">
        <v>-0.82</v>
      </c>
      <c r="AH54" s="46">
        <v>0</v>
      </c>
      <c r="AI54" s="46">
        <v>0</v>
      </c>
      <c r="AJ54" s="46">
        <v>0</v>
      </c>
      <c r="AK54" s="46">
        <v>0</v>
      </c>
      <c r="AL54" s="46">
        <v>0</v>
      </c>
      <c r="AM54" s="46">
        <v>0</v>
      </c>
      <c r="AN54" s="46">
        <v>0</v>
      </c>
      <c r="AO54" s="46">
        <v>0</v>
      </c>
      <c r="AP54" s="46">
        <v>0</v>
      </c>
      <c r="AQ54" s="46">
        <v>0</v>
      </c>
      <c r="AR54" s="46">
        <v>0</v>
      </c>
      <c r="AS54" s="48">
        <v>-0.2</v>
      </c>
      <c r="AT54" s="46">
        <v>0</v>
      </c>
      <c r="AU54" s="46">
        <v>0</v>
      </c>
      <c r="AV54" s="46">
        <v>0</v>
      </c>
      <c r="AW54" s="46">
        <v>0</v>
      </c>
      <c r="AX54" s="46">
        <v>0</v>
      </c>
      <c r="AY54" s="46">
        <v>0</v>
      </c>
    </row>
    <row r="55" spans="1:51" x14ac:dyDescent="0.25">
      <c r="A55" s="45" t="s">
        <v>208</v>
      </c>
      <c r="B55" s="46">
        <v>0</v>
      </c>
      <c r="C55" s="46">
        <v>0</v>
      </c>
      <c r="D55" s="46">
        <v>0</v>
      </c>
      <c r="E55" s="46">
        <v>0</v>
      </c>
      <c r="F55" s="46">
        <v>0</v>
      </c>
      <c r="G55" s="46">
        <v>0</v>
      </c>
      <c r="H55" s="46">
        <v>0</v>
      </c>
      <c r="I55" s="46">
        <v>0</v>
      </c>
      <c r="J55" s="46">
        <v>0</v>
      </c>
      <c r="K55" s="46">
        <v>0</v>
      </c>
      <c r="L55" s="46">
        <v>0</v>
      </c>
      <c r="M55" s="46">
        <v>0</v>
      </c>
      <c r="N55" s="46">
        <v>0</v>
      </c>
      <c r="O55" s="46">
        <v>0</v>
      </c>
      <c r="P55" s="46">
        <v>0</v>
      </c>
      <c r="Q55" s="46">
        <v>0</v>
      </c>
      <c r="R55" s="46">
        <v>0</v>
      </c>
      <c r="S55" s="46">
        <v>0</v>
      </c>
      <c r="T55" s="46">
        <v>0</v>
      </c>
      <c r="U55" s="46">
        <v>0</v>
      </c>
      <c r="V55" s="46">
        <v>0</v>
      </c>
      <c r="W55" s="46">
        <v>0</v>
      </c>
      <c r="X55" s="46">
        <v>0</v>
      </c>
      <c r="Y55" s="46">
        <v>0</v>
      </c>
      <c r="Z55" s="46">
        <v>0</v>
      </c>
      <c r="AA55" s="46">
        <v>0</v>
      </c>
      <c r="AB55" s="46">
        <v>0</v>
      </c>
      <c r="AC55" s="46">
        <v>0</v>
      </c>
      <c r="AD55" s="46">
        <v>0</v>
      </c>
      <c r="AE55" s="46">
        <v>0</v>
      </c>
      <c r="AF55" s="46">
        <v>0</v>
      </c>
      <c r="AG55" s="46">
        <v>0</v>
      </c>
      <c r="AH55" s="46">
        <v>0</v>
      </c>
      <c r="AI55" s="46">
        <v>0</v>
      </c>
      <c r="AJ55" s="46">
        <v>0</v>
      </c>
      <c r="AK55" s="46">
        <v>0</v>
      </c>
      <c r="AL55" s="46">
        <v>0</v>
      </c>
      <c r="AM55" s="46">
        <v>0</v>
      </c>
      <c r="AN55" s="46">
        <v>0</v>
      </c>
      <c r="AO55" s="46">
        <v>0</v>
      </c>
      <c r="AP55" s="46">
        <v>0</v>
      </c>
      <c r="AQ55" s="46">
        <v>0</v>
      </c>
      <c r="AR55" s="46">
        <v>0</v>
      </c>
      <c r="AS55" s="46">
        <v>0</v>
      </c>
      <c r="AT55" s="46">
        <v>0</v>
      </c>
      <c r="AU55" s="46">
        <v>0</v>
      </c>
      <c r="AV55" s="46">
        <v>0</v>
      </c>
      <c r="AW55" s="46">
        <v>0</v>
      </c>
      <c r="AX55" s="46">
        <v>0</v>
      </c>
      <c r="AY55" s="46">
        <v>0</v>
      </c>
    </row>
    <row r="56" spans="1:51" x14ac:dyDescent="0.25">
      <c r="A56" s="45" t="s">
        <v>209</v>
      </c>
      <c r="B56" s="46">
        <v>0</v>
      </c>
      <c r="C56" s="46">
        <v>0</v>
      </c>
      <c r="D56" s="46">
        <v>0</v>
      </c>
      <c r="E56" s="46">
        <v>0</v>
      </c>
      <c r="F56" s="46">
        <v>0</v>
      </c>
      <c r="G56" s="46">
        <v>0</v>
      </c>
      <c r="H56" s="46">
        <v>0</v>
      </c>
      <c r="I56" s="46">
        <v>0</v>
      </c>
      <c r="J56" s="46">
        <v>0</v>
      </c>
      <c r="K56" s="46">
        <v>0</v>
      </c>
      <c r="L56" s="46">
        <v>0</v>
      </c>
      <c r="M56" s="46">
        <v>0</v>
      </c>
      <c r="N56" s="46">
        <v>0</v>
      </c>
      <c r="O56" s="46">
        <v>0</v>
      </c>
      <c r="P56" s="46">
        <v>0</v>
      </c>
      <c r="Q56" s="46">
        <v>0</v>
      </c>
      <c r="R56" s="46">
        <v>0</v>
      </c>
      <c r="S56" s="46">
        <v>0</v>
      </c>
      <c r="T56" s="46">
        <v>0</v>
      </c>
      <c r="U56" s="46">
        <v>0</v>
      </c>
      <c r="V56" s="46">
        <v>0</v>
      </c>
      <c r="W56" s="46">
        <v>0</v>
      </c>
      <c r="X56" s="46">
        <v>0</v>
      </c>
      <c r="Y56" s="46">
        <v>0</v>
      </c>
      <c r="Z56" s="46">
        <v>0</v>
      </c>
      <c r="AA56" s="46">
        <v>0</v>
      </c>
      <c r="AB56" s="46">
        <v>0</v>
      </c>
      <c r="AC56" s="46">
        <v>0</v>
      </c>
      <c r="AD56" s="46">
        <v>0</v>
      </c>
      <c r="AE56" s="46">
        <v>0</v>
      </c>
      <c r="AF56" s="46">
        <v>0</v>
      </c>
      <c r="AG56" s="46">
        <v>0</v>
      </c>
      <c r="AH56" s="46">
        <v>0</v>
      </c>
      <c r="AI56" s="46">
        <v>0</v>
      </c>
      <c r="AJ56" s="46">
        <v>0</v>
      </c>
      <c r="AK56" s="46">
        <v>0</v>
      </c>
      <c r="AL56" s="46">
        <v>0</v>
      </c>
      <c r="AM56" s="46">
        <v>0</v>
      </c>
      <c r="AN56" s="46">
        <v>0</v>
      </c>
      <c r="AO56" s="46">
        <v>0</v>
      </c>
      <c r="AP56" s="46">
        <v>0</v>
      </c>
      <c r="AQ56" s="46">
        <v>0</v>
      </c>
      <c r="AR56" s="46">
        <v>0</v>
      </c>
      <c r="AS56" s="46">
        <v>0</v>
      </c>
      <c r="AT56" s="46">
        <v>0</v>
      </c>
      <c r="AU56" s="46">
        <v>0</v>
      </c>
      <c r="AV56" s="46">
        <v>0</v>
      </c>
      <c r="AW56" s="46">
        <v>0</v>
      </c>
      <c r="AX56" s="46">
        <v>0</v>
      </c>
      <c r="AY56" s="46">
        <v>0</v>
      </c>
    </row>
    <row r="57" spans="1:51" x14ac:dyDescent="0.25">
      <c r="A57" s="45" t="s">
        <v>210</v>
      </c>
      <c r="B57" s="46">
        <v>0</v>
      </c>
      <c r="C57" s="46">
        <v>0</v>
      </c>
      <c r="D57" s="46">
        <v>0</v>
      </c>
      <c r="E57" s="46">
        <v>0</v>
      </c>
      <c r="F57" s="46">
        <v>0</v>
      </c>
      <c r="G57" s="46">
        <v>0</v>
      </c>
      <c r="H57" s="46">
        <v>0</v>
      </c>
      <c r="I57" s="46">
        <v>0</v>
      </c>
      <c r="J57" s="46">
        <v>0</v>
      </c>
      <c r="K57" s="46">
        <v>0</v>
      </c>
      <c r="L57" s="46">
        <v>0</v>
      </c>
      <c r="M57" s="46">
        <v>0</v>
      </c>
      <c r="N57" s="46">
        <v>0</v>
      </c>
      <c r="O57" s="46">
        <v>0</v>
      </c>
      <c r="P57" s="46">
        <v>0</v>
      </c>
      <c r="Q57" s="46">
        <v>0</v>
      </c>
      <c r="R57" s="46">
        <v>0</v>
      </c>
      <c r="S57" s="46">
        <v>0</v>
      </c>
      <c r="T57" s="46">
        <v>0</v>
      </c>
      <c r="U57" s="46">
        <v>0</v>
      </c>
      <c r="V57" s="46">
        <v>0</v>
      </c>
      <c r="W57" s="46">
        <v>0</v>
      </c>
      <c r="X57" s="46">
        <v>0</v>
      </c>
      <c r="Y57" s="46">
        <v>0</v>
      </c>
      <c r="Z57" s="46">
        <v>0</v>
      </c>
      <c r="AA57" s="46">
        <v>0</v>
      </c>
      <c r="AB57" s="46">
        <v>0</v>
      </c>
      <c r="AC57" s="46">
        <v>0</v>
      </c>
      <c r="AD57" s="46">
        <v>0</v>
      </c>
      <c r="AE57" s="46">
        <v>0</v>
      </c>
      <c r="AF57" s="46">
        <v>0</v>
      </c>
      <c r="AG57" s="46">
        <v>0</v>
      </c>
      <c r="AH57" s="46">
        <v>0</v>
      </c>
      <c r="AI57" s="46">
        <v>0</v>
      </c>
      <c r="AJ57" s="46">
        <v>0</v>
      </c>
      <c r="AK57" s="46">
        <v>0</v>
      </c>
      <c r="AL57" s="46">
        <v>0</v>
      </c>
      <c r="AM57" s="46">
        <v>0</v>
      </c>
      <c r="AN57" s="46">
        <v>0</v>
      </c>
      <c r="AO57" s="46">
        <v>0</v>
      </c>
      <c r="AP57" s="46">
        <v>0</v>
      </c>
      <c r="AQ57" s="46">
        <v>0</v>
      </c>
      <c r="AR57" s="46">
        <v>0</v>
      </c>
      <c r="AS57" s="46">
        <v>0</v>
      </c>
      <c r="AT57" s="46">
        <v>0</v>
      </c>
      <c r="AU57" s="46">
        <v>0</v>
      </c>
      <c r="AV57" s="46">
        <v>0</v>
      </c>
      <c r="AW57" s="46">
        <v>0</v>
      </c>
      <c r="AX57" s="46">
        <v>0</v>
      </c>
      <c r="AY57" s="46">
        <v>0</v>
      </c>
    </row>
    <row r="58" spans="1:51" x14ac:dyDescent="0.25">
      <c r="A58" s="45" t="s">
        <v>211</v>
      </c>
      <c r="B58" s="46">
        <v>0</v>
      </c>
      <c r="C58" s="46">
        <v>0</v>
      </c>
      <c r="D58" s="46">
        <v>0</v>
      </c>
      <c r="E58" s="46">
        <v>0</v>
      </c>
      <c r="F58" s="46">
        <v>0</v>
      </c>
      <c r="G58" s="46">
        <v>0</v>
      </c>
      <c r="H58" s="46">
        <v>0</v>
      </c>
      <c r="I58" s="46">
        <v>0</v>
      </c>
      <c r="J58" s="46">
        <v>0</v>
      </c>
      <c r="K58" s="46">
        <v>0</v>
      </c>
      <c r="L58" s="46">
        <v>0</v>
      </c>
      <c r="M58" s="46">
        <v>0</v>
      </c>
      <c r="N58" s="46">
        <v>0</v>
      </c>
      <c r="O58" s="46">
        <v>0</v>
      </c>
      <c r="P58" s="46">
        <v>0</v>
      </c>
      <c r="Q58" s="46">
        <v>0</v>
      </c>
      <c r="R58" s="46">
        <v>0</v>
      </c>
      <c r="S58" s="46">
        <v>0</v>
      </c>
      <c r="T58" s="46">
        <v>0</v>
      </c>
      <c r="U58" s="46">
        <v>0</v>
      </c>
      <c r="V58" s="46">
        <v>0</v>
      </c>
      <c r="W58" s="46">
        <v>0</v>
      </c>
      <c r="X58" s="46">
        <v>0</v>
      </c>
      <c r="Y58" s="46">
        <v>0</v>
      </c>
      <c r="Z58" s="46">
        <v>0</v>
      </c>
      <c r="AA58" s="46">
        <v>0</v>
      </c>
      <c r="AB58" s="46">
        <v>0</v>
      </c>
      <c r="AC58" s="46">
        <v>0</v>
      </c>
      <c r="AD58" s="46">
        <v>0</v>
      </c>
      <c r="AE58" s="46">
        <v>0</v>
      </c>
      <c r="AF58" s="46">
        <v>0</v>
      </c>
      <c r="AG58" s="46">
        <v>0</v>
      </c>
      <c r="AH58" s="46">
        <v>0</v>
      </c>
      <c r="AI58" s="46">
        <v>0</v>
      </c>
      <c r="AJ58" s="46">
        <v>0</v>
      </c>
      <c r="AK58" s="46">
        <v>0</v>
      </c>
      <c r="AL58" s="46">
        <v>0</v>
      </c>
      <c r="AM58" s="46">
        <v>0</v>
      </c>
      <c r="AN58" s="46">
        <v>0</v>
      </c>
      <c r="AO58" s="46">
        <v>0</v>
      </c>
      <c r="AP58" s="46">
        <v>0</v>
      </c>
      <c r="AQ58" s="46">
        <v>0</v>
      </c>
      <c r="AR58" s="46">
        <v>0</v>
      </c>
      <c r="AS58" s="46">
        <v>0</v>
      </c>
      <c r="AT58" s="46">
        <v>0</v>
      </c>
      <c r="AU58" s="46">
        <v>0</v>
      </c>
      <c r="AV58" s="46">
        <v>0</v>
      </c>
      <c r="AW58" s="46">
        <v>0</v>
      </c>
      <c r="AX58" s="46">
        <v>0</v>
      </c>
      <c r="AY58" s="46">
        <v>0</v>
      </c>
    </row>
    <row r="59" spans="1:51" x14ac:dyDescent="0.25">
      <c r="A59" s="45" t="s">
        <v>212</v>
      </c>
      <c r="B59" s="46">
        <v>0</v>
      </c>
      <c r="C59" s="46">
        <v>0</v>
      </c>
      <c r="D59" s="46">
        <v>0</v>
      </c>
      <c r="E59" s="46">
        <v>0</v>
      </c>
      <c r="F59" s="46">
        <v>0</v>
      </c>
      <c r="G59" s="46">
        <v>0</v>
      </c>
      <c r="H59" s="46">
        <v>0</v>
      </c>
      <c r="I59" s="46">
        <v>0</v>
      </c>
      <c r="J59" s="46">
        <v>0</v>
      </c>
      <c r="K59" s="46">
        <v>0</v>
      </c>
      <c r="L59" s="46">
        <v>0</v>
      </c>
      <c r="M59" s="46">
        <v>0</v>
      </c>
      <c r="N59" s="46">
        <v>0</v>
      </c>
      <c r="O59" s="46">
        <v>0</v>
      </c>
      <c r="P59" s="46">
        <v>0</v>
      </c>
      <c r="Q59" s="46">
        <v>0</v>
      </c>
      <c r="R59" s="46">
        <v>0</v>
      </c>
      <c r="S59" s="46">
        <v>0</v>
      </c>
      <c r="T59" s="46">
        <v>0</v>
      </c>
      <c r="U59" s="46">
        <v>0</v>
      </c>
      <c r="V59" s="46">
        <v>0</v>
      </c>
      <c r="W59" s="46">
        <v>0</v>
      </c>
      <c r="X59" s="46">
        <v>0</v>
      </c>
      <c r="Y59" s="46">
        <v>0</v>
      </c>
      <c r="Z59" s="46">
        <v>0</v>
      </c>
      <c r="AA59" s="46">
        <v>0</v>
      </c>
      <c r="AB59" s="46">
        <v>0</v>
      </c>
      <c r="AC59" s="46">
        <v>0</v>
      </c>
      <c r="AD59" s="46">
        <v>0</v>
      </c>
      <c r="AE59" s="46">
        <v>0</v>
      </c>
      <c r="AF59" s="46">
        <v>0</v>
      </c>
      <c r="AG59" s="46">
        <v>0</v>
      </c>
      <c r="AH59" s="46">
        <v>0</v>
      </c>
      <c r="AI59" s="46">
        <v>0</v>
      </c>
      <c r="AJ59" s="46">
        <v>0</v>
      </c>
      <c r="AK59" s="46">
        <v>0</v>
      </c>
      <c r="AL59" s="46">
        <v>0</v>
      </c>
      <c r="AM59" s="46">
        <v>0</v>
      </c>
      <c r="AN59" s="46">
        <v>0</v>
      </c>
      <c r="AO59" s="46">
        <v>0</v>
      </c>
      <c r="AP59" s="46">
        <v>0</v>
      </c>
      <c r="AQ59" s="46">
        <v>0</v>
      </c>
      <c r="AR59" s="46">
        <v>0</v>
      </c>
      <c r="AS59" s="46">
        <v>0</v>
      </c>
      <c r="AT59" s="46">
        <v>0</v>
      </c>
      <c r="AU59" s="46">
        <v>0</v>
      </c>
      <c r="AV59" s="46">
        <v>0</v>
      </c>
      <c r="AW59" s="46">
        <v>0</v>
      </c>
      <c r="AX59" s="46">
        <v>0</v>
      </c>
      <c r="AY59" s="46">
        <v>0</v>
      </c>
    </row>
    <row r="60" spans="1:51" x14ac:dyDescent="0.25">
      <c r="A60" s="45" t="s">
        <v>213</v>
      </c>
      <c r="B60" s="46">
        <v>0</v>
      </c>
      <c r="C60" s="46">
        <v>0</v>
      </c>
      <c r="D60" s="46">
        <v>0</v>
      </c>
      <c r="E60" s="46">
        <v>0</v>
      </c>
      <c r="F60" s="46">
        <v>0</v>
      </c>
      <c r="G60" s="46">
        <v>0</v>
      </c>
      <c r="H60" s="46">
        <v>0</v>
      </c>
      <c r="I60" s="46">
        <v>0</v>
      </c>
      <c r="J60" s="46">
        <v>0</v>
      </c>
      <c r="K60" s="46">
        <v>0</v>
      </c>
      <c r="L60" s="46">
        <v>0</v>
      </c>
      <c r="M60" s="46">
        <v>0</v>
      </c>
      <c r="N60" s="46">
        <v>0</v>
      </c>
      <c r="O60" s="46">
        <v>0</v>
      </c>
      <c r="P60" s="46">
        <v>0</v>
      </c>
      <c r="Q60" s="46">
        <v>0</v>
      </c>
      <c r="R60" s="46">
        <v>0</v>
      </c>
      <c r="S60" s="46">
        <v>0</v>
      </c>
      <c r="T60" s="46">
        <v>0</v>
      </c>
      <c r="U60" s="46">
        <v>0</v>
      </c>
      <c r="V60" s="46">
        <v>0</v>
      </c>
      <c r="W60" s="46">
        <v>0</v>
      </c>
      <c r="X60" s="46">
        <v>0</v>
      </c>
      <c r="Y60" s="46">
        <v>0</v>
      </c>
      <c r="Z60" s="46">
        <v>0</v>
      </c>
      <c r="AA60" s="46">
        <v>0</v>
      </c>
      <c r="AB60" s="46">
        <v>0</v>
      </c>
      <c r="AC60" s="46">
        <v>0</v>
      </c>
      <c r="AD60" s="46">
        <v>0</v>
      </c>
      <c r="AE60" s="46">
        <v>0</v>
      </c>
      <c r="AF60" s="46">
        <v>0</v>
      </c>
      <c r="AG60" s="46">
        <v>0</v>
      </c>
      <c r="AH60" s="46">
        <v>0</v>
      </c>
      <c r="AI60" s="46">
        <v>0</v>
      </c>
      <c r="AJ60" s="46">
        <v>0</v>
      </c>
      <c r="AK60" s="46">
        <v>0</v>
      </c>
      <c r="AL60" s="46">
        <v>0</v>
      </c>
      <c r="AM60" s="46">
        <v>0</v>
      </c>
      <c r="AN60" s="46">
        <v>0</v>
      </c>
      <c r="AO60" s="46">
        <v>0</v>
      </c>
      <c r="AP60" s="46">
        <v>0</v>
      </c>
      <c r="AQ60" s="46">
        <v>0</v>
      </c>
      <c r="AR60" s="46">
        <v>0</v>
      </c>
      <c r="AS60" s="46">
        <v>0</v>
      </c>
      <c r="AT60" s="46">
        <v>0</v>
      </c>
      <c r="AU60" s="46">
        <v>0</v>
      </c>
      <c r="AV60" s="46">
        <v>0</v>
      </c>
      <c r="AW60" s="46">
        <v>0</v>
      </c>
      <c r="AX60" s="46">
        <v>0</v>
      </c>
      <c r="AY60" s="46">
        <v>0</v>
      </c>
    </row>
    <row r="61" spans="1:51" x14ac:dyDescent="0.25">
      <c r="A61" s="45" t="s">
        <v>214</v>
      </c>
      <c r="B61" s="46">
        <v>0</v>
      </c>
      <c r="C61" s="46">
        <v>0</v>
      </c>
      <c r="D61" s="46">
        <v>0</v>
      </c>
      <c r="E61" s="46">
        <v>0</v>
      </c>
      <c r="F61" s="46">
        <v>0</v>
      </c>
      <c r="G61" s="46">
        <v>0</v>
      </c>
      <c r="H61" s="46">
        <v>0</v>
      </c>
      <c r="I61" s="46">
        <v>0</v>
      </c>
      <c r="J61" s="46">
        <v>0</v>
      </c>
      <c r="K61" s="46">
        <v>0</v>
      </c>
      <c r="L61" s="46">
        <v>0</v>
      </c>
      <c r="M61" s="46">
        <v>0</v>
      </c>
      <c r="N61" s="46">
        <v>0</v>
      </c>
      <c r="O61" s="46">
        <v>0</v>
      </c>
      <c r="P61" s="46">
        <v>0</v>
      </c>
      <c r="Q61" s="46">
        <v>0</v>
      </c>
      <c r="R61" s="46">
        <v>0</v>
      </c>
      <c r="S61" s="46">
        <v>0</v>
      </c>
      <c r="T61" s="46">
        <v>0</v>
      </c>
      <c r="U61" s="46">
        <v>0</v>
      </c>
      <c r="V61" s="46">
        <v>0</v>
      </c>
      <c r="W61" s="46">
        <v>0</v>
      </c>
      <c r="X61" s="46">
        <v>0</v>
      </c>
      <c r="Y61" s="46">
        <v>0</v>
      </c>
      <c r="Z61" s="46">
        <v>0</v>
      </c>
      <c r="AA61" s="46">
        <v>0</v>
      </c>
      <c r="AB61" s="46">
        <v>0</v>
      </c>
      <c r="AC61" s="46">
        <v>0</v>
      </c>
      <c r="AD61" s="46">
        <v>0</v>
      </c>
      <c r="AE61" s="46">
        <v>0</v>
      </c>
      <c r="AF61" s="46">
        <v>0</v>
      </c>
      <c r="AG61" s="46">
        <v>0</v>
      </c>
      <c r="AH61" s="46">
        <v>0</v>
      </c>
      <c r="AI61" s="46">
        <v>0</v>
      </c>
      <c r="AJ61" s="46">
        <v>0</v>
      </c>
      <c r="AK61" s="46">
        <v>0</v>
      </c>
      <c r="AL61" s="46">
        <v>0</v>
      </c>
      <c r="AM61" s="46">
        <v>0</v>
      </c>
      <c r="AN61" s="46">
        <v>0</v>
      </c>
      <c r="AO61" s="46">
        <v>0</v>
      </c>
      <c r="AP61" s="46">
        <v>0</v>
      </c>
      <c r="AQ61" s="46">
        <v>0</v>
      </c>
      <c r="AR61" s="46">
        <v>0</v>
      </c>
      <c r="AS61" s="46">
        <v>0</v>
      </c>
      <c r="AT61" s="46">
        <v>0</v>
      </c>
      <c r="AU61" s="46">
        <v>0</v>
      </c>
      <c r="AV61" s="46">
        <v>0</v>
      </c>
      <c r="AW61" s="46">
        <v>0</v>
      </c>
      <c r="AX61" s="46">
        <v>0</v>
      </c>
      <c r="AY61" s="46">
        <v>0</v>
      </c>
    </row>
    <row r="62" spans="1:51" x14ac:dyDescent="0.25">
      <c r="A62" s="45" t="s">
        <v>215</v>
      </c>
      <c r="B62" s="46">
        <v>0</v>
      </c>
      <c r="C62" s="46">
        <v>0</v>
      </c>
      <c r="D62" s="46">
        <v>0</v>
      </c>
      <c r="E62" s="46">
        <v>0</v>
      </c>
      <c r="F62" s="46">
        <v>0</v>
      </c>
      <c r="G62" s="46">
        <v>0</v>
      </c>
      <c r="H62" s="46">
        <v>0</v>
      </c>
      <c r="I62" s="46">
        <v>0</v>
      </c>
      <c r="J62" s="46">
        <v>0</v>
      </c>
      <c r="K62" s="46">
        <v>0</v>
      </c>
      <c r="L62" s="46">
        <v>0</v>
      </c>
      <c r="M62" s="46">
        <v>0</v>
      </c>
      <c r="N62" s="46">
        <v>0</v>
      </c>
      <c r="O62" s="46">
        <v>0</v>
      </c>
      <c r="P62" s="46">
        <v>0</v>
      </c>
      <c r="Q62" s="46">
        <v>0</v>
      </c>
      <c r="R62" s="46">
        <v>0</v>
      </c>
      <c r="S62" s="46">
        <v>0</v>
      </c>
      <c r="T62" s="46">
        <v>0</v>
      </c>
      <c r="U62" s="46">
        <v>0</v>
      </c>
      <c r="V62" s="46">
        <v>0</v>
      </c>
      <c r="W62" s="46">
        <v>0</v>
      </c>
      <c r="X62" s="46">
        <v>0</v>
      </c>
      <c r="Y62" s="46">
        <v>0</v>
      </c>
      <c r="Z62" s="46">
        <v>0</v>
      </c>
      <c r="AA62" s="46">
        <v>0</v>
      </c>
      <c r="AB62" s="46">
        <v>0</v>
      </c>
      <c r="AC62" s="46">
        <v>0</v>
      </c>
      <c r="AD62" s="46">
        <v>0</v>
      </c>
      <c r="AE62" s="46">
        <v>0</v>
      </c>
      <c r="AF62" s="46">
        <v>0</v>
      </c>
      <c r="AG62" s="46">
        <v>0</v>
      </c>
      <c r="AH62" s="46">
        <v>0</v>
      </c>
      <c r="AI62" s="46">
        <v>0</v>
      </c>
      <c r="AJ62" s="46">
        <v>0</v>
      </c>
      <c r="AK62" s="46">
        <v>0</v>
      </c>
      <c r="AL62" s="46">
        <v>0</v>
      </c>
      <c r="AM62" s="46">
        <v>0</v>
      </c>
      <c r="AN62" s="46">
        <v>0</v>
      </c>
      <c r="AO62" s="46">
        <v>0</v>
      </c>
      <c r="AP62" s="46">
        <v>0</v>
      </c>
      <c r="AQ62" s="46">
        <v>0</v>
      </c>
      <c r="AR62" s="46">
        <v>0</v>
      </c>
      <c r="AS62" s="46">
        <v>0</v>
      </c>
      <c r="AT62" s="46">
        <v>0</v>
      </c>
      <c r="AU62" s="46">
        <v>0</v>
      </c>
      <c r="AV62" s="46">
        <v>0</v>
      </c>
      <c r="AW62" s="46">
        <v>0</v>
      </c>
      <c r="AX62" s="46">
        <v>0</v>
      </c>
      <c r="AY62" s="46">
        <v>0</v>
      </c>
    </row>
    <row r="63" spans="1:51" x14ac:dyDescent="0.25">
      <c r="A63" s="45" t="s">
        <v>216</v>
      </c>
      <c r="B63" s="46">
        <v>0</v>
      </c>
      <c r="C63" s="46">
        <v>0</v>
      </c>
      <c r="D63" s="46">
        <v>0</v>
      </c>
      <c r="E63" s="46">
        <v>0</v>
      </c>
      <c r="F63" s="46">
        <v>0</v>
      </c>
      <c r="G63" s="46">
        <v>0</v>
      </c>
      <c r="H63" s="46">
        <v>0</v>
      </c>
      <c r="I63" s="46">
        <v>0</v>
      </c>
      <c r="J63" s="46">
        <v>0</v>
      </c>
      <c r="K63" s="46">
        <v>0</v>
      </c>
      <c r="L63" s="46">
        <v>0</v>
      </c>
      <c r="M63" s="46">
        <v>0</v>
      </c>
      <c r="N63" s="46">
        <v>0</v>
      </c>
      <c r="O63" s="46">
        <v>0</v>
      </c>
      <c r="P63" s="46">
        <v>0</v>
      </c>
      <c r="Q63" s="46">
        <v>0</v>
      </c>
      <c r="R63" s="46">
        <v>0</v>
      </c>
      <c r="S63" s="46">
        <v>0</v>
      </c>
      <c r="T63" s="46">
        <v>0</v>
      </c>
      <c r="U63" s="46">
        <v>0</v>
      </c>
      <c r="V63" s="46">
        <v>0</v>
      </c>
      <c r="W63" s="46">
        <v>0</v>
      </c>
      <c r="X63" s="46">
        <v>0</v>
      </c>
      <c r="Y63" s="46">
        <v>0</v>
      </c>
      <c r="Z63" s="46">
        <v>0</v>
      </c>
      <c r="AA63" s="46">
        <v>0</v>
      </c>
      <c r="AB63" s="46">
        <v>0</v>
      </c>
      <c r="AC63" s="46">
        <v>0</v>
      </c>
      <c r="AD63" s="46">
        <v>0</v>
      </c>
      <c r="AE63" s="46">
        <v>0</v>
      </c>
      <c r="AF63" s="46">
        <v>0</v>
      </c>
      <c r="AG63" s="46">
        <v>0</v>
      </c>
      <c r="AH63" s="46">
        <v>0</v>
      </c>
      <c r="AI63" s="46">
        <v>0</v>
      </c>
      <c r="AJ63" s="46">
        <v>0</v>
      </c>
      <c r="AK63" s="46">
        <v>0</v>
      </c>
      <c r="AL63" s="46">
        <v>0</v>
      </c>
      <c r="AM63" s="46">
        <v>0</v>
      </c>
      <c r="AN63" s="46">
        <v>0</v>
      </c>
      <c r="AO63" s="46">
        <v>0</v>
      </c>
      <c r="AP63" s="46">
        <v>0</v>
      </c>
      <c r="AQ63" s="46">
        <v>0</v>
      </c>
      <c r="AR63" s="46">
        <v>0</v>
      </c>
      <c r="AS63" s="46">
        <v>0</v>
      </c>
      <c r="AT63" s="46">
        <v>0</v>
      </c>
      <c r="AU63" s="46">
        <v>0</v>
      </c>
      <c r="AV63" s="46">
        <v>0</v>
      </c>
      <c r="AW63" s="46">
        <v>0</v>
      </c>
      <c r="AX63" s="46">
        <v>0</v>
      </c>
      <c r="AY63" s="46">
        <v>0</v>
      </c>
    </row>
    <row r="64" spans="1:51" x14ac:dyDescent="0.25">
      <c r="A64" s="45" t="s">
        <v>217</v>
      </c>
      <c r="B64" s="46">
        <v>0</v>
      </c>
      <c r="C64" s="46">
        <v>0</v>
      </c>
      <c r="D64" s="46">
        <v>0</v>
      </c>
      <c r="E64" s="46">
        <v>0</v>
      </c>
      <c r="F64" s="46">
        <v>0</v>
      </c>
      <c r="G64" s="46">
        <v>0</v>
      </c>
      <c r="H64" s="46">
        <v>0</v>
      </c>
      <c r="I64" s="46">
        <v>0</v>
      </c>
      <c r="J64" s="46">
        <v>0</v>
      </c>
      <c r="K64" s="46">
        <v>0</v>
      </c>
      <c r="L64" s="46">
        <v>0</v>
      </c>
      <c r="M64" s="46">
        <v>0</v>
      </c>
      <c r="N64" s="46">
        <v>0</v>
      </c>
      <c r="O64" s="46">
        <v>0</v>
      </c>
      <c r="P64" s="46">
        <v>0</v>
      </c>
      <c r="Q64" s="46">
        <v>0</v>
      </c>
      <c r="R64" s="46">
        <v>0</v>
      </c>
      <c r="S64" s="46">
        <v>0</v>
      </c>
      <c r="T64" s="46">
        <v>0</v>
      </c>
      <c r="U64" s="46">
        <v>0</v>
      </c>
      <c r="V64" s="46">
        <v>0</v>
      </c>
      <c r="W64" s="46">
        <v>0</v>
      </c>
      <c r="X64" s="46">
        <v>0</v>
      </c>
      <c r="Y64" s="46">
        <v>0</v>
      </c>
      <c r="Z64" s="46">
        <v>0</v>
      </c>
      <c r="AA64" s="46">
        <v>0</v>
      </c>
      <c r="AB64" s="46">
        <v>0</v>
      </c>
      <c r="AC64" s="46">
        <v>0</v>
      </c>
      <c r="AD64" s="46">
        <v>0</v>
      </c>
      <c r="AE64" s="46">
        <v>0</v>
      </c>
      <c r="AF64" s="46">
        <v>0</v>
      </c>
      <c r="AG64" s="46">
        <v>0</v>
      </c>
      <c r="AH64" s="46">
        <v>0</v>
      </c>
      <c r="AI64" s="46">
        <v>0</v>
      </c>
      <c r="AJ64" s="46">
        <v>0</v>
      </c>
      <c r="AK64" s="46">
        <v>0</v>
      </c>
      <c r="AL64" s="46">
        <v>0</v>
      </c>
      <c r="AM64" s="46">
        <v>0</v>
      </c>
      <c r="AN64" s="46">
        <v>0</v>
      </c>
      <c r="AO64" s="46">
        <v>0</v>
      </c>
      <c r="AP64" s="46">
        <v>0</v>
      </c>
      <c r="AQ64" s="46">
        <v>0</v>
      </c>
      <c r="AR64" s="46">
        <v>0</v>
      </c>
      <c r="AS64" s="46">
        <v>0</v>
      </c>
      <c r="AT64" s="46">
        <v>0</v>
      </c>
      <c r="AU64" s="46">
        <v>0</v>
      </c>
      <c r="AV64" s="46">
        <v>0</v>
      </c>
      <c r="AW64" s="46">
        <v>0</v>
      </c>
      <c r="AX64" s="46">
        <v>0</v>
      </c>
      <c r="AY64" s="46">
        <v>0</v>
      </c>
    </row>
    <row r="66" spans="1:11" ht="15.75" x14ac:dyDescent="0.25">
      <c r="A66" s="13" t="s">
        <v>219</v>
      </c>
      <c r="B66" s="49" t="e">
        <f t="shared" ref="B66:K66" ca="1" si="5">AP7</f>
        <v>#VALUE!</v>
      </c>
      <c r="C66" s="49" t="e">
        <f t="shared" ca="1" si="5"/>
        <v>#VALUE!</v>
      </c>
      <c r="D66" s="49" t="e">
        <f t="shared" ca="1" si="5"/>
        <v>#VALUE!</v>
      </c>
      <c r="E66" s="49" t="e">
        <f t="shared" ca="1" si="5"/>
        <v>#VALUE!</v>
      </c>
      <c r="F66" s="49" t="e">
        <f t="shared" ca="1" si="5"/>
        <v>#VALUE!</v>
      </c>
      <c r="G66" s="49" t="e">
        <f t="shared" ca="1" si="5"/>
        <v>#VALUE!</v>
      </c>
      <c r="H66" s="49" t="e">
        <f t="shared" ca="1" si="5"/>
        <v>#VALUE!</v>
      </c>
      <c r="I66" s="49" t="e">
        <f t="shared" ca="1" si="5"/>
        <v>#VALUE!</v>
      </c>
      <c r="J66" s="49" t="e">
        <f t="shared" ca="1" si="5"/>
        <v>#VALUE!</v>
      </c>
      <c r="K66" s="49" t="e">
        <f t="shared" ca="1" si="5"/>
        <v>#VALUE!</v>
      </c>
    </row>
    <row r="67" spans="1:11" x14ac:dyDescent="0.25">
      <c r="B67" s="50" t="s">
        <v>208</v>
      </c>
      <c r="C67" s="50" t="s">
        <v>209</v>
      </c>
      <c r="D67" s="50" t="s">
        <v>210</v>
      </c>
      <c r="E67" s="50" t="s">
        <v>211</v>
      </c>
      <c r="F67" s="50" t="s">
        <v>212</v>
      </c>
      <c r="G67" s="50" t="s">
        <v>213</v>
      </c>
      <c r="H67" s="50" t="s">
        <v>214</v>
      </c>
      <c r="I67" s="50" t="s">
        <v>215</v>
      </c>
      <c r="J67" s="50" t="s">
        <v>216</v>
      </c>
      <c r="K67" s="50" t="s">
        <v>217</v>
      </c>
    </row>
    <row r="86" spans="1:11" x14ac:dyDescent="0.25">
      <c r="A86" s="32" t="s">
        <v>220</v>
      </c>
    </row>
    <row r="87" spans="1:11" x14ac:dyDescent="0.25">
      <c r="A87" s="34" t="s">
        <v>221</v>
      </c>
      <c r="B87" s="51">
        <v>1</v>
      </c>
      <c r="C87" s="51">
        <v>0</v>
      </c>
      <c r="D87" s="51">
        <v>1</v>
      </c>
      <c r="E87" s="51">
        <v>0</v>
      </c>
      <c r="F87" s="51">
        <v>1</v>
      </c>
      <c r="G87" s="51">
        <v>0</v>
      </c>
      <c r="H87" s="51">
        <v>1</v>
      </c>
      <c r="I87" s="51">
        <v>0</v>
      </c>
      <c r="J87" s="51">
        <v>1</v>
      </c>
      <c r="K87" s="51">
        <v>0</v>
      </c>
    </row>
    <row r="88" spans="1:11" x14ac:dyDescent="0.25">
      <c r="A88" s="34" t="s">
        <v>222</v>
      </c>
      <c r="B88" s="51">
        <v>0</v>
      </c>
      <c r="C88" s="51">
        <v>1</v>
      </c>
      <c r="D88" s="51">
        <v>0</v>
      </c>
      <c r="E88" s="51">
        <v>1</v>
      </c>
      <c r="F88" s="51">
        <v>0</v>
      </c>
      <c r="G88" s="51">
        <v>1</v>
      </c>
      <c r="H88" s="51">
        <v>0</v>
      </c>
      <c r="I88" s="51">
        <v>1</v>
      </c>
      <c r="J88" s="51">
        <v>0</v>
      </c>
      <c r="K88" s="51">
        <v>1</v>
      </c>
    </row>
    <row r="89" spans="1:11" x14ac:dyDescent="0.25">
      <c r="A89" s="34" t="s">
        <v>223</v>
      </c>
      <c r="B89" s="51">
        <v>1</v>
      </c>
      <c r="C89" s="51">
        <v>1</v>
      </c>
      <c r="D89" s="51">
        <v>1</v>
      </c>
      <c r="E89" s="51">
        <v>1</v>
      </c>
      <c r="F89" s="51">
        <v>1</v>
      </c>
      <c r="G89" s="51">
        <v>0</v>
      </c>
      <c r="H89" s="51">
        <v>0</v>
      </c>
      <c r="I89" s="51">
        <v>0</v>
      </c>
      <c r="J89" s="51">
        <v>0</v>
      </c>
      <c r="K89" s="51">
        <v>0</v>
      </c>
    </row>
    <row r="90" spans="1:11" x14ac:dyDescent="0.25">
      <c r="A90" s="34" t="s">
        <v>224</v>
      </c>
      <c r="B90" s="51">
        <v>0</v>
      </c>
      <c r="C90" s="51">
        <v>0</v>
      </c>
      <c r="D90" s="51">
        <v>0</v>
      </c>
      <c r="E90" s="51">
        <v>0</v>
      </c>
      <c r="F90" s="51">
        <v>0</v>
      </c>
      <c r="G90" s="51">
        <v>1</v>
      </c>
      <c r="H90" s="51">
        <v>1</v>
      </c>
      <c r="I90" s="51">
        <v>1</v>
      </c>
      <c r="J90" s="51">
        <v>1</v>
      </c>
      <c r="K90" s="51">
        <v>1</v>
      </c>
    </row>
    <row r="91" spans="1:11" x14ac:dyDescent="0.25">
      <c r="A91" s="34" t="s">
        <v>225</v>
      </c>
      <c r="B91" s="51">
        <v>1</v>
      </c>
      <c r="C91" s="51">
        <v>0</v>
      </c>
      <c r="D91" s="51">
        <v>0</v>
      </c>
      <c r="E91" s="51">
        <v>0</v>
      </c>
      <c r="F91" s="51">
        <v>0</v>
      </c>
      <c r="G91" s="51">
        <v>0</v>
      </c>
      <c r="H91" s="51">
        <v>0</v>
      </c>
      <c r="I91" s="51">
        <v>0</v>
      </c>
      <c r="J91" s="51">
        <v>0</v>
      </c>
      <c r="K91" s="51">
        <v>1</v>
      </c>
    </row>
    <row r="92" spans="1:11" x14ac:dyDescent="0.25">
      <c r="A92" s="34" t="s">
        <v>226</v>
      </c>
      <c r="B92" s="51">
        <v>0</v>
      </c>
      <c r="C92" s="51">
        <v>0</v>
      </c>
      <c r="D92" s="51">
        <v>0</v>
      </c>
      <c r="E92" s="51">
        <v>1</v>
      </c>
      <c r="F92" s="51">
        <v>1</v>
      </c>
      <c r="G92" s="51">
        <v>1</v>
      </c>
      <c r="H92" s="51">
        <v>1</v>
      </c>
      <c r="I92" s="51">
        <v>0</v>
      </c>
      <c r="J92" s="51">
        <v>0</v>
      </c>
      <c r="K92" s="51">
        <v>0</v>
      </c>
    </row>
    <row r="93" spans="1:11" x14ac:dyDescent="0.25">
      <c r="A93" s="34" t="s">
        <v>227</v>
      </c>
      <c r="B93" s="51">
        <v>1</v>
      </c>
      <c r="C93" s="51">
        <v>1</v>
      </c>
      <c r="D93" s="51">
        <v>1</v>
      </c>
      <c r="E93" s="51">
        <v>1</v>
      </c>
      <c r="F93" s="51">
        <v>1</v>
      </c>
      <c r="G93" s="51">
        <v>1</v>
      </c>
      <c r="H93" s="51">
        <v>1</v>
      </c>
      <c r="I93" s="51">
        <v>1</v>
      </c>
      <c r="J93" s="51">
        <v>1</v>
      </c>
      <c r="K93" s="51">
        <v>1</v>
      </c>
    </row>
    <row r="94" spans="1:11" x14ac:dyDescent="0.25">
      <c r="A94" s="34" t="s">
        <v>228</v>
      </c>
      <c r="B94" s="51">
        <v>0</v>
      </c>
      <c r="C94" s="51">
        <v>0</v>
      </c>
      <c r="D94" s="51">
        <v>0</v>
      </c>
      <c r="E94" s="51">
        <v>0</v>
      </c>
      <c r="F94" s="51">
        <v>0</v>
      </c>
      <c r="G94" s="51">
        <v>0</v>
      </c>
      <c r="H94" s="51">
        <v>0</v>
      </c>
      <c r="I94" s="51">
        <v>0</v>
      </c>
      <c r="J94" s="51">
        <v>0</v>
      </c>
      <c r="K94" s="51">
        <v>0</v>
      </c>
    </row>
    <row r="95" spans="1:11" x14ac:dyDescent="0.25">
      <c r="A95" s="34" t="s">
        <v>229</v>
      </c>
      <c r="B95" s="51">
        <v>0</v>
      </c>
      <c r="C95" s="51">
        <v>0</v>
      </c>
      <c r="D95" s="51">
        <v>1</v>
      </c>
      <c r="E95" s="51">
        <v>0</v>
      </c>
      <c r="F95" s="51">
        <v>1</v>
      </c>
      <c r="G95" s="51">
        <v>0</v>
      </c>
      <c r="H95" s="51">
        <v>1</v>
      </c>
      <c r="I95" s="51">
        <v>0</v>
      </c>
      <c r="J95" s="51">
        <v>0</v>
      </c>
      <c r="K95" s="51">
        <v>0</v>
      </c>
    </row>
    <row r="96" spans="1:11" x14ac:dyDescent="0.25">
      <c r="A96" s="34" t="s">
        <v>230</v>
      </c>
      <c r="B96" s="51">
        <v>1</v>
      </c>
      <c r="C96" s="51">
        <v>0</v>
      </c>
      <c r="D96" s="51">
        <v>1</v>
      </c>
      <c r="E96" s="51">
        <v>0</v>
      </c>
      <c r="F96" s="51">
        <v>1</v>
      </c>
      <c r="G96" s="51">
        <v>0</v>
      </c>
      <c r="H96" s="51">
        <v>1</v>
      </c>
      <c r="I96" s="51">
        <v>0</v>
      </c>
      <c r="J96" s="51">
        <v>1</v>
      </c>
      <c r="K96" s="51">
        <v>0</v>
      </c>
    </row>
    <row r="98" spans="1:1" x14ac:dyDescent="0.25">
      <c r="A98" s="34" t="s">
        <v>231</v>
      </c>
    </row>
    <row r="99" spans="1:1" x14ac:dyDescent="0.25">
      <c r="A99" s="35"/>
    </row>
    <row r="100" spans="1:1" x14ac:dyDescent="0.25">
      <c r="A100" s="34" t="s">
        <v>232</v>
      </c>
    </row>
    <row r="101" spans="1:1" x14ac:dyDescent="0.25">
      <c r="A101" s="35" t="s">
        <v>233</v>
      </c>
    </row>
    <row r="102" spans="1:1" x14ac:dyDescent="0.25">
      <c r="A102" s="35" t="s">
        <v>234</v>
      </c>
    </row>
    <row r="103" spans="1:1" x14ac:dyDescent="0.25">
      <c r="A103" s="35" t="s">
        <v>235</v>
      </c>
    </row>
    <row r="104" spans="1:1" x14ac:dyDescent="0.25">
      <c r="A104" s="35"/>
    </row>
    <row r="105" spans="1:1" x14ac:dyDescent="0.25">
      <c r="A105" s="34" t="s">
        <v>236</v>
      </c>
    </row>
    <row r="106" spans="1:1" x14ac:dyDescent="0.25">
      <c r="A106" s="35"/>
    </row>
    <row r="107" spans="1:1" x14ac:dyDescent="0.25">
      <c r="A107" s="34" t="s">
        <v>237</v>
      </c>
    </row>
    <row r="108" spans="1:1" x14ac:dyDescent="0.25">
      <c r="A108" s="35" t="s">
        <v>238</v>
      </c>
    </row>
    <row r="109" spans="1:1" x14ac:dyDescent="0.25">
      <c r="A109" s="35" t="s">
        <v>239</v>
      </c>
    </row>
    <row r="110" spans="1:1" x14ac:dyDescent="0.25">
      <c r="A110" s="35" t="s">
        <v>240</v>
      </c>
    </row>
    <row r="111" spans="1:1" x14ac:dyDescent="0.25">
      <c r="A111" s="35"/>
    </row>
    <row r="112" spans="1:1" x14ac:dyDescent="0.25">
      <c r="A112" s="34" t="s">
        <v>241</v>
      </c>
    </row>
    <row r="113" spans="1:2" x14ac:dyDescent="0.25">
      <c r="A113" s="35" t="s">
        <v>242</v>
      </c>
    </row>
    <row r="114" spans="1:2" x14ac:dyDescent="0.25">
      <c r="A114" s="35" t="s">
        <v>243</v>
      </c>
    </row>
    <row r="115" spans="1:2" x14ac:dyDescent="0.25">
      <c r="A115" s="35"/>
    </row>
    <row r="116" spans="1:2" x14ac:dyDescent="0.25">
      <c r="A116" s="34" t="s">
        <v>244</v>
      </c>
    </row>
    <row r="117" spans="1:2" x14ac:dyDescent="0.25">
      <c r="A117" s="35" t="s">
        <v>245</v>
      </c>
    </row>
    <row r="118" spans="1:2" x14ac:dyDescent="0.25">
      <c r="A118" s="35" t="s">
        <v>246</v>
      </c>
    </row>
    <row r="119" spans="1:2" x14ac:dyDescent="0.25">
      <c r="A119" s="35" t="s">
        <v>247</v>
      </c>
    </row>
    <row r="121" spans="1:2" x14ac:dyDescent="0.25">
      <c r="A121" s="32" t="s">
        <v>248</v>
      </c>
    </row>
    <row r="122" spans="1:2" x14ac:dyDescent="0.25">
      <c r="A122" s="34" t="s">
        <v>249</v>
      </c>
      <c r="B122" s="35">
        <f>50</f>
        <v>50</v>
      </c>
    </row>
    <row r="123" spans="1:2" x14ac:dyDescent="0.25">
      <c r="A123" s="34" t="s">
        <v>250</v>
      </c>
      <c r="B123" s="35">
        <f>COUNTIF(B10:AY10,1)</f>
        <v>42</v>
      </c>
    </row>
    <row r="124" spans="1:2" x14ac:dyDescent="0.25">
      <c r="A124" s="34" t="s">
        <v>251</v>
      </c>
      <c r="B124" s="35">
        <f>COUNTIF(B10:AY10,-1)</f>
        <v>8</v>
      </c>
    </row>
    <row r="125" spans="1:2" x14ac:dyDescent="0.25">
      <c r="A125" s="34" t="s">
        <v>252</v>
      </c>
      <c r="B125" s="35" t="str">
        <f>ROUND(COUNTIF(B10:AY10,1)/COUNTIF(B10:AY10,-1),1)&amp;":1"</f>
        <v>5.3:1</v>
      </c>
    </row>
    <row r="126" spans="1:2" x14ac:dyDescent="0.25">
      <c r="A126" s="34" t="s">
        <v>253</v>
      </c>
      <c r="B126" s="35">
        <f>COUNTIF(B15:AY64,"&lt;&gt;"&amp;0)</f>
        <v>338</v>
      </c>
    </row>
    <row r="127" spans="1:2" x14ac:dyDescent="0.25">
      <c r="A127" s="34" t="s">
        <v>254</v>
      </c>
      <c r="B127" s="35" t="e">
        <f ca="1">ROUND(AVERAGE(B8:AY8),3)</f>
        <v>#VALUE!</v>
      </c>
    </row>
    <row r="128" spans="1:2" x14ac:dyDescent="0.25">
      <c r="A128" s="34" t="s">
        <v>255</v>
      </c>
      <c r="B128" s="35" t="e">
        <f ca="1">ROUND(AVERAGE(B9:AY9),4)</f>
        <v>#VALUE!</v>
      </c>
    </row>
    <row r="129" spans="1:2" x14ac:dyDescent="0.25">
      <c r="A129" s="34" t="s">
        <v>256</v>
      </c>
      <c r="B129" s="35" t="e">
        <f ca="1">ROUND(MAX(B7:AY7),3)</f>
        <v>#VALUE!</v>
      </c>
    </row>
    <row r="130" spans="1:2" x14ac:dyDescent="0.25">
      <c r="A130" s="34" t="s">
        <v>257</v>
      </c>
      <c r="B130" s="35" t="e">
        <f ca="1">ROUND(MIN(L7:AY7),3)</f>
        <v>#VALUE!</v>
      </c>
    </row>
  </sheetData>
  <mergeCells count="2">
    <mergeCell ref="A2:AY2"/>
    <mergeCell ref="A1:AY1"/>
  </mergeCells>
  <pageMargins left="0.75" right="0.75" top="1" bottom="1" header="0.5" footer="0.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276749"/>
  </sheetPr>
  <dimension ref="A1:I191"/>
  <sheetViews>
    <sheetView workbookViewId="0"/>
  </sheetViews>
  <sheetFormatPr defaultRowHeight="15" x14ac:dyDescent="0.25"/>
  <cols>
    <col min="1" max="1" width="14" customWidth="1"/>
    <col min="2" max="7" width="12" customWidth="1"/>
    <col min="8" max="8" width="8" customWidth="1"/>
    <col min="9" max="9" width="10" customWidth="1"/>
  </cols>
  <sheetData>
    <row r="1" spans="1:9" ht="20.25" x14ac:dyDescent="0.25">
      <c r="A1" s="52" t="s">
        <v>258</v>
      </c>
      <c r="B1" s="53"/>
      <c r="C1" s="53"/>
      <c r="D1" s="53"/>
      <c r="E1" s="53"/>
      <c r="F1" s="53"/>
      <c r="G1" s="53"/>
      <c r="H1" s="53"/>
      <c r="I1" s="53"/>
    </row>
    <row r="2" spans="1:9" x14ac:dyDescent="0.25">
      <c r="A2" s="18" t="s">
        <v>259</v>
      </c>
    </row>
    <row r="4" spans="1:9" ht="25.5" x14ac:dyDescent="0.25">
      <c r="A4" s="1" t="s">
        <v>260</v>
      </c>
      <c r="B4" s="1" t="s">
        <v>261</v>
      </c>
      <c r="C4" s="1" t="s">
        <v>262</v>
      </c>
      <c r="D4" s="1" t="s">
        <v>263</v>
      </c>
      <c r="E4" s="1" t="s">
        <v>264</v>
      </c>
      <c r="F4" s="1" t="s">
        <v>265</v>
      </c>
      <c r="G4" s="1" t="s">
        <v>266</v>
      </c>
      <c r="H4" s="1" t="s">
        <v>267</v>
      </c>
      <c r="I4" s="1" t="s">
        <v>268</v>
      </c>
    </row>
    <row r="5" spans="1:9" x14ac:dyDescent="0.25">
      <c r="A5" s="2" t="s">
        <v>269</v>
      </c>
      <c r="B5" s="2">
        <v>85.26</v>
      </c>
      <c r="C5" s="2">
        <v>85.26</v>
      </c>
      <c r="D5" s="26">
        <f t="shared" ref="D5:D36" si="0">B5-C5</f>
        <v>0</v>
      </c>
      <c r="E5" s="2">
        <v>89.26</v>
      </c>
      <c r="F5" s="2">
        <v>89.26</v>
      </c>
      <c r="G5" s="26">
        <f t="shared" ref="G5:G36" si="1">E5-F5</f>
        <v>0</v>
      </c>
      <c r="H5" s="3" t="str">
        <f t="shared" ref="H5:H36" si="2">IF(D5&gt;0,"Core","Cusp")</f>
        <v>Cusp</v>
      </c>
      <c r="I5" s="3" t="str">
        <f t="shared" ref="I5:I36" si="3">IF(D5&gt;0,"YES","no")</f>
        <v>no</v>
      </c>
    </row>
    <row r="6" spans="1:9" x14ac:dyDescent="0.25">
      <c r="A6" s="2" t="s">
        <v>270</v>
      </c>
      <c r="B6" s="2">
        <v>0.39</v>
      </c>
      <c r="C6" s="2">
        <v>0.16</v>
      </c>
      <c r="D6" s="26">
        <f t="shared" si="0"/>
        <v>0.23</v>
      </c>
      <c r="E6" s="2">
        <v>4.3899999999999997</v>
      </c>
      <c r="F6" s="2">
        <v>4.16</v>
      </c>
      <c r="G6" s="26">
        <f t="shared" si="1"/>
        <v>0.22999999999999954</v>
      </c>
      <c r="H6" s="3" t="str">
        <f t="shared" si="2"/>
        <v>Core</v>
      </c>
      <c r="I6" s="3" t="str">
        <f t="shared" si="3"/>
        <v>YES</v>
      </c>
    </row>
    <row r="7" spans="1:9" x14ac:dyDescent="0.25">
      <c r="A7" s="2" t="s">
        <v>271</v>
      </c>
      <c r="B7" s="2">
        <v>5.4</v>
      </c>
      <c r="C7" s="2">
        <v>0.56000000000000005</v>
      </c>
      <c r="D7" s="26">
        <f t="shared" si="0"/>
        <v>4.84</v>
      </c>
      <c r="E7" s="2">
        <v>9.4</v>
      </c>
      <c r="F7" s="2">
        <v>4.5599999999999996</v>
      </c>
      <c r="G7" s="26">
        <f t="shared" si="1"/>
        <v>4.8400000000000007</v>
      </c>
      <c r="H7" s="3" t="str">
        <f t="shared" si="2"/>
        <v>Core</v>
      </c>
      <c r="I7" s="3" t="str">
        <f t="shared" si="3"/>
        <v>YES</v>
      </c>
    </row>
    <row r="8" spans="1:9" x14ac:dyDescent="0.25">
      <c r="A8" s="2" t="s">
        <v>272</v>
      </c>
      <c r="B8" s="2">
        <v>124.78</v>
      </c>
      <c r="C8" s="2">
        <v>32.11</v>
      </c>
      <c r="D8" s="26">
        <f t="shared" si="0"/>
        <v>92.67</v>
      </c>
      <c r="E8" s="2">
        <v>128.78</v>
      </c>
      <c r="F8" s="2">
        <v>36.11</v>
      </c>
      <c r="G8" s="26">
        <f t="shared" si="1"/>
        <v>92.67</v>
      </c>
      <c r="H8" s="3" t="str">
        <f t="shared" si="2"/>
        <v>Core</v>
      </c>
      <c r="I8" s="3" t="str">
        <f t="shared" si="3"/>
        <v>YES</v>
      </c>
    </row>
    <row r="9" spans="1:9" x14ac:dyDescent="0.25">
      <c r="A9" s="2" t="s">
        <v>273</v>
      </c>
      <c r="B9" s="2">
        <v>6.93</v>
      </c>
      <c r="C9" s="2">
        <v>4.04</v>
      </c>
      <c r="D9" s="26">
        <f t="shared" si="0"/>
        <v>2.8899999999999997</v>
      </c>
      <c r="E9" s="2">
        <v>10.93</v>
      </c>
      <c r="F9" s="2">
        <v>8.0399999999999991</v>
      </c>
      <c r="G9" s="26">
        <f t="shared" si="1"/>
        <v>2.8900000000000006</v>
      </c>
      <c r="H9" s="3" t="str">
        <f t="shared" si="2"/>
        <v>Core</v>
      </c>
      <c r="I9" s="3" t="str">
        <f t="shared" si="3"/>
        <v>YES</v>
      </c>
    </row>
    <row r="10" spans="1:9" x14ac:dyDescent="0.25">
      <c r="A10" s="2" t="s">
        <v>274</v>
      </c>
      <c r="B10" s="2">
        <v>166.69</v>
      </c>
      <c r="C10" s="2">
        <v>42.66</v>
      </c>
      <c r="D10" s="26">
        <f t="shared" si="0"/>
        <v>124.03</v>
      </c>
      <c r="E10" s="2">
        <v>170.69</v>
      </c>
      <c r="F10" s="2">
        <v>46.66</v>
      </c>
      <c r="G10" s="26">
        <f t="shared" si="1"/>
        <v>124.03</v>
      </c>
      <c r="H10" s="3" t="str">
        <f t="shared" si="2"/>
        <v>Core</v>
      </c>
      <c r="I10" s="3" t="str">
        <f t="shared" si="3"/>
        <v>YES</v>
      </c>
    </row>
    <row r="11" spans="1:9" x14ac:dyDescent="0.25">
      <c r="A11" s="2" t="s">
        <v>275</v>
      </c>
      <c r="B11" s="2">
        <v>61.49</v>
      </c>
      <c r="C11" s="2">
        <v>17.95</v>
      </c>
      <c r="D11" s="26">
        <f t="shared" si="0"/>
        <v>43.540000000000006</v>
      </c>
      <c r="E11" s="2">
        <v>65.489999999999995</v>
      </c>
      <c r="F11" s="2">
        <v>21.95</v>
      </c>
      <c r="G11" s="26">
        <f t="shared" si="1"/>
        <v>43.539999999999992</v>
      </c>
      <c r="H11" s="3" t="str">
        <f t="shared" si="2"/>
        <v>Core</v>
      </c>
      <c r="I11" s="3" t="str">
        <f t="shared" si="3"/>
        <v>YES</v>
      </c>
    </row>
    <row r="12" spans="1:9" x14ac:dyDescent="0.25">
      <c r="A12" s="2" t="s">
        <v>276</v>
      </c>
      <c r="B12" s="2">
        <v>95.92</v>
      </c>
      <c r="C12" s="2">
        <v>39.28</v>
      </c>
      <c r="D12" s="26">
        <f t="shared" si="0"/>
        <v>56.64</v>
      </c>
      <c r="E12" s="2">
        <v>99.92</v>
      </c>
      <c r="F12" s="2">
        <v>43.28</v>
      </c>
      <c r="G12" s="26">
        <f t="shared" si="1"/>
        <v>56.64</v>
      </c>
      <c r="H12" s="3" t="str">
        <f t="shared" si="2"/>
        <v>Core</v>
      </c>
      <c r="I12" s="3" t="str">
        <f t="shared" si="3"/>
        <v>YES</v>
      </c>
    </row>
    <row r="13" spans="1:9" x14ac:dyDescent="0.25">
      <c r="A13" s="2" t="s">
        <v>277</v>
      </c>
      <c r="B13" s="2">
        <v>13.66</v>
      </c>
      <c r="C13" s="2">
        <v>8.35</v>
      </c>
      <c r="D13" s="26">
        <f t="shared" si="0"/>
        <v>5.3100000000000005</v>
      </c>
      <c r="E13" s="2">
        <v>17.66</v>
      </c>
      <c r="F13" s="2">
        <v>12.35</v>
      </c>
      <c r="G13" s="26">
        <f t="shared" si="1"/>
        <v>5.3100000000000005</v>
      </c>
      <c r="H13" s="3" t="str">
        <f t="shared" si="2"/>
        <v>Core</v>
      </c>
      <c r="I13" s="3" t="str">
        <f t="shared" si="3"/>
        <v>YES</v>
      </c>
    </row>
    <row r="14" spans="1:9" x14ac:dyDescent="0.25">
      <c r="A14" s="2" t="s">
        <v>278</v>
      </c>
      <c r="B14" s="2">
        <v>47.79</v>
      </c>
      <c r="C14" s="2">
        <v>29.28</v>
      </c>
      <c r="D14" s="26">
        <f t="shared" si="0"/>
        <v>18.509999999999998</v>
      </c>
      <c r="E14" s="2">
        <v>51.79</v>
      </c>
      <c r="F14" s="2">
        <v>33.28</v>
      </c>
      <c r="G14" s="26">
        <f t="shared" si="1"/>
        <v>18.509999999999998</v>
      </c>
      <c r="H14" s="3" t="str">
        <f t="shared" si="2"/>
        <v>Core</v>
      </c>
      <c r="I14" s="3" t="str">
        <f t="shared" si="3"/>
        <v>YES</v>
      </c>
    </row>
    <row r="15" spans="1:9" x14ac:dyDescent="0.25">
      <c r="A15" s="2" t="s">
        <v>279</v>
      </c>
      <c r="B15" s="2">
        <v>43.96</v>
      </c>
      <c r="C15" s="2">
        <v>15.43</v>
      </c>
      <c r="D15" s="26">
        <f t="shared" si="0"/>
        <v>28.53</v>
      </c>
      <c r="E15" s="2">
        <v>47.96</v>
      </c>
      <c r="F15" s="2">
        <v>19.43</v>
      </c>
      <c r="G15" s="26">
        <f t="shared" si="1"/>
        <v>28.53</v>
      </c>
      <c r="H15" s="3" t="str">
        <f t="shared" si="2"/>
        <v>Core</v>
      </c>
      <c r="I15" s="3" t="str">
        <f t="shared" si="3"/>
        <v>YES</v>
      </c>
    </row>
    <row r="16" spans="1:9" x14ac:dyDescent="0.25">
      <c r="A16" s="2" t="s">
        <v>280</v>
      </c>
      <c r="B16" s="2">
        <v>3.81</v>
      </c>
      <c r="C16" s="2">
        <v>4.6500000000000004</v>
      </c>
      <c r="D16" s="26">
        <f t="shared" si="0"/>
        <v>-0.8400000000000003</v>
      </c>
      <c r="E16" s="2">
        <v>7.81</v>
      </c>
      <c r="F16" s="2">
        <v>8.65</v>
      </c>
      <c r="G16" s="26">
        <f t="shared" si="1"/>
        <v>-0.84000000000000075</v>
      </c>
      <c r="H16" s="3" t="str">
        <f t="shared" si="2"/>
        <v>Cusp</v>
      </c>
      <c r="I16" s="3" t="str">
        <f t="shared" si="3"/>
        <v>no</v>
      </c>
    </row>
    <row r="17" spans="1:9" x14ac:dyDescent="0.25">
      <c r="A17" s="2" t="s">
        <v>281</v>
      </c>
      <c r="B17" s="2">
        <v>481.51</v>
      </c>
      <c r="C17" s="2">
        <v>407.19</v>
      </c>
      <c r="D17" s="26">
        <f t="shared" si="0"/>
        <v>74.319999999999993</v>
      </c>
      <c r="E17" s="2">
        <v>485.51</v>
      </c>
      <c r="F17" s="2">
        <v>411.19</v>
      </c>
      <c r="G17" s="26">
        <f t="shared" si="1"/>
        <v>74.319999999999993</v>
      </c>
      <c r="H17" s="3" t="str">
        <f t="shared" si="2"/>
        <v>Core</v>
      </c>
      <c r="I17" s="3" t="str">
        <f t="shared" si="3"/>
        <v>YES</v>
      </c>
    </row>
    <row r="18" spans="1:9" x14ac:dyDescent="0.25">
      <c r="A18" s="2" t="s">
        <v>282</v>
      </c>
      <c r="B18" s="2">
        <v>3.73</v>
      </c>
      <c r="C18" s="2">
        <v>3.73</v>
      </c>
      <c r="D18" s="26">
        <f t="shared" si="0"/>
        <v>0</v>
      </c>
      <c r="E18" s="2">
        <v>7.73</v>
      </c>
      <c r="F18" s="2">
        <v>7.73</v>
      </c>
      <c r="G18" s="26">
        <f t="shared" si="1"/>
        <v>0</v>
      </c>
      <c r="H18" s="3" t="str">
        <f t="shared" si="2"/>
        <v>Cusp</v>
      </c>
      <c r="I18" s="3" t="str">
        <f t="shared" si="3"/>
        <v>no</v>
      </c>
    </row>
    <row r="19" spans="1:9" x14ac:dyDescent="0.25">
      <c r="A19" s="2" t="s">
        <v>283</v>
      </c>
      <c r="B19" s="2">
        <v>16.02</v>
      </c>
      <c r="C19" s="2">
        <v>8.76</v>
      </c>
      <c r="D19" s="26">
        <f t="shared" si="0"/>
        <v>7.26</v>
      </c>
      <c r="E19" s="2">
        <v>20.02</v>
      </c>
      <c r="F19" s="2">
        <v>12.76</v>
      </c>
      <c r="G19" s="26">
        <f t="shared" si="1"/>
        <v>7.26</v>
      </c>
      <c r="H19" s="3" t="str">
        <f t="shared" si="2"/>
        <v>Core</v>
      </c>
      <c r="I19" s="3" t="str">
        <f t="shared" si="3"/>
        <v>YES</v>
      </c>
    </row>
    <row r="20" spans="1:9" x14ac:dyDescent="0.25">
      <c r="A20" s="2" t="s">
        <v>284</v>
      </c>
      <c r="B20" s="2">
        <v>0.86</v>
      </c>
      <c r="C20" s="2">
        <v>0.87</v>
      </c>
      <c r="D20" s="26">
        <f t="shared" si="0"/>
        <v>-1.0000000000000009E-2</v>
      </c>
      <c r="E20" s="2">
        <v>4.8600000000000003</v>
      </c>
      <c r="F20" s="2">
        <v>4.87</v>
      </c>
      <c r="G20" s="26">
        <f t="shared" si="1"/>
        <v>-9.9999999999997868E-3</v>
      </c>
      <c r="H20" s="3" t="str">
        <f t="shared" si="2"/>
        <v>Cusp</v>
      </c>
      <c r="I20" s="3" t="str">
        <f t="shared" si="3"/>
        <v>no</v>
      </c>
    </row>
    <row r="21" spans="1:9" x14ac:dyDescent="0.25">
      <c r="A21" s="2" t="s">
        <v>285</v>
      </c>
      <c r="B21" s="2">
        <v>8.3699999999999992</v>
      </c>
      <c r="C21" s="2">
        <v>1.95</v>
      </c>
      <c r="D21" s="26">
        <f t="shared" si="0"/>
        <v>6.419999999999999</v>
      </c>
      <c r="E21" s="2">
        <v>12.37</v>
      </c>
      <c r="F21" s="2">
        <v>5.95</v>
      </c>
      <c r="G21" s="26">
        <f t="shared" si="1"/>
        <v>6.419999999999999</v>
      </c>
      <c r="H21" s="3" t="str">
        <f t="shared" si="2"/>
        <v>Core</v>
      </c>
      <c r="I21" s="3" t="str">
        <f t="shared" si="3"/>
        <v>YES</v>
      </c>
    </row>
    <row r="22" spans="1:9" x14ac:dyDescent="0.25">
      <c r="A22" s="2" t="s">
        <v>286</v>
      </c>
      <c r="B22" s="2">
        <v>1.93</v>
      </c>
      <c r="C22" s="2">
        <v>0.37</v>
      </c>
      <c r="D22" s="26">
        <f t="shared" si="0"/>
        <v>1.56</v>
      </c>
      <c r="E22" s="2">
        <v>5.93</v>
      </c>
      <c r="F22" s="2">
        <v>4.37</v>
      </c>
      <c r="G22" s="26">
        <f t="shared" si="1"/>
        <v>1.5599999999999996</v>
      </c>
      <c r="H22" s="3" t="str">
        <f t="shared" si="2"/>
        <v>Core</v>
      </c>
      <c r="I22" s="3" t="str">
        <f t="shared" si="3"/>
        <v>YES</v>
      </c>
    </row>
    <row r="23" spans="1:9" x14ac:dyDescent="0.25">
      <c r="A23" s="2" t="s">
        <v>287</v>
      </c>
      <c r="B23" s="2">
        <v>1.23</v>
      </c>
      <c r="C23" s="2">
        <v>0.93</v>
      </c>
      <c r="D23" s="26">
        <f t="shared" si="0"/>
        <v>0.29999999999999993</v>
      </c>
      <c r="E23" s="2">
        <v>5.23</v>
      </c>
      <c r="F23" s="2">
        <v>4.93</v>
      </c>
      <c r="G23" s="26">
        <f t="shared" si="1"/>
        <v>0.30000000000000071</v>
      </c>
      <c r="H23" s="3" t="str">
        <f t="shared" si="2"/>
        <v>Core</v>
      </c>
      <c r="I23" s="3" t="str">
        <f t="shared" si="3"/>
        <v>YES</v>
      </c>
    </row>
    <row r="24" spans="1:9" x14ac:dyDescent="0.25">
      <c r="A24" s="2" t="s">
        <v>288</v>
      </c>
      <c r="B24" s="2">
        <v>8.42</v>
      </c>
      <c r="C24" s="2">
        <v>1.76</v>
      </c>
      <c r="D24" s="26">
        <f t="shared" si="0"/>
        <v>6.66</v>
      </c>
      <c r="E24" s="2">
        <v>12.42</v>
      </c>
      <c r="F24" s="2">
        <v>5.76</v>
      </c>
      <c r="G24" s="26">
        <f t="shared" si="1"/>
        <v>6.66</v>
      </c>
      <c r="H24" s="3" t="str">
        <f t="shared" si="2"/>
        <v>Core</v>
      </c>
      <c r="I24" s="3" t="str">
        <f t="shared" si="3"/>
        <v>YES</v>
      </c>
    </row>
    <row r="25" spans="1:9" x14ac:dyDescent="0.25">
      <c r="A25" s="2" t="s">
        <v>289</v>
      </c>
      <c r="B25" s="2">
        <v>49.91</v>
      </c>
      <c r="C25" s="2">
        <v>19.260000000000002</v>
      </c>
      <c r="D25" s="26">
        <f t="shared" si="0"/>
        <v>30.649999999999995</v>
      </c>
      <c r="E25" s="2">
        <v>53.91</v>
      </c>
      <c r="F25" s="2">
        <v>23.26</v>
      </c>
      <c r="G25" s="26">
        <f t="shared" si="1"/>
        <v>30.649999999999995</v>
      </c>
      <c r="H25" s="3" t="str">
        <f t="shared" si="2"/>
        <v>Core</v>
      </c>
      <c r="I25" s="3" t="str">
        <f t="shared" si="3"/>
        <v>YES</v>
      </c>
    </row>
    <row r="26" spans="1:9" x14ac:dyDescent="0.25">
      <c r="A26" s="2" t="s">
        <v>290</v>
      </c>
      <c r="B26" s="2">
        <v>2.5299999999999998</v>
      </c>
      <c r="C26" s="2">
        <v>1.54</v>
      </c>
      <c r="D26" s="26">
        <f t="shared" si="0"/>
        <v>0.98999999999999977</v>
      </c>
      <c r="E26" s="2">
        <v>6.53</v>
      </c>
      <c r="F26" s="2">
        <v>5.54</v>
      </c>
      <c r="G26" s="26">
        <f t="shared" si="1"/>
        <v>0.99000000000000021</v>
      </c>
      <c r="H26" s="3" t="str">
        <f t="shared" si="2"/>
        <v>Core</v>
      </c>
      <c r="I26" s="3" t="str">
        <f t="shared" si="3"/>
        <v>YES</v>
      </c>
    </row>
    <row r="27" spans="1:9" x14ac:dyDescent="0.25">
      <c r="A27" s="2" t="s">
        <v>291</v>
      </c>
      <c r="B27" s="2">
        <v>649.04999999999995</v>
      </c>
      <c r="C27" s="2">
        <v>514.21</v>
      </c>
      <c r="D27" s="26">
        <f t="shared" si="0"/>
        <v>134.83999999999992</v>
      </c>
      <c r="E27" s="2">
        <v>653.04999999999995</v>
      </c>
      <c r="F27" s="2">
        <v>518.21</v>
      </c>
      <c r="G27" s="26">
        <f t="shared" si="1"/>
        <v>134.83999999999992</v>
      </c>
      <c r="H27" s="3" t="str">
        <f t="shared" si="2"/>
        <v>Core</v>
      </c>
      <c r="I27" s="3" t="str">
        <f t="shared" si="3"/>
        <v>YES</v>
      </c>
    </row>
    <row r="28" spans="1:9" x14ac:dyDescent="0.25">
      <c r="A28" s="2" t="s">
        <v>292</v>
      </c>
      <c r="B28" s="2">
        <v>1.63</v>
      </c>
      <c r="C28" s="2">
        <v>0.39</v>
      </c>
      <c r="D28" s="26">
        <f t="shared" si="0"/>
        <v>1.2399999999999998</v>
      </c>
      <c r="E28" s="2">
        <v>5.63</v>
      </c>
      <c r="F28" s="2">
        <v>4.3899999999999997</v>
      </c>
      <c r="G28" s="26">
        <f t="shared" si="1"/>
        <v>1.2400000000000002</v>
      </c>
      <c r="H28" s="3" t="str">
        <f t="shared" si="2"/>
        <v>Core</v>
      </c>
      <c r="I28" s="3" t="str">
        <f t="shared" si="3"/>
        <v>YES</v>
      </c>
    </row>
    <row r="29" spans="1:9" x14ac:dyDescent="0.25">
      <c r="A29" s="2" t="s">
        <v>293</v>
      </c>
      <c r="B29" s="2">
        <v>18.48</v>
      </c>
      <c r="C29" s="2">
        <v>4.5599999999999996</v>
      </c>
      <c r="D29" s="26">
        <f t="shared" si="0"/>
        <v>13.920000000000002</v>
      </c>
      <c r="E29" s="2">
        <v>22.48</v>
      </c>
      <c r="F29" s="2">
        <v>8.56</v>
      </c>
      <c r="G29" s="26">
        <f t="shared" si="1"/>
        <v>13.92</v>
      </c>
      <c r="H29" s="3" t="str">
        <f t="shared" si="2"/>
        <v>Core</v>
      </c>
      <c r="I29" s="3" t="str">
        <f t="shared" si="3"/>
        <v>YES</v>
      </c>
    </row>
    <row r="30" spans="1:9" x14ac:dyDescent="0.25">
      <c r="A30" s="2" t="s">
        <v>294</v>
      </c>
      <c r="B30" s="2">
        <v>3.36</v>
      </c>
      <c r="C30" s="2">
        <v>3.36</v>
      </c>
      <c r="D30" s="26">
        <f t="shared" si="0"/>
        <v>0</v>
      </c>
      <c r="E30" s="2">
        <v>7.36</v>
      </c>
      <c r="F30" s="2">
        <v>7.36</v>
      </c>
      <c r="G30" s="26">
        <f t="shared" si="1"/>
        <v>0</v>
      </c>
      <c r="H30" s="3" t="str">
        <f t="shared" si="2"/>
        <v>Cusp</v>
      </c>
      <c r="I30" s="3" t="str">
        <f t="shared" si="3"/>
        <v>no</v>
      </c>
    </row>
    <row r="31" spans="1:9" x14ac:dyDescent="0.25">
      <c r="A31" s="2" t="s">
        <v>295</v>
      </c>
      <c r="B31" s="2">
        <v>2.2599999999999998</v>
      </c>
      <c r="C31" s="2">
        <v>1.1200000000000001</v>
      </c>
      <c r="D31" s="26">
        <f t="shared" si="0"/>
        <v>1.1399999999999997</v>
      </c>
      <c r="E31" s="2">
        <v>6.26</v>
      </c>
      <c r="F31" s="2">
        <v>5.12</v>
      </c>
      <c r="G31" s="26">
        <f t="shared" si="1"/>
        <v>1.1399999999999997</v>
      </c>
      <c r="H31" s="3" t="str">
        <f t="shared" si="2"/>
        <v>Core</v>
      </c>
      <c r="I31" s="3" t="str">
        <f t="shared" si="3"/>
        <v>YES</v>
      </c>
    </row>
    <row r="32" spans="1:9" x14ac:dyDescent="0.25">
      <c r="A32" s="2" t="s">
        <v>296</v>
      </c>
      <c r="B32" s="2">
        <v>36.28</v>
      </c>
      <c r="C32" s="2">
        <v>8.6</v>
      </c>
      <c r="D32" s="26">
        <f t="shared" si="0"/>
        <v>27.68</v>
      </c>
      <c r="E32" s="2">
        <v>40.28</v>
      </c>
      <c r="F32" s="2">
        <v>12.6</v>
      </c>
      <c r="G32" s="26">
        <f t="shared" si="1"/>
        <v>27.68</v>
      </c>
      <c r="H32" s="3" t="str">
        <f t="shared" si="2"/>
        <v>Core</v>
      </c>
      <c r="I32" s="3" t="str">
        <f t="shared" si="3"/>
        <v>YES</v>
      </c>
    </row>
    <row r="33" spans="1:9" x14ac:dyDescent="0.25">
      <c r="A33" s="2" t="s">
        <v>297</v>
      </c>
      <c r="B33" s="2">
        <v>1.1399999999999999</v>
      </c>
      <c r="C33" s="2">
        <v>3.4</v>
      </c>
      <c r="D33" s="26">
        <f t="shared" si="0"/>
        <v>-2.2599999999999998</v>
      </c>
      <c r="E33" s="2">
        <v>5.14</v>
      </c>
      <c r="F33" s="2">
        <v>7.4</v>
      </c>
      <c r="G33" s="26">
        <f t="shared" si="1"/>
        <v>-2.2600000000000007</v>
      </c>
      <c r="H33" s="3" t="str">
        <f t="shared" si="2"/>
        <v>Cusp</v>
      </c>
      <c r="I33" s="3" t="str">
        <f t="shared" si="3"/>
        <v>no</v>
      </c>
    </row>
    <row r="34" spans="1:9" x14ac:dyDescent="0.25">
      <c r="A34" s="2" t="s">
        <v>298</v>
      </c>
      <c r="B34" s="2">
        <v>1120.79</v>
      </c>
      <c r="C34" s="2">
        <v>75.95</v>
      </c>
      <c r="D34" s="26">
        <f t="shared" si="0"/>
        <v>1044.8399999999999</v>
      </c>
      <c r="E34" s="2">
        <v>1124.79</v>
      </c>
      <c r="F34" s="2">
        <v>79.95</v>
      </c>
      <c r="G34" s="26">
        <f t="shared" si="1"/>
        <v>1044.8399999999999</v>
      </c>
      <c r="H34" s="3" t="str">
        <f t="shared" si="2"/>
        <v>Core</v>
      </c>
      <c r="I34" s="3" t="str">
        <f t="shared" si="3"/>
        <v>YES</v>
      </c>
    </row>
    <row r="35" spans="1:9" x14ac:dyDescent="0.25">
      <c r="A35" s="2" t="s">
        <v>299</v>
      </c>
      <c r="B35" s="2">
        <v>1710.51</v>
      </c>
      <c r="C35" s="2">
        <v>1611.81</v>
      </c>
      <c r="D35" s="26">
        <f t="shared" si="0"/>
        <v>98.700000000000045</v>
      </c>
      <c r="E35" s="2">
        <v>1714.51</v>
      </c>
      <c r="F35" s="2">
        <v>1615.81</v>
      </c>
      <c r="G35" s="26">
        <f t="shared" si="1"/>
        <v>98.700000000000045</v>
      </c>
      <c r="H35" s="3" t="str">
        <f t="shared" si="2"/>
        <v>Core</v>
      </c>
      <c r="I35" s="3" t="str">
        <f t="shared" si="3"/>
        <v>YES</v>
      </c>
    </row>
    <row r="36" spans="1:9" x14ac:dyDescent="0.25">
      <c r="A36" s="2" t="s">
        <v>300</v>
      </c>
      <c r="B36" s="2">
        <v>22.75</v>
      </c>
      <c r="C36" s="2">
        <v>3.99</v>
      </c>
      <c r="D36" s="26">
        <f t="shared" si="0"/>
        <v>18.759999999999998</v>
      </c>
      <c r="E36" s="2">
        <v>26.75</v>
      </c>
      <c r="F36" s="2">
        <v>7.99</v>
      </c>
      <c r="G36" s="26">
        <f t="shared" si="1"/>
        <v>18.759999999999998</v>
      </c>
      <c r="H36" s="3" t="str">
        <f t="shared" si="2"/>
        <v>Core</v>
      </c>
      <c r="I36" s="3" t="str">
        <f t="shared" si="3"/>
        <v>YES</v>
      </c>
    </row>
    <row r="37" spans="1:9" x14ac:dyDescent="0.25">
      <c r="A37" s="2" t="s">
        <v>301</v>
      </c>
      <c r="B37" s="2">
        <v>17.760000000000002</v>
      </c>
      <c r="C37" s="2">
        <v>10.37</v>
      </c>
      <c r="D37" s="26">
        <f t="shared" ref="D37:D68" si="4">B37-C37</f>
        <v>7.3900000000000023</v>
      </c>
      <c r="E37" s="2">
        <v>21.76</v>
      </c>
      <c r="F37" s="2">
        <v>14.37</v>
      </c>
      <c r="G37" s="26">
        <f t="shared" ref="G37:G68" si="5">E37-F37</f>
        <v>7.3900000000000023</v>
      </c>
      <c r="H37" s="3" t="str">
        <f t="shared" ref="H37:H68" si="6">IF(D37&gt;0,"Core","Cusp")</f>
        <v>Core</v>
      </c>
      <c r="I37" s="3" t="str">
        <f t="shared" ref="I37:I68" si="7">IF(D37&gt;0,"YES","no")</f>
        <v>YES</v>
      </c>
    </row>
    <row r="38" spans="1:9" x14ac:dyDescent="0.25">
      <c r="A38" s="2" t="s">
        <v>302</v>
      </c>
      <c r="B38" s="2">
        <v>98.77</v>
      </c>
      <c r="C38" s="2">
        <v>41.48</v>
      </c>
      <c r="D38" s="26">
        <f t="shared" si="4"/>
        <v>57.29</v>
      </c>
      <c r="E38" s="2">
        <v>102.77</v>
      </c>
      <c r="F38" s="2">
        <v>45.48</v>
      </c>
      <c r="G38" s="26">
        <f t="shared" si="5"/>
        <v>57.29</v>
      </c>
      <c r="H38" s="3" t="str">
        <f t="shared" si="6"/>
        <v>Core</v>
      </c>
      <c r="I38" s="3" t="str">
        <f t="shared" si="7"/>
        <v>YES</v>
      </c>
    </row>
    <row r="39" spans="1:9" x14ac:dyDescent="0.25">
      <c r="A39" s="2" t="s">
        <v>303</v>
      </c>
      <c r="B39" s="2">
        <v>33.26</v>
      </c>
      <c r="C39" s="2">
        <v>6.79</v>
      </c>
      <c r="D39" s="26">
        <f t="shared" si="4"/>
        <v>26.47</v>
      </c>
      <c r="E39" s="2">
        <v>37.26</v>
      </c>
      <c r="F39" s="2">
        <v>10.79</v>
      </c>
      <c r="G39" s="26">
        <f t="shared" si="5"/>
        <v>26.47</v>
      </c>
      <c r="H39" s="3" t="str">
        <f t="shared" si="6"/>
        <v>Core</v>
      </c>
      <c r="I39" s="3" t="str">
        <f t="shared" si="7"/>
        <v>YES</v>
      </c>
    </row>
    <row r="40" spans="1:9" x14ac:dyDescent="0.25">
      <c r="A40" s="2" t="s">
        <v>304</v>
      </c>
      <c r="B40" s="2">
        <v>38.85</v>
      </c>
      <c r="C40" s="2">
        <v>54.15</v>
      </c>
      <c r="D40" s="26">
        <f t="shared" si="4"/>
        <v>-15.299999999999997</v>
      </c>
      <c r="E40" s="2">
        <v>42.85</v>
      </c>
      <c r="F40" s="2">
        <v>58.15</v>
      </c>
      <c r="G40" s="26">
        <f t="shared" si="5"/>
        <v>-15.299999999999997</v>
      </c>
      <c r="H40" s="3" t="str">
        <f t="shared" si="6"/>
        <v>Cusp</v>
      </c>
      <c r="I40" s="3" t="str">
        <f t="shared" si="7"/>
        <v>no</v>
      </c>
    </row>
    <row r="41" spans="1:9" x14ac:dyDescent="0.25">
      <c r="A41" s="2" t="s">
        <v>305</v>
      </c>
      <c r="B41" s="2">
        <v>85.09</v>
      </c>
      <c r="C41" s="2">
        <v>71.08</v>
      </c>
      <c r="D41" s="26">
        <f t="shared" si="4"/>
        <v>14.010000000000005</v>
      </c>
      <c r="E41" s="2">
        <v>89.09</v>
      </c>
      <c r="F41" s="2">
        <v>75.08</v>
      </c>
      <c r="G41" s="26">
        <f t="shared" si="5"/>
        <v>14.010000000000005</v>
      </c>
      <c r="H41" s="3" t="str">
        <f t="shared" si="6"/>
        <v>Core</v>
      </c>
      <c r="I41" s="3" t="str">
        <f t="shared" si="7"/>
        <v>YES</v>
      </c>
    </row>
    <row r="42" spans="1:9" x14ac:dyDescent="0.25">
      <c r="A42" s="2" t="s">
        <v>306</v>
      </c>
      <c r="B42" s="2">
        <v>16.28</v>
      </c>
      <c r="C42" s="2">
        <v>9.25</v>
      </c>
      <c r="D42" s="26">
        <f t="shared" si="4"/>
        <v>7.0300000000000011</v>
      </c>
      <c r="E42" s="2">
        <v>20.28</v>
      </c>
      <c r="F42" s="2">
        <v>13.25</v>
      </c>
      <c r="G42" s="26">
        <f t="shared" si="5"/>
        <v>7.0300000000000011</v>
      </c>
      <c r="H42" s="3" t="str">
        <f t="shared" si="6"/>
        <v>Core</v>
      </c>
      <c r="I42" s="3" t="str">
        <f t="shared" si="7"/>
        <v>YES</v>
      </c>
    </row>
    <row r="43" spans="1:9" x14ac:dyDescent="0.25">
      <c r="A43" s="2" t="s">
        <v>307</v>
      </c>
      <c r="B43" s="2">
        <v>565.21</v>
      </c>
      <c r="C43" s="2">
        <v>498.03</v>
      </c>
      <c r="D43" s="26">
        <f t="shared" si="4"/>
        <v>67.180000000000064</v>
      </c>
      <c r="E43" s="2">
        <v>569.21</v>
      </c>
      <c r="F43" s="2">
        <v>502.03</v>
      </c>
      <c r="G43" s="26">
        <f t="shared" si="5"/>
        <v>67.180000000000064</v>
      </c>
      <c r="H43" s="3" t="str">
        <f t="shared" si="6"/>
        <v>Core</v>
      </c>
      <c r="I43" s="3" t="str">
        <f t="shared" si="7"/>
        <v>YES</v>
      </c>
    </row>
    <row r="44" spans="1:9" x14ac:dyDescent="0.25">
      <c r="A44" s="2" t="s">
        <v>308</v>
      </c>
      <c r="B44" s="2">
        <v>3702.46</v>
      </c>
      <c r="C44" s="2">
        <v>3702.46</v>
      </c>
      <c r="D44" s="26">
        <f t="shared" si="4"/>
        <v>0</v>
      </c>
      <c r="E44" s="2">
        <v>3706.46</v>
      </c>
      <c r="F44" s="2">
        <v>3706.46</v>
      </c>
      <c r="G44" s="26">
        <f t="shared" si="5"/>
        <v>0</v>
      </c>
      <c r="H44" s="3" t="str">
        <f t="shared" si="6"/>
        <v>Cusp</v>
      </c>
      <c r="I44" s="3" t="str">
        <f t="shared" si="7"/>
        <v>no</v>
      </c>
    </row>
    <row r="45" spans="1:9" x14ac:dyDescent="0.25">
      <c r="A45" s="2" t="s">
        <v>309</v>
      </c>
      <c r="B45" s="2">
        <v>102.66</v>
      </c>
      <c r="C45" s="2">
        <v>83.8</v>
      </c>
      <c r="D45" s="26">
        <f t="shared" si="4"/>
        <v>18.86</v>
      </c>
      <c r="E45" s="2">
        <v>106.66</v>
      </c>
      <c r="F45" s="2">
        <v>87.8</v>
      </c>
      <c r="G45" s="26">
        <f t="shared" si="5"/>
        <v>18.86</v>
      </c>
      <c r="H45" s="3" t="str">
        <f t="shared" si="6"/>
        <v>Core</v>
      </c>
      <c r="I45" s="3" t="str">
        <f t="shared" si="7"/>
        <v>YES</v>
      </c>
    </row>
    <row r="46" spans="1:9" x14ac:dyDescent="0.25">
      <c r="A46" s="2" t="s">
        <v>310</v>
      </c>
      <c r="B46" s="2">
        <v>232.82</v>
      </c>
      <c r="C46" s="2">
        <v>159.49</v>
      </c>
      <c r="D46" s="26">
        <f t="shared" si="4"/>
        <v>73.329999999999984</v>
      </c>
      <c r="E46" s="2">
        <v>236.82</v>
      </c>
      <c r="F46" s="2">
        <v>163.49</v>
      </c>
      <c r="G46" s="26">
        <f t="shared" si="5"/>
        <v>73.329999999999984</v>
      </c>
      <c r="H46" s="3" t="str">
        <f t="shared" si="6"/>
        <v>Core</v>
      </c>
      <c r="I46" s="3" t="str">
        <f t="shared" si="7"/>
        <v>YES</v>
      </c>
    </row>
    <row r="47" spans="1:9" x14ac:dyDescent="0.25">
      <c r="A47" s="2" t="s">
        <v>311</v>
      </c>
      <c r="B47" s="2">
        <v>0.91</v>
      </c>
      <c r="C47" s="2">
        <v>1.57</v>
      </c>
      <c r="D47" s="26">
        <f t="shared" si="4"/>
        <v>-0.66</v>
      </c>
      <c r="E47" s="2">
        <v>4.91</v>
      </c>
      <c r="F47" s="2">
        <v>5.57</v>
      </c>
      <c r="G47" s="26">
        <f t="shared" si="5"/>
        <v>-0.66000000000000014</v>
      </c>
      <c r="H47" s="3" t="str">
        <f t="shared" si="6"/>
        <v>Cusp</v>
      </c>
      <c r="I47" s="3" t="str">
        <f t="shared" si="7"/>
        <v>no</v>
      </c>
    </row>
    <row r="48" spans="1:9" x14ac:dyDescent="0.25">
      <c r="A48" s="2" t="s">
        <v>312</v>
      </c>
      <c r="B48" s="2">
        <v>118.02</v>
      </c>
      <c r="C48" s="2">
        <v>49.41</v>
      </c>
      <c r="D48" s="26">
        <f t="shared" si="4"/>
        <v>68.61</v>
      </c>
      <c r="E48" s="2">
        <v>122.02</v>
      </c>
      <c r="F48" s="2">
        <v>53.41</v>
      </c>
      <c r="G48" s="26">
        <f t="shared" si="5"/>
        <v>68.61</v>
      </c>
      <c r="H48" s="3" t="str">
        <f t="shared" si="6"/>
        <v>Core</v>
      </c>
      <c r="I48" s="3" t="str">
        <f t="shared" si="7"/>
        <v>YES</v>
      </c>
    </row>
    <row r="49" spans="1:9" x14ac:dyDescent="0.25">
      <c r="A49" s="2" t="s">
        <v>313</v>
      </c>
      <c r="B49" s="2">
        <v>2886.35</v>
      </c>
      <c r="C49" s="2">
        <v>1508.68</v>
      </c>
      <c r="D49" s="26">
        <f t="shared" si="4"/>
        <v>1377.6699999999998</v>
      </c>
      <c r="E49" s="2">
        <v>2890.35</v>
      </c>
      <c r="F49" s="2">
        <v>1512.68</v>
      </c>
      <c r="G49" s="26">
        <f t="shared" si="5"/>
        <v>1377.6699999999998</v>
      </c>
      <c r="H49" s="3" t="str">
        <f t="shared" si="6"/>
        <v>Core</v>
      </c>
      <c r="I49" s="3" t="str">
        <f t="shared" si="7"/>
        <v>YES</v>
      </c>
    </row>
    <row r="50" spans="1:9" x14ac:dyDescent="0.25">
      <c r="A50" s="2" t="s">
        <v>314</v>
      </c>
      <c r="B50" s="2">
        <v>60.45</v>
      </c>
      <c r="C50" s="2">
        <v>51.41</v>
      </c>
      <c r="D50" s="26">
        <f t="shared" si="4"/>
        <v>9.0400000000000063</v>
      </c>
      <c r="E50" s="2">
        <v>64.45</v>
      </c>
      <c r="F50" s="2">
        <v>55.41</v>
      </c>
      <c r="G50" s="26">
        <f t="shared" si="5"/>
        <v>9.0400000000000063</v>
      </c>
      <c r="H50" s="3" t="str">
        <f t="shared" si="6"/>
        <v>Core</v>
      </c>
      <c r="I50" s="3" t="str">
        <f t="shared" si="7"/>
        <v>YES</v>
      </c>
    </row>
    <row r="51" spans="1:9" x14ac:dyDescent="0.25">
      <c r="A51" s="2" t="s">
        <v>315</v>
      </c>
      <c r="B51" s="2">
        <v>66.78</v>
      </c>
      <c r="C51" s="2">
        <v>70.37</v>
      </c>
      <c r="D51" s="26">
        <f t="shared" si="4"/>
        <v>-3.5900000000000034</v>
      </c>
      <c r="E51" s="2">
        <v>70.78</v>
      </c>
      <c r="F51" s="2">
        <v>74.37</v>
      </c>
      <c r="G51" s="26">
        <f t="shared" si="5"/>
        <v>-3.5900000000000034</v>
      </c>
      <c r="H51" s="3" t="str">
        <f t="shared" si="6"/>
        <v>Cusp</v>
      </c>
      <c r="I51" s="3" t="str">
        <f t="shared" si="7"/>
        <v>no</v>
      </c>
    </row>
    <row r="52" spans="1:9" x14ac:dyDescent="0.25">
      <c r="A52" s="2" t="s">
        <v>316</v>
      </c>
      <c r="B52" s="2">
        <v>6776.38</v>
      </c>
      <c r="C52" s="2">
        <v>5974.18</v>
      </c>
      <c r="D52" s="26">
        <f t="shared" si="4"/>
        <v>802.19999999999982</v>
      </c>
      <c r="E52" s="2">
        <v>6780.38</v>
      </c>
      <c r="F52" s="2">
        <v>5978.18</v>
      </c>
      <c r="G52" s="26">
        <f t="shared" si="5"/>
        <v>802.19999999999982</v>
      </c>
      <c r="H52" s="3" t="str">
        <f t="shared" si="6"/>
        <v>Core</v>
      </c>
      <c r="I52" s="3" t="str">
        <f t="shared" si="7"/>
        <v>YES</v>
      </c>
    </row>
    <row r="53" spans="1:9" x14ac:dyDescent="0.25">
      <c r="A53" s="2" t="s">
        <v>317</v>
      </c>
      <c r="B53" s="2">
        <v>38.97</v>
      </c>
      <c r="C53" s="2">
        <v>30.23</v>
      </c>
      <c r="D53" s="26">
        <f t="shared" si="4"/>
        <v>8.7399999999999984</v>
      </c>
      <c r="E53" s="2">
        <v>42.97</v>
      </c>
      <c r="F53" s="2">
        <v>34.229999999999997</v>
      </c>
      <c r="G53" s="26">
        <f t="shared" si="5"/>
        <v>8.740000000000002</v>
      </c>
      <c r="H53" s="3" t="str">
        <f t="shared" si="6"/>
        <v>Core</v>
      </c>
      <c r="I53" s="3" t="str">
        <f t="shared" si="7"/>
        <v>YES</v>
      </c>
    </row>
    <row r="54" spans="1:9" x14ac:dyDescent="0.25">
      <c r="A54" s="2" t="s">
        <v>318</v>
      </c>
      <c r="B54" s="2">
        <v>1386.14</v>
      </c>
      <c r="C54" s="2">
        <v>1386.14</v>
      </c>
      <c r="D54" s="26">
        <f t="shared" si="4"/>
        <v>0</v>
      </c>
      <c r="E54" s="2">
        <v>1390.14</v>
      </c>
      <c r="F54" s="2">
        <v>1390.14</v>
      </c>
      <c r="G54" s="26">
        <f t="shared" si="5"/>
        <v>0</v>
      </c>
      <c r="H54" s="3" t="str">
        <f t="shared" si="6"/>
        <v>Cusp</v>
      </c>
      <c r="I54" s="3" t="str">
        <f t="shared" si="7"/>
        <v>no</v>
      </c>
    </row>
    <row r="55" spans="1:9" x14ac:dyDescent="0.25">
      <c r="A55" s="2" t="s">
        <v>319</v>
      </c>
      <c r="B55" s="2">
        <v>28.27</v>
      </c>
      <c r="C55" s="2">
        <v>28.27</v>
      </c>
      <c r="D55" s="26">
        <f t="shared" si="4"/>
        <v>0</v>
      </c>
      <c r="E55" s="2">
        <v>32.270000000000003</v>
      </c>
      <c r="F55" s="2">
        <v>32.270000000000003</v>
      </c>
      <c r="G55" s="26">
        <f t="shared" si="5"/>
        <v>0</v>
      </c>
      <c r="H55" s="3" t="str">
        <f t="shared" si="6"/>
        <v>Cusp</v>
      </c>
      <c r="I55" s="3" t="str">
        <f t="shared" si="7"/>
        <v>no</v>
      </c>
    </row>
    <row r="56" spans="1:9" x14ac:dyDescent="0.25">
      <c r="A56" s="2" t="s">
        <v>320</v>
      </c>
      <c r="B56" s="2">
        <v>45</v>
      </c>
      <c r="C56" s="2">
        <v>35.25</v>
      </c>
      <c r="D56" s="26">
        <f t="shared" si="4"/>
        <v>9.75</v>
      </c>
      <c r="E56" s="2">
        <v>49</v>
      </c>
      <c r="F56" s="2">
        <v>39.25</v>
      </c>
      <c r="G56" s="26">
        <f t="shared" si="5"/>
        <v>9.75</v>
      </c>
      <c r="H56" s="3" t="str">
        <f t="shared" si="6"/>
        <v>Core</v>
      </c>
      <c r="I56" s="3" t="str">
        <f t="shared" si="7"/>
        <v>YES</v>
      </c>
    </row>
    <row r="57" spans="1:9" x14ac:dyDescent="0.25">
      <c r="A57" s="2" t="s">
        <v>321</v>
      </c>
      <c r="B57" s="2">
        <v>206.54</v>
      </c>
      <c r="C57" s="2">
        <v>4.67</v>
      </c>
      <c r="D57" s="26">
        <f t="shared" si="4"/>
        <v>201.87</v>
      </c>
      <c r="E57" s="2">
        <v>210.54</v>
      </c>
      <c r="F57" s="2">
        <v>8.67</v>
      </c>
      <c r="G57" s="26">
        <f t="shared" si="5"/>
        <v>201.87</v>
      </c>
      <c r="H57" s="3" t="str">
        <f t="shared" si="6"/>
        <v>Core</v>
      </c>
      <c r="I57" s="3" t="str">
        <f t="shared" si="7"/>
        <v>YES</v>
      </c>
    </row>
    <row r="58" spans="1:9" x14ac:dyDescent="0.25">
      <c r="A58" s="2" t="s">
        <v>322</v>
      </c>
      <c r="B58" s="2">
        <v>631.11</v>
      </c>
      <c r="C58" s="2">
        <v>321.47000000000003</v>
      </c>
      <c r="D58" s="26">
        <f t="shared" si="4"/>
        <v>309.64</v>
      </c>
      <c r="E58" s="2">
        <v>635.11</v>
      </c>
      <c r="F58" s="2">
        <v>325.47000000000003</v>
      </c>
      <c r="G58" s="26">
        <f t="shared" si="5"/>
        <v>309.64</v>
      </c>
      <c r="H58" s="3" t="str">
        <f t="shared" si="6"/>
        <v>Core</v>
      </c>
      <c r="I58" s="3" t="str">
        <f t="shared" si="7"/>
        <v>YES</v>
      </c>
    </row>
    <row r="59" spans="1:9" x14ac:dyDescent="0.25">
      <c r="A59" s="2" t="s">
        <v>323</v>
      </c>
      <c r="B59" s="2">
        <v>1205.3399999999999</v>
      </c>
      <c r="C59" s="2">
        <v>1153.4100000000001</v>
      </c>
      <c r="D59" s="26">
        <f t="shared" si="4"/>
        <v>51.929999999999836</v>
      </c>
      <c r="E59" s="2">
        <v>1209.3399999999999</v>
      </c>
      <c r="F59" s="2">
        <v>1157.4100000000001</v>
      </c>
      <c r="G59" s="26">
        <f t="shared" si="5"/>
        <v>51.929999999999836</v>
      </c>
      <c r="H59" s="3" t="str">
        <f t="shared" si="6"/>
        <v>Core</v>
      </c>
      <c r="I59" s="3" t="str">
        <f t="shared" si="7"/>
        <v>YES</v>
      </c>
    </row>
    <row r="60" spans="1:9" x14ac:dyDescent="0.25">
      <c r="A60" s="2" t="s">
        <v>324</v>
      </c>
      <c r="B60" s="2">
        <v>251.19</v>
      </c>
      <c r="C60" s="2">
        <v>214.13</v>
      </c>
      <c r="D60" s="26">
        <f t="shared" si="4"/>
        <v>37.06</v>
      </c>
      <c r="E60" s="2">
        <v>255.19</v>
      </c>
      <c r="F60" s="2">
        <v>218.13</v>
      </c>
      <c r="G60" s="26">
        <f t="shared" si="5"/>
        <v>37.06</v>
      </c>
      <c r="H60" s="3" t="str">
        <f t="shared" si="6"/>
        <v>Core</v>
      </c>
      <c r="I60" s="3" t="str">
        <f t="shared" si="7"/>
        <v>YES</v>
      </c>
    </row>
    <row r="61" spans="1:9" x14ac:dyDescent="0.25">
      <c r="A61" s="2" t="s">
        <v>325</v>
      </c>
      <c r="B61" s="2">
        <v>9.27</v>
      </c>
      <c r="C61" s="2">
        <v>10.63</v>
      </c>
      <c r="D61" s="26">
        <f t="shared" si="4"/>
        <v>-1.3600000000000012</v>
      </c>
      <c r="E61" s="2">
        <v>13.27</v>
      </c>
      <c r="F61" s="2">
        <v>14.63</v>
      </c>
      <c r="G61" s="26">
        <f t="shared" si="5"/>
        <v>-1.3600000000000012</v>
      </c>
      <c r="H61" s="3" t="str">
        <f t="shared" si="6"/>
        <v>Cusp</v>
      </c>
      <c r="I61" s="3" t="str">
        <f t="shared" si="7"/>
        <v>no</v>
      </c>
    </row>
    <row r="62" spans="1:9" x14ac:dyDescent="0.25">
      <c r="A62" s="2" t="s">
        <v>326</v>
      </c>
      <c r="B62" s="2">
        <v>67.239999999999995</v>
      </c>
      <c r="C62" s="2">
        <v>56.83</v>
      </c>
      <c r="D62" s="26">
        <f t="shared" si="4"/>
        <v>10.409999999999997</v>
      </c>
      <c r="E62" s="2">
        <v>71.239999999999995</v>
      </c>
      <c r="F62" s="2">
        <v>60.83</v>
      </c>
      <c r="G62" s="26">
        <f t="shared" si="5"/>
        <v>10.409999999999997</v>
      </c>
      <c r="H62" s="3" t="str">
        <f t="shared" si="6"/>
        <v>Core</v>
      </c>
      <c r="I62" s="3" t="str">
        <f t="shared" si="7"/>
        <v>YES</v>
      </c>
    </row>
    <row r="63" spans="1:9" x14ac:dyDescent="0.25">
      <c r="A63" s="2" t="s">
        <v>327</v>
      </c>
      <c r="B63" s="2">
        <v>278.20999999999998</v>
      </c>
      <c r="C63" s="2">
        <v>278.20999999999998</v>
      </c>
      <c r="D63" s="26">
        <f t="shared" si="4"/>
        <v>0</v>
      </c>
      <c r="E63" s="2">
        <v>282.20999999999998</v>
      </c>
      <c r="F63" s="2">
        <v>282.20999999999998</v>
      </c>
      <c r="G63" s="26">
        <f t="shared" si="5"/>
        <v>0</v>
      </c>
      <c r="H63" s="3" t="str">
        <f t="shared" si="6"/>
        <v>Cusp</v>
      </c>
      <c r="I63" s="3" t="str">
        <f t="shared" si="7"/>
        <v>no</v>
      </c>
    </row>
    <row r="64" spans="1:9" x14ac:dyDescent="0.25">
      <c r="A64" s="2" t="s">
        <v>328</v>
      </c>
      <c r="B64" s="2">
        <v>140.44999999999999</v>
      </c>
      <c r="C64" s="2">
        <v>122.57</v>
      </c>
      <c r="D64" s="26">
        <f t="shared" si="4"/>
        <v>17.879999999999995</v>
      </c>
      <c r="E64" s="2">
        <v>144.44999999999999</v>
      </c>
      <c r="F64" s="2">
        <v>126.57</v>
      </c>
      <c r="G64" s="26">
        <f t="shared" si="5"/>
        <v>17.879999999999995</v>
      </c>
      <c r="H64" s="3" t="str">
        <f t="shared" si="6"/>
        <v>Core</v>
      </c>
      <c r="I64" s="3" t="str">
        <f t="shared" si="7"/>
        <v>YES</v>
      </c>
    </row>
    <row r="65" spans="1:9" x14ac:dyDescent="0.25">
      <c r="A65" s="2" t="s">
        <v>329</v>
      </c>
      <c r="B65" s="2">
        <v>40.24</v>
      </c>
      <c r="C65" s="2">
        <v>26.81</v>
      </c>
      <c r="D65" s="26">
        <f t="shared" si="4"/>
        <v>13.430000000000003</v>
      </c>
      <c r="E65" s="2">
        <v>44.24</v>
      </c>
      <c r="F65" s="2">
        <v>30.81</v>
      </c>
      <c r="G65" s="26">
        <f t="shared" si="5"/>
        <v>13.430000000000003</v>
      </c>
      <c r="H65" s="3" t="str">
        <f t="shared" si="6"/>
        <v>Core</v>
      </c>
      <c r="I65" s="3" t="str">
        <f t="shared" si="7"/>
        <v>YES</v>
      </c>
    </row>
    <row r="66" spans="1:9" x14ac:dyDescent="0.25">
      <c r="A66" s="2" t="s">
        <v>330</v>
      </c>
      <c r="B66" s="2">
        <v>196.61</v>
      </c>
      <c r="C66" s="2">
        <v>196.61</v>
      </c>
      <c r="D66" s="26">
        <f t="shared" si="4"/>
        <v>0</v>
      </c>
      <c r="E66" s="2">
        <v>200.61</v>
      </c>
      <c r="F66" s="2">
        <v>200.61</v>
      </c>
      <c r="G66" s="26">
        <f t="shared" si="5"/>
        <v>0</v>
      </c>
      <c r="H66" s="3" t="str">
        <f t="shared" si="6"/>
        <v>Cusp</v>
      </c>
      <c r="I66" s="3" t="str">
        <f t="shared" si="7"/>
        <v>no</v>
      </c>
    </row>
    <row r="67" spans="1:9" x14ac:dyDescent="0.25">
      <c r="A67" s="2" t="s">
        <v>331</v>
      </c>
      <c r="B67" s="2">
        <v>69.069999999999993</v>
      </c>
      <c r="C67" s="2">
        <v>69.069999999999993</v>
      </c>
      <c r="D67" s="26">
        <f t="shared" si="4"/>
        <v>0</v>
      </c>
      <c r="E67" s="2">
        <v>73.069999999999993</v>
      </c>
      <c r="F67" s="2">
        <v>73.069999999999993</v>
      </c>
      <c r="G67" s="26">
        <f t="shared" si="5"/>
        <v>0</v>
      </c>
      <c r="H67" s="3" t="str">
        <f t="shared" si="6"/>
        <v>Cusp</v>
      </c>
      <c r="I67" s="3" t="str">
        <f t="shared" si="7"/>
        <v>no</v>
      </c>
    </row>
    <row r="68" spans="1:9" x14ac:dyDescent="0.25">
      <c r="A68" s="2" t="s">
        <v>332</v>
      </c>
      <c r="B68" s="2">
        <v>15.92</v>
      </c>
      <c r="C68" s="2">
        <v>13.21</v>
      </c>
      <c r="D68" s="26">
        <f t="shared" si="4"/>
        <v>2.7099999999999991</v>
      </c>
      <c r="E68" s="2">
        <v>19.920000000000002</v>
      </c>
      <c r="F68" s="2">
        <v>17.21</v>
      </c>
      <c r="G68" s="26">
        <f t="shared" si="5"/>
        <v>2.7100000000000009</v>
      </c>
      <c r="H68" s="3" t="str">
        <f t="shared" si="6"/>
        <v>Core</v>
      </c>
      <c r="I68" s="3" t="str">
        <f t="shared" si="7"/>
        <v>YES</v>
      </c>
    </row>
    <row r="69" spans="1:9" x14ac:dyDescent="0.25">
      <c r="A69" s="2" t="s">
        <v>333</v>
      </c>
      <c r="B69" s="2">
        <v>5.69</v>
      </c>
      <c r="C69" s="2">
        <v>8.0399999999999991</v>
      </c>
      <c r="D69" s="26">
        <f t="shared" ref="D69:D100" si="8">B69-C69</f>
        <v>-2.3499999999999988</v>
      </c>
      <c r="E69" s="2">
        <v>9.69</v>
      </c>
      <c r="F69" s="2">
        <v>12.04</v>
      </c>
      <c r="G69" s="26">
        <f t="shared" ref="G69:G100" si="9">E69-F69</f>
        <v>-2.3499999999999996</v>
      </c>
      <c r="H69" s="3" t="str">
        <f t="shared" ref="H69:H100" si="10">IF(D69&gt;0,"Core","Cusp")</f>
        <v>Cusp</v>
      </c>
      <c r="I69" s="3" t="str">
        <f t="shared" ref="I69:I100" si="11">IF(D69&gt;0,"YES","no")</f>
        <v>no</v>
      </c>
    </row>
    <row r="70" spans="1:9" x14ac:dyDescent="0.25">
      <c r="A70" s="2" t="s">
        <v>334</v>
      </c>
      <c r="B70" s="2">
        <v>51.85</v>
      </c>
      <c r="C70" s="2">
        <v>34.450000000000003</v>
      </c>
      <c r="D70" s="26">
        <f t="shared" si="8"/>
        <v>17.399999999999999</v>
      </c>
      <c r="E70" s="2">
        <v>55.85</v>
      </c>
      <c r="F70" s="2">
        <v>38.450000000000003</v>
      </c>
      <c r="G70" s="26">
        <f t="shared" si="9"/>
        <v>17.399999999999999</v>
      </c>
      <c r="H70" s="3" t="str">
        <f t="shared" si="10"/>
        <v>Core</v>
      </c>
      <c r="I70" s="3" t="str">
        <f t="shared" si="11"/>
        <v>YES</v>
      </c>
    </row>
    <row r="71" spans="1:9" x14ac:dyDescent="0.25">
      <c r="A71" s="2" t="s">
        <v>335</v>
      </c>
      <c r="B71" s="2">
        <v>803.13</v>
      </c>
      <c r="C71" s="2">
        <v>540.86</v>
      </c>
      <c r="D71" s="26">
        <f t="shared" si="8"/>
        <v>262.27</v>
      </c>
      <c r="E71" s="2">
        <v>807.13</v>
      </c>
      <c r="F71" s="2">
        <v>544.86</v>
      </c>
      <c r="G71" s="26">
        <f t="shared" si="9"/>
        <v>262.27</v>
      </c>
      <c r="H71" s="3" t="str">
        <f t="shared" si="10"/>
        <v>Core</v>
      </c>
      <c r="I71" s="3" t="str">
        <f t="shared" si="11"/>
        <v>YES</v>
      </c>
    </row>
    <row r="72" spans="1:9" x14ac:dyDescent="0.25">
      <c r="A72" s="2" t="s">
        <v>336</v>
      </c>
      <c r="B72" s="2">
        <v>104.71</v>
      </c>
      <c r="C72" s="2">
        <v>104.71</v>
      </c>
      <c r="D72" s="26">
        <f t="shared" si="8"/>
        <v>0</v>
      </c>
      <c r="E72" s="2">
        <v>108.71</v>
      </c>
      <c r="F72" s="2">
        <v>108.71</v>
      </c>
      <c r="G72" s="26">
        <f t="shared" si="9"/>
        <v>0</v>
      </c>
      <c r="H72" s="3" t="str">
        <f t="shared" si="10"/>
        <v>Cusp</v>
      </c>
      <c r="I72" s="3" t="str">
        <f t="shared" si="11"/>
        <v>no</v>
      </c>
    </row>
    <row r="73" spans="1:9" x14ac:dyDescent="0.25">
      <c r="A73" s="2" t="s">
        <v>337</v>
      </c>
      <c r="B73" s="2">
        <v>10.27</v>
      </c>
      <c r="C73" s="2">
        <v>4.7300000000000004</v>
      </c>
      <c r="D73" s="26">
        <f t="shared" si="8"/>
        <v>5.5399999999999991</v>
      </c>
      <c r="E73" s="2">
        <v>14.27</v>
      </c>
      <c r="F73" s="2">
        <v>8.73</v>
      </c>
      <c r="G73" s="26">
        <f t="shared" si="9"/>
        <v>5.5399999999999991</v>
      </c>
      <c r="H73" s="3" t="str">
        <f t="shared" si="10"/>
        <v>Core</v>
      </c>
      <c r="I73" s="3" t="str">
        <f t="shared" si="11"/>
        <v>YES</v>
      </c>
    </row>
    <row r="74" spans="1:9" x14ac:dyDescent="0.25">
      <c r="A74" s="2" t="s">
        <v>338</v>
      </c>
      <c r="B74" s="2">
        <v>219.18</v>
      </c>
      <c r="C74" s="2">
        <v>219.18</v>
      </c>
      <c r="D74" s="26">
        <f t="shared" si="8"/>
        <v>0</v>
      </c>
      <c r="E74" s="2">
        <v>223.18</v>
      </c>
      <c r="F74" s="2">
        <v>223.18</v>
      </c>
      <c r="G74" s="26">
        <f t="shared" si="9"/>
        <v>0</v>
      </c>
      <c r="H74" s="3" t="str">
        <f t="shared" si="10"/>
        <v>Cusp</v>
      </c>
      <c r="I74" s="3" t="str">
        <f t="shared" si="11"/>
        <v>no</v>
      </c>
    </row>
    <row r="75" spans="1:9" x14ac:dyDescent="0.25">
      <c r="A75" s="2" t="s">
        <v>339</v>
      </c>
      <c r="B75" s="2">
        <v>619.01</v>
      </c>
      <c r="C75" s="2">
        <v>619.01</v>
      </c>
      <c r="D75" s="26">
        <f t="shared" si="8"/>
        <v>0</v>
      </c>
      <c r="E75" s="2">
        <v>623.01</v>
      </c>
      <c r="F75" s="2">
        <v>623.01</v>
      </c>
      <c r="G75" s="26">
        <f t="shared" si="9"/>
        <v>0</v>
      </c>
      <c r="H75" s="3" t="str">
        <f t="shared" si="10"/>
        <v>Cusp</v>
      </c>
      <c r="I75" s="3" t="str">
        <f t="shared" si="11"/>
        <v>no</v>
      </c>
    </row>
    <row r="76" spans="1:9" x14ac:dyDescent="0.25">
      <c r="A76" s="2" t="s">
        <v>340</v>
      </c>
      <c r="B76" s="2">
        <v>65.84</v>
      </c>
      <c r="C76" s="2">
        <v>55.99</v>
      </c>
      <c r="D76" s="26">
        <f t="shared" si="8"/>
        <v>9.8500000000000014</v>
      </c>
      <c r="E76" s="2">
        <v>69.84</v>
      </c>
      <c r="F76" s="2">
        <v>59.99</v>
      </c>
      <c r="G76" s="26">
        <f t="shared" si="9"/>
        <v>9.8500000000000014</v>
      </c>
      <c r="H76" s="3" t="str">
        <f t="shared" si="10"/>
        <v>Core</v>
      </c>
      <c r="I76" s="3" t="str">
        <f t="shared" si="11"/>
        <v>YES</v>
      </c>
    </row>
    <row r="77" spans="1:9" x14ac:dyDescent="0.25">
      <c r="A77" s="2" t="s">
        <v>341</v>
      </c>
      <c r="B77" s="2">
        <v>15.64</v>
      </c>
      <c r="C77" s="2">
        <v>14.06</v>
      </c>
      <c r="D77" s="26">
        <f t="shared" si="8"/>
        <v>1.58</v>
      </c>
      <c r="E77" s="2">
        <v>19.64</v>
      </c>
      <c r="F77" s="2">
        <v>18.059999999999999</v>
      </c>
      <c r="G77" s="26">
        <f t="shared" si="9"/>
        <v>1.5800000000000018</v>
      </c>
      <c r="H77" s="3" t="str">
        <f t="shared" si="10"/>
        <v>Core</v>
      </c>
      <c r="I77" s="3" t="str">
        <f t="shared" si="11"/>
        <v>YES</v>
      </c>
    </row>
    <row r="78" spans="1:9" x14ac:dyDescent="0.25">
      <c r="A78" s="2" t="s">
        <v>342</v>
      </c>
      <c r="B78" s="2">
        <v>341.68</v>
      </c>
      <c r="C78" s="2">
        <v>307.04000000000002</v>
      </c>
      <c r="D78" s="26">
        <f t="shared" si="8"/>
        <v>34.639999999999986</v>
      </c>
      <c r="E78" s="2">
        <v>345.68</v>
      </c>
      <c r="F78" s="2">
        <v>311.04000000000002</v>
      </c>
      <c r="G78" s="26">
        <f t="shared" si="9"/>
        <v>34.639999999999986</v>
      </c>
      <c r="H78" s="3" t="str">
        <f t="shared" si="10"/>
        <v>Core</v>
      </c>
      <c r="I78" s="3" t="str">
        <f t="shared" si="11"/>
        <v>YES</v>
      </c>
    </row>
    <row r="79" spans="1:9" x14ac:dyDescent="0.25">
      <c r="A79" s="2" t="s">
        <v>343</v>
      </c>
      <c r="B79" s="2">
        <v>4.47</v>
      </c>
      <c r="C79" s="2">
        <v>5.12</v>
      </c>
      <c r="D79" s="26">
        <f t="shared" si="8"/>
        <v>-0.65000000000000036</v>
      </c>
      <c r="E79" s="2">
        <v>8.4700000000000006</v>
      </c>
      <c r="F79" s="2">
        <v>9.1199999999999992</v>
      </c>
      <c r="G79" s="26">
        <f t="shared" si="9"/>
        <v>-0.64999999999999858</v>
      </c>
      <c r="H79" s="3" t="str">
        <f t="shared" si="10"/>
        <v>Cusp</v>
      </c>
      <c r="I79" s="3" t="str">
        <f t="shared" si="11"/>
        <v>no</v>
      </c>
    </row>
    <row r="80" spans="1:9" x14ac:dyDescent="0.25">
      <c r="A80" s="2" t="s">
        <v>344</v>
      </c>
      <c r="B80" s="2">
        <v>8.65</v>
      </c>
      <c r="C80" s="2">
        <v>11.03</v>
      </c>
      <c r="D80" s="26">
        <f t="shared" si="8"/>
        <v>-2.379999999999999</v>
      </c>
      <c r="E80" s="2">
        <v>12.65</v>
      </c>
      <c r="F80" s="2">
        <v>15.03</v>
      </c>
      <c r="G80" s="26">
        <f t="shared" si="9"/>
        <v>-2.379999999999999</v>
      </c>
      <c r="H80" s="3" t="str">
        <f t="shared" si="10"/>
        <v>Cusp</v>
      </c>
      <c r="I80" s="3" t="str">
        <f t="shared" si="11"/>
        <v>no</v>
      </c>
    </row>
    <row r="81" spans="1:9" x14ac:dyDescent="0.25">
      <c r="A81" s="2" t="s">
        <v>345</v>
      </c>
      <c r="B81" s="2">
        <v>1595.29</v>
      </c>
      <c r="C81" s="2">
        <v>1595.26</v>
      </c>
      <c r="D81" s="26">
        <f t="shared" si="8"/>
        <v>2.9999999999972715E-2</v>
      </c>
      <c r="E81" s="2">
        <v>1599.29</v>
      </c>
      <c r="F81" s="2">
        <v>1599.26</v>
      </c>
      <c r="G81" s="26">
        <f t="shared" si="9"/>
        <v>2.9999999999972715E-2</v>
      </c>
      <c r="H81" s="3" t="str">
        <f t="shared" si="10"/>
        <v>Core</v>
      </c>
      <c r="I81" s="3" t="str">
        <f t="shared" si="11"/>
        <v>YES</v>
      </c>
    </row>
    <row r="82" spans="1:9" x14ac:dyDescent="0.25">
      <c r="A82" s="2" t="s">
        <v>346</v>
      </c>
      <c r="B82" s="2">
        <v>479.21</v>
      </c>
      <c r="C82" s="2">
        <v>479.21</v>
      </c>
      <c r="D82" s="26">
        <f t="shared" si="8"/>
        <v>0</v>
      </c>
      <c r="E82" s="2">
        <v>483.21</v>
      </c>
      <c r="F82" s="2">
        <v>483.21</v>
      </c>
      <c r="G82" s="26">
        <f t="shared" si="9"/>
        <v>0</v>
      </c>
      <c r="H82" s="3" t="str">
        <f t="shared" si="10"/>
        <v>Cusp</v>
      </c>
      <c r="I82" s="3" t="str">
        <f t="shared" si="11"/>
        <v>no</v>
      </c>
    </row>
    <row r="83" spans="1:9" x14ac:dyDescent="0.25">
      <c r="A83" s="2" t="s">
        <v>347</v>
      </c>
      <c r="B83" s="2">
        <v>124.38</v>
      </c>
      <c r="C83" s="2">
        <v>81.489999999999995</v>
      </c>
      <c r="D83" s="26">
        <f t="shared" si="8"/>
        <v>42.89</v>
      </c>
      <c r="E83" s="2">
        <v>128.38</v>
      </c>
      <c r="F83" s="2">
        <v>85.49</v>
      </c>
      <c r="G83" s="26">
        <f t="shared" si="9"/>
        <v>42.89</v>
      </c>
      <c r="H83" s="3" t="str">
        <f t="shared" si="10"/>
        <v>Core</v>
      </c>
      <c r="I83" s="3" t="str">
        <f t="shared" si="11"/>
        <v>YES</v>
      </c>
    </row>
    <row r="84" spans="1:9" x14ac:dyDescent="0.25">
      <c r="A84" s="2" t="s">
        <v>348</v>
      </c>
      <c r="B84" s="2">
        <v>251.42</v>
      </c>
      <c r="C84" s="2">
        <v>251.42</v>
      </c>
      <c r="D84" s="26">
        <f t="shared" si="8"/>
        <v>0</v>
      </c>
      <c r="E84" s="2">
        <v>255.42</v>
      </c>
      <c r="F84" s="2">
        <v>255.42</v>
      </c>
      <c r="G84" s="26">
        <f t="shared" si="9"/>
        <v>0</v>
      </c>
      <c r="H84" s="3" t="str">
        <f t="shared" si="10"/>
        <v>Cusp</v>
      </c>
      <c r="I84" s="3" t="str">
        <f t="shared" si="11"/>
        <v>no</v>
      </c>
    </row>
    <row r="85" spans="1:9" x14ac:dyDescent="0.25">
      <c r="A85" s="2" t="s">
        <v>349</v>
      </c>
      <c r="B85" s="2">
        <v>425.89</v>
      </c>
      <c r="C85" s="2">
        <v>369.66</v>
      </c>
      <c r="D85" s="26">
        <f t="shared" si="8"/>
        <v>56.229999999999961</v>
      </c>
      <c r="E85" s="2">
        <v>429.89</v>
      </c>
      <c r="F85" s="2">
        <v>373.66</v>
      </c>
      <c r="G85" s="26">
        <f t="shared" si="9"/>
        <v>56.229999999999961</v>
      </c>
      <c r="H85" s="3" t="str">
        <f t="shared" si="10"/>
        <v>Core</v>
      </c>
      <c r="I85" s="3" t="str">
        <f t="shared" si="11"/>
        <v>YES</v>
      </c>
    </row>
    <row r="86" spans="1:9" x14ac:dyDescent="0.25">
      <c r="A86" s="2" t="s">
        <v>350</v>
      </c>
      <c r="B86" s="2">
        <v>90447.11</v>
      </c>
      <c r="C86" s="2">
        <v>83883.97</v>
      </c>
      <c r="D86" s="26">
        <f t="shared" si="8"/>
        <v>6563.1399999999994</v>
      </c>
      <c r="E86" s="2">
        <v>90451.11</v>
      </c>
      <c r="F86" s="2">
        <v>83887.97</v>
      </c>
      <c r="G86" s="26">
        <f t="shared" si="9"/>
        <v>6563.1399999999994</v>
      </c>
      <c r="H86" s="3" t="str">
        <f t="shared" si="10"/>
        <v>Core</v>
      </c>
      <c r="I86" s="3" t="str">
        <f t="shared" si="11"/>
        <v>YES</v>
      </c>
    </row>
    <row r="87" spans="1:9" x14ac:dyDescent="0.25">
      <c r="A87" s="2" t="s">
        <v>351</v>
      </c>
      <c r="B87" s="2">
        <v>2412.54</v>
      </c>
      <c r="C87" s="2">
        <v>2412.54</v>
      </c>
      <c r="D87" s="26">
        <f t="shared" si="8"/>
        <v>0</v>
      </c>
      <c r="E87" s="2">
        <v>2416.54</v>
      </c>
      <c r="F87" s="2">
        <v>2416.54</v>
      </c>
      <c r="G87" s="26">
        <f t="shared" si="9"/>
        <v>0</v>
      </c>
      <c r="H87" s="3" t="str">
        <f t="shared" si="10"/>
        <v>Cusp</v>
      </c>
      <c r="I87" s="3" t="str">
        <f t="shared" si="11"/>
        <v>no</v>
      </c>
    </row>
    <row r="88" spans="1:9" x14ac:dyDescent="0.25">
      <c r="A88" s="2" t="s">
        <v>352</v>
      </c>
      <c r="B88" s="2">
        <v>732.5</v>
      </c>
      <c r="C88" s="2">
        <v>332.45</v>
      </c>
      <c r="D88" s="26">
        <f t="shared" si="8"/>
        <v>400.05</v>
      </c>
      <c r="E88" s="2">
        <v>736.5</v>
      </c>
      <c r="F88" s="2">
        <v>336.45</v>
      </c>
      <c r="G88" s="26">
        <f t="shared" si="9"/>
        <v>400.05</v>
      </c>
      <c r="H88" s="3" t="str">
        <f t="shared" si="10"/>
        <v>Core</v>
      </c>
      <c r="I88" s="3" t="str">
        <f t="shared" si="11"/>
        <v>YES</v>
      </c>
    </row>
    <row r="89" spans="1:9" x14ac:dyDescent="0.25">
      <c r="A89" s="2" t="s">
        <v>353</v>
      </c>
      <c r="B89" s="2">
        <v>122.26</v>
      </c>
      <c r="C89" s="2">
        <v>84.81</v>
      </c>
      <c r="D89" s="26">
        <f t="shared" si="8"/>
        <v>37.450000000000003</v>
      </c>
      <c r="E89" s="2">
        <v>126.26</v>
      </c>
      <c r="F89" s="2">
        <v>88.81</v>
      </c>
      <c r="G89" s="26">
        <f t="shared" si="9"/>
        <v>37.450000000000003</v>
      </c>
      <c r="H89" s="3" t="str">
        <f t="shared" si="10"/>
        <v>Core</v>
      </c>
      <c r="I89" s="3" t="str">
        <f t="shared" si="11"/>
        <v>YES</v>
      </c>
    </row>
    <row r="90" spans="1:9" x14ac:dyDescent="0.25">
      <c r="A90" s="2" t="s">
        <v>354</v>
      </c>
      <c r="B90" s="2">
        <v>156.25</v>
      </c>
      <c r="C90" s="2">
        <v>119.66</v>
      </c>
      <c r="D90" s="26">
        <f t="shared" si="8"/>
        <v>36.590000000000003</v>
      </c>
      <c r="E90" s="2">
        <v>160.25</v>
      </c>
      <c r="F90" s="2">
        <v>123.66</v>
      </c>
      <c r="G90" s="26">
        <f t="shared" si="9"/>
        <v>36.590000000000003</v>
      </c>
      <c r="H90" s="3" t="str">
        <f t="shared" si="10"/>
        <v>Core</v>
      </c>
      <c r="I90" s="3" t="str">
        <f t="shared" si="11"/>
        <v>YES</v>
      </c>
    </row>
    <row r="91" spans="1:9" x14ac:dyDescent="0.25">
      <c r="A91" s="2" t="s">
        <v>355</v>
      </c>
      <c r="B91" s="2">
        <v>350.77</v>
      </c>
      <c r="C91" s="2">
        <v>409.08</v>
      </c>
      <c r="D91" s="26">
        <f t="shared" si="8"/>
        <v>-58.31</v>
      </c>
      <c r="E91" s="2">
        <v>354.77</v>
      </c>
      <c r="F91" s="2">
        <v>413.08</v>
      </c>
      <c r="G91" s="26">
        <f t="shared" si="9"/>
        <v>-58.31</v>
      </c>
      <c r="H91" s="3" t="str">
        <f t="shared" si="10"/>
        <v>Cusp</v>
      </c>
      <c r="I91" s="3" t="str">
        <f t="shared" si="11"/>
        <v>no</v>
      </c>
    </row>
    <row r="92" spans="1:9" x14ac:dyDescent="0.25">
      <c r="A92" s="2" t="s">
        <v>356</v>
      </c>
      <c r="B92" s="2">
        <v>1354.46</v>
      </c>
      <c r="C92" s="2">
        <v>1354.46</v>
      </c>
      <c r="D92" s="26">
        <f t="shared" si="8"/>
        <v>0</v>
      </c>
      <c r="E92" s="2">
        <v>1358.46</v>
      </c>
      <c r="F92" s="2">
        <v>1358.46</v>
      </c>
      <c r="G92" s="26">
        <f t="shared" si="9"/>
        <v>0</v>
      </c>
      <c r="H92" s="3" t="str">
        <f t="shared" si="10"/>
        <v>Cusp</v>
      </c>
      <c r="I92" s="3" t="str">
        <f t="shared" si="11"/>
        <v>no</v>
      </c>
    </row>
    <row r="93" spans="1:9" x14ac:dyDescent="0.25">
      <c r="A93" s="2" t="s">
        <v>357</v>
      </c>
      <c r="B93" s="2">
        <v>701.4</v>
      </c>
      <c r="C93" s="2">
        <v>536.07000000000005</v>
      </c>
      <c r="D93" s="26">
        <f t="shared" si="8"/>
        <v>165.32999999999993</v>
      </c>
      <c r="E93" s="2">
        <v>705.4</v>
      </c>
      <c r="F93" s="2">
        <v>540.07000000000005</v>
      </c>
      <c r="G93" s="26">
        <f t="shared" si="9"/>
        <v>165.32999999999993</v>
      </c>
      <c r="H93" s="3" t="str">
        <f t="shared" si="10"/>
        <v>Core</v>
      </c>
      <c r="I93" s="3" t="str">
        <f t="shared" si="11"/>
        <v>YES</v>
      </c>
    </row>
    <row r="94" spans="1:9" x14ac:dyDescent="0.25">
      <c r="A94" s="2" t="s">
        <v>358</v>
      </c>
      <c r="B94" s="2">
        <v>58.99</v>
      </c>
      <c r="C94" s="2">
        <v>87.52</v>
      </c>
      <c r="D94" s="26">
        <f t="shared" si="8"/>
        <v>-28.529999999999994</v>
      </c>
      <c r="E94" s="2">
        <v>62.99</v>
      </c>
      <c r="F94" s="2">
        <v>91.52</v>
      </c>
      <c r="G94" s="26">
        <f t="shared" si="9"/>
        <v>-28.529999999999994</v>
      </c>
      <c r="H94" s="3" t="str">
        <f t="shared" si="10"/>
        <v>Cusp</v>
      </c>
      <c r="I94" s="3" t="str">
        <f t="shared" si="11"/>
        <v>no</v>
      </c>
    </row>
    <row r="95" spans="1:9" x14ac:dyDescent="0.25">
      <c r="A95" s="2" t="s">
        <v>359</v>
      </c>
      <c r="B95" s="2">
        <v>4.25</v>
      </c>
      <c r="C95" s="2">
        <v>0.44</v>
      </c>
      <c r="D95" s="26">
        <f t="shared" si="8"/>
        <v>3.81</v>
      </c>
      <c r="E95" s="2">
        <v>8.25</v>
      </c>
      <c r="F95" s="2">
        <v>4.4400000000000004</v>
      </c>
      <c r="G95" s="26">
        <f t="shared" si="9"/>
        <v>3.8099999999999996</v>
      </c>
      <c r="H95" s="3" t="str">
        <f t="shared" si="10"/>
        <v>Core</v>
      </c>
      <c r="I95" s="3" t="str">
        <f t="shared" si="11"/>
        <v>YES</v>
      </c>
    </row>
    <row r="96" spans="1:9" x14ac:dyDescent="0.25">
      <c r="A96" s="2" t="s">
        <v>360</v>
      </c>
      <c r="B96" s="2">
        <v>5002.16</v>
      </c>
      <c r="C96" s="2">
        <v>5002.16</v>
      </c>
      <c r="D96" s="26">
        <f t="shared" si="8"/>
        <v>0</v>
      </c>
      <c r="E96" s="2">
        <v>5006.16</v>
      </c>
      <c r="F96" s="2">
        <v>5006.16</v>
      </c>
      <c r="G96" s="26">
        <f t="shared" si="9"/>
        <v>0</v>
      </c>
      <c r="H96" s="3" t="str">
        <f t="shared" si="10"/>
        <v>Cusp</v>
      </c>
      <c r="I96" s="3" t="str">
        <f t="shared" si="11"/>
        <v>no</v>
      </c>
    </row>
    <row r="97" spans="1:9" x14ac:dyDescent="0.25">
      <c r="A97" s="2" t="s">
        <v>361</v>
      </c>
      <c r="B97" s="2">
        <v>5766.63</v>
      </c>
      <c r="C97" s="2">
        <v>5529.32</v>
      </c>
      <c r="D97" s="26">
        <f t="shared" si="8"/>
        <v>237.3100000000004</v>
      </c>
      <c r="E97" s="2">
        <v>5770.63</v>
      </c>
      <c r="F97" s="2">
        <v>5533.32</v>
      </c>
      <c r="G97" s="26">
        <f t="shared" si="9"/>
        <v>237.3100000000004</v>
      </c>
      <c r="H97" s="3" t="str">
        <f t="shared" si="10"/>
        <v>Core</v>
      </c>
      <c r="I97" s="3" t="str">
        <f t="shared" si="11"/>
        <v>YES</v>
      </c>
    </row>
    <row r="98" spans="1:9" x14ac:dyDescent="0.25">
      <c r="A98" s="2" t="s">
        <v>362</v>
      </c>
      <c r="B98" s="2">
        <v>76.97</v>
      </c>
      <c r="C98" s="2">
        <v>57.78</v>
      </c>
      <c r="D98" s="26">
        <f t="shared" si="8"/>
        <v>19.189999999999998</v>
      </c>
      <c r="E98" s="2">
        <v>80.97</v>
      </c>
      <c r="F98" s="2">
        <v>61.78</v>
      </c>
      <c r="G98" s="26">
        <f t="shared" si="9"/>
        <v>19.189999999999998</v>
      </c>
      <c r="H98" s="3" t="str">
        <f t="shared" si="10"/>
        <v>Core</v>
      </c>
      <c r="I98" s="3" t="str">
        <f t="shared" si="11"/>
        <v>YES</v>
      </c>
    </row>
    <row r="99" spans="1:9" x14ac:dyDescent="0.25">
      <c r="A99" s="2" t="s">
        <v>363</v>
      </c>
      <c r="B99" s="2">
        <v>157.6</v>
      </c>
      <c r="C99" s="2">
        <v>127.25</v>
      </c>
      <c r="D99" s="26">
        <f t="shared" si="8"/>
        <v>30.349999999999994</v>
      </c>
      <c r="E99" s="2">
        <v>161.6</v>
      </c>
      <c r="F99" s="2">
        <v>131.25</v>
      </c>
      <c r="G99" s="26">
        <f t="shared" si="9"/>
        <v>30.349999999999994</v>
      </c>
      <c r="H99" s="3" t="str">
        <f t="shared" si="10"/>
        <v>Core</v>
      </c>
      <c r="I99" s="3" t="str">
        <f t="shared" si="11"/>
        <v>YES</v>
      </c>
    </row>
    <row r="100" spans="1:9" x14ac:dyDescent="0.25">
      <c r="A100" s="2" t="s">
        <v>364</v>
      </c>
      <c r="B100" s="2">
        <v>19.47</v>
      </c>
      <c r="C100" s="2">
        <v>19.47</v>
      </c>
      <c r="D100" s="26">
        <f t="shared" si="8"/>
        <v>0</v>
      </c>
      <c r="E100" s="2">
        <v>23.47</v>
      </c>
      <c r="F100" s="2">
        <v>23.47</v>
      </c>
      <c r="G100" s="26">
        <f t="shared" si="9"/>
        <v>0</v>
      </c>
      <c r="H100" s="3" t="str">
        <f t="shared" si="10"/>
        <v>Cusp</v>
      </c>
      <c r="I100" s="3" t="str">
        <f t="shared" si="11"/>
        <v>no</v>
      </c>
    </row>
    <row r="101" spans="1:9" x14ac:dyDescent="0.25">
      <c r="A101" s="2" t="s">
        <v>365</v>
      </c>
      <c r="B101" s="2">
        <v>68.349999999999994</v>
      </c>
      <c r="C101" s="2">
        <v>67.09</v>
      </c>
      <c r="D101" s="26">
        <f t="shared" ref="D101:D132" si="12">B101-C101</f>
        <v>1.2599999999999909</v>
      </c>
      <c r="E101" s="2">
        <v>72.349999999999994</v>
      </c>
      <c r="F101" s="2">
        <v>71.09</v>
      </c>
      <c r="G101" s="26">
        <f t="shared" ref="G101:G132" si="13">E101-F101</f>
        <v>1.2599999999999909</v>
      </c>
      <c r="H101" s="3" t="str">
        <f t="shared" ref="H101:H132" si="14">IF(D101&gt;0,"Core","Cusp")</f>
        <v>Core</v>
      </c>
      <c r="I101" s="3" t="str">
        <f t="shared" ref="I101:I132" si="15">IF(D101&gt;0,"YES","no")</f>
        <v>YES</v>
      </c>
    </row>
    <row r="102" spans="1:9" x14ac:dyDescent="0.25">
      <c r="A102" s="2" t="s">
        <v>366</v>
      </c>
      <c r="B102" s="2">
        <v>20.41</v>
      </c>
      <c r="C102" s="2">
        <v>12.71</v>
      </c>
      <c r="D102" s="26">
        <f t="shared" si="12"/>
        <v>7.6999999999999993</v>
      </c>
      <c r="E102" s="2">
        <v>24.41</v>
      </c>
      <c r="F102" s="2">
        <v>16.71</v>
      </c>
      <c r="G102" s="26">
        <f t="shared" si="13"/>
        <v>7.6999999999999993</v>
      </c>
      <c r="H102" s="3" t="str">
        <f t="shared" si="14"/>
        <v>Core</v>
      </c>
      <c r="I102" s="3" t="str">
        <f t="shared" si="15"/>
        <v>YES</v>
      </c>
    </row>
    <row r="103" spans="1:9" x14ac:dyDescent="0.25">
      <c r="A103" s="2" t="s">
        <v>367</v>
      </c>
      <c r="B103" s="2">
        <v>8.77</v>
      </c>
      <c r="C103" s="2">
        <v>3.69</v>
      </c>
      <c r="D103" s="26">
        <f t="shared" si="12"/>
        <v>5.08</v>
      </c>
      <c r="E103" s="2">
        <v>12.77</v>
      </c>
      <c r="F103" s="2">
        <v>7.69</v>
      </c>
      <c r="G103" s="26">
        <f t="shared" si="13"/>
        <v>5.0799999999999992</v>
      </c>
      <c r="H103" s="3" t="str">
        <f t="shared" si="14"/>
        <v>Core</v>
      </c>
      <c r="I103" s="3" t="str">
        <f t="shared" si="15"/>
        <v>YES</v>
      </c>
    </row>
    <row r="104" spans="1:9" x14ac:dyDescent="0.25">
      <c r="A104" s="2" t="s">
        <v>368</v>
      </c>
      <c r="B104" s="2">
        <v>3.11</v>
      </c>
      <c r="C104" s="2">
        <v>1.45</v>
      </c>
      <c r="D104" s="26">
        <f t="shared" si="12"/>
        <v>1.66</v>
      </c>
      <c r="E104" s="2">
        <v>7.11</v>
      </c>
      <c r="F104" s="2">
        <v>5.45</v>
      </c>
      <c r="G104" s="26">
        <f t="shared" si="13"/>
        <v>1.6600000000000001</v>
      </c>
      <c r="H104" s="3" t="str">
        <f t="shared" si="14"/>
        <v>Core</v>
      </c>
      <c r="I104" s="3" t="str">
        <f t="shared" si="15"/>
        <v>YES</v>
      </c>
    </row>
    <row r="105" spans="1:9" x14ac:dyDescent="0.25">
      <c r="A105" s="2" t="s">
        <v>369</v>
      </c>
      <c r="B105" s="2">
        <v>14.16</v>
      </c>
      <c r="C105" s="2">
        <v>2.0499999999999998</v>
      </c>
      <c r="D105" s="26">
        <f t="shared" si="12"/>
        <v>12.11</v>
      </c>
      <c r="E105" s="2">
        <v>18.16</v>
      </c>
      <c r="F105" s="2">
        <v>6.05</v>
      </c>
      <c r="G105" s="26">
        <f t="shared" si="13"/>
        <v>12.11</v>
      </c>
      <c r="H105" s="3" t="str">
        <f t="shared" si="14"/>
        <v>Core</v>
      </c>
      <c r="I105" s="3" t="str">
        <f t="shared" si="15"/>
        <v>YES</v>
      </c>
    </row>
    <row r="106" spans="1:9" x14ac:dyDescent="0.25">
      <c r="A106" s="2" t="s">
        <v>370</v>
      </c>
      <c r="B106" s="2">
        <v>8.73</v>
      </c>
      <c r="C106" s="2">
        <v>5.72</v>
      </c>
      <c r="D106" s="26">
        <f t="shared" si="12"/>
        <v>3.0100000000000007</v>
      </c>
      <c r="E106" s="2">
        <v>12.73</v>
      </c>
      <c r="F106" s="2">
        <v>9.7200000000000006</v>
      </c>
      <c r="G106" s="26">
        <f t="shared" si="13"/>
        <v>3.01</v>
      </c>
      <c r="H106" s="3" t="str">
        <f t="shared" si="14"/>
        <v>Core</v>
      </c>
      <c r="I106" s="3" t="str">
        <f t="shared" si="15"/>
        <v>YES</v>
      </c>
    </row>
    <row r="107" spans="1:9" x14ac:dyDescent="0.25">
      <c r="A107" s="2" t="s">
        <v>371</v>
      </c>
      <c r="B107" s="2">
        <v>31.19</v>
      </c>
      <c r="C107" s="2">
        <v>6.28</v>
      </c>
      <c r="D107" s="26">
        <f t="shared" si="12"/>
        <v>24.91</v>
      </c>
      <c r="E107" s="2">
        <v>35.19</v>
      </c>
      <c r="F107" s="2">
        <v>10.28</v>
      </c>
      <c r="G107" s="26">
        <f t="shared" si="13"/>
        <v>24.909999999999997</v>
      </c>
      <c r="H107" s="3" t="str">
        <f t="shared" si="14"/>
        <v>Core</v>
      </c>
      <c r="I107" s="3" t="str">
        <f t="shared" si="15"/>
        <v>YES</v>
      </c>
    </row>
    <row r="108" spans="1:9" x14ac:dyDescent="0.25">
      <c r="A108" s="2" t="s">
        <v>372</v>
      </c>
      <c r="B108" s="2">
        <v>3.01</v>
      </c>
      <c r="C108" s="2">
        <v>1.52</v>
      </c>
      <c r="D108" s="26">
        <f t="shared" si="12"/>
        <v>1.4899999999999998</v>
      </c>
      <c r="E108" s="2">
        <v>7.01</v>
      </c>
      <c r="F108" s="2">
        <v>5.52</v>
      </c>
      <c r="G108" s="26">
        <f t="shared" si="13"/>
        <v>1.4900000000000002</v>
      </c>
      <c r="H108" s="3" t="str">
        <f t="shared" si="14"/>
        <v>Core</v>
      </c>
      <c r="I108" s="3" t="str">
        <f t="shared" si="15"/>
        <v>YES</v>
      </c>
    </row>
    <row r="109" spans="1:9" x14ac:dyDescent="0.25">
      <c r="A109" s="2" t="s">
        <v>373</v>
      </c>
      <c r="B109" s="2">
        <v>5.48</v>
      </c>
      <c r="C109" s="2">
        <v>4.5599999999999996</v>
      </c>
      <c r="D109" s="26">
        <f t="shared" si="12"/>
        <v>0.92000000000000082</v>
      </c>
      <c r="E109" s="2">
        <v>9.48</v>
      </c>
      <c r="F109" s="2">
        <v>8.56</v>
      </c>
      <c r="G109" s="26">
        <f t="shared" si="13"/>
        <v>0.91999999999999993</v>
      </c>
      <c r="H109" s="3" t="str">
        <f t="shared" si="14"/>
        <v>Core</v>
      </c>
      <c r="I109" s="3" t="str">
        <f t="shared" si="15"/>
        <v>YES</v>
      </c>
    </row>
    <row r="110" spans="1:9" x14ac:dyDescent="0.25">
      <c r="A110" s="2" t="s">
        <v>374</v>
      </c>
      <c r="B110" s="2">
        <v>755.71</v>
      </c>
      <c r="C110" s="2">
        <v>755.71</v>
      </c>
      <c r="D110" s="26">
        <f t="shared" si="12"/>
        <v>0</v>
      </c>
      <c r="E110" s="2">
        <v>759.71</v>
      </c>
      <c r="F110" s="2">
        <v>759.71</v>
      </c>
      <c r="G110" s="26">
        <f t="shared" si="13"/>
        <v>0</v>
      </c>
      <c r="H110" s="3" t="str">
        <f t="shared" si="14"/>
        <v>Cusp</v>
      </c>
      <c r="I110" s="3" t="str">
        <f t="shared" si="15"/>
        <v>no</v>
      </c>
    </row>
    <row r="111" spans="1:9" x14ac:dyDescent="0.25">
      <c r="A111" s="2" t="s">
        <v>375</v>
      </c>
      <c r="B111" s="2">
        <v>61.48</v>
      </c>
      <c r="C111" s="2">
        <v>66.37</v>
      </c>
      <c r="D111" s="26">
        <f t="shared" si="12"/>
        <v>-4.8900000000000077</v>
      </c>
      <c r="E111" s="2">
        <v>65.48</v>
      </c>
      <c r="F111" s="2">
        <v>70.37</v>
      </c>
      <c r="G111" s="26">
        <f t="shared" si="13"/>
        <v>-4.8900000000000006</v>
      </c>
      <c r="H111" s="3" t="str">
        <f t="shared" si="14"/>
        <v>Cusp</v>
      </c>
      <c r="I111" s="3" t="str">
        <f t="shared" si="15"/>
        <v>no</v>
      </c>
    </row>
    <row r="112" spans="1:9" x14ac:dyDescent="0.25">
      <c r="A112" s="2" t="s">
        <v>376</v>
      </c>
      <c r="B112" s="2">
        <v>34.36</v>
      </c>
      <c r="C112" s="2">
        <v>22.79</v>
      </c>
      <c r="D112" s="26">
        <f t="shared" si="12"/>
        <v>11.57</v>
      </c>
      <c r="E112" s="2">
        <v>38.36</v>
      </c>
      <c r="F112" s="2">
        <v>26.79</v>
      </c>
      <c r="G112" s="26">
        <f t="shared" si="13"/>
        <v>11.57</v>
      </c>
      <c r="H112" s="3" t="str">
        <f t="shared" si="14"/>
        <v>Core</v>
      </c>
      <c r="I112" s="3" t="str">
        <f t="shared" si="15"/>
        <v>YES</v>
      </c>
    </row>
    <row r="113" spans="1:9" x14ac:dyDescent="0.25">
      <c r="A113" s="2" t="s">
        <v>377</v>
      </c>
      <c r="B113" s="2">
        <v>10405.879999999999</v>
      </c>
      <c r="C113" s="2">
        <v>10405.879999999999</v>
      </c>
      <c r="D113" s="26">
        <f t="shared" si="12"/>
        <v>0</v>
      </c>
      <c r="E113" s="2">
        <v>10409.879999999999</v>
      </c>
      <c r="F113" s="2">
        <v>10409.879999999999</v>
      </c>
      <c r="G113" s="26">
        <f t="shared" si="13"/>
        <v>0</v>
      </c>
      <c r="H113" s="3" t="str">
        <f t="shared" si="14"/>
        <v>Cusp</v>
      </c>
      <c r="I113" s="3" t="str">
        <f t="shared" si="15"/>
        <v>no</v>
      </c>
    </row>
    <row r="114" spans="1:9" x14ac:dyDescent="0.25">
      <c r="A114" s="2" t="s">
        <v>378</v>
      </c>
      <c r="B114" s="2">
        <v>10994.46</v>
      </c>
      <c r="C114" s="2">
        <v>8231.75</v>
      </c>
      <c r="D114" s="26">
        <f t="shared" si="12"/>
        <v>2762.7099999999991</v>
      </c>
      <c r="E114" s="2">
        <v>10998.46</v>
      </c>
      <c r="F114" s="2">
        <v>8235.75</v>
      </c>
      <c r="G114" s="26">
        <f t="shared" si="13"/>
        <v>2762.7099999999991</v>
      </c>
      <c r="H114" s="3" t="str">
        <f t="shared" si="14"/>
        <v>Core</v>
      </c>
      <c r="I114" s="3" t="str">
        <f t="shared" si="15"/>
        <v>YES</v>
      </c>
    </row>
    <row r="115" spans="1:9" x14ac:dyDescent="0.25">
      <c r="A115" s="2" t="s">
        <v>379</v>
      </c>
      <c r="B115" s="2">
        <v>195.46</v>
      </c>
      <c r="C115" s="2">
        <v>174.55</v>
      </c>
      <c r="D115" s="26">
        <f t="shared" si="12"/>
        <v>20.909999999999997</v>
      </c>
      <c r="E115" s="2">
        <v>199.46</v>
      </c>
      <c r="F115" s="2">
        <v>178.55</v>
      </c>
      <c r="G115" s="26">
        <f t="shared" si="13"/>
        <v>20.909999999999997</v>
      </c>
      <c r="H115" s="3" t="str">
        <f t="shared" si="14"/>
        <v>Core</v>
      </c>
      <c r="I115" s="3" t="str">
        <f t="shared" si="15"/>
        <v>YES</v>
      </c>
    </row>
    <row r="116" spans="1:9" x14ac:dyDescent="0.25">
      <c r="A116" s="2" t="s">
        <v>380</v>
      </c>
      <c r="B116" s="2">
        <v>946.7</v>
      </c>
      <c r="C116" s="2">
        <v>739.46</v>
      </c>
      <c r="D116" s="26">
        <f t="shared" si="12"/>
        <v>207.24</v>
      </c>
      <c r="E116" s="2">
        <v>950.7</v>
      </c>
      <c r="F116" s="2">
        <v>743.46</v>
      </c>
      <c r="G116" s="26">
        <f t="shared" si="13"/>
        <v>207.24</v>
      </c>
      <c r="H116" s="3" t="str">
        <f t="shared" si="14"/>
        <v>Core</v>
      </c>
      <c r="I116" s="3" t="str">
        <f t="shared" si="15"/>
        <v>YES</v>
      </c>
    </row>
    <row r="117" spans="1:9" x14ac:dyDescent="0.25">
      <c r="A117" s="2" t="s">
        <v>381</v>
      </c>
      <c r="B117" s="2">
        <v>5471.96</v>
      </c>
      <c r="C117" s="2">
        <v>4656.76</v>
      </c>
      <c r="D117" s="26">
        <f t="shared" si="12"/>
        <v>815.19999999999982</v>
      </c>
      <c r="E117" s="2">
        <v>5475.96</v>
      </c>
      <c r="F117" s="2">
        <v>4660.76</v>
      </c>
      <c r="G117" s="26">
        <f t="shared" si="13"/>
        <v>815.19999999999982</v>
      </c>
      <c r="H117" s="3" t="str">
        <f t="shared" si="14"/>
        <v>Core</v>
      </c>
      <c r="I117" s="3" t="str">
        <f t="shared" si="15"/>
        <v>YES</v>
      </c>
    </row>
    <row r="118" spans="1:9" x14ac:dyDescent="0.25">
      <c r="A118" s="2" t="s">
        <v>382</v>
      </c>
      <c r="B118" s="2">
        <v>49.47</v>
      </c>
      <c r="C118" s="2">
        <v>9.67</v>
      </c>
      <c r="D118" s="26">
        <f t="shared" si="12"/>
        <v>39.799999999999997</v>
      </c>
      <c r="E118" s="2">
        <v>53.47</v>
      </c>
      <c r="F118" s="2">
        <v>13.67</v>
      </c>
      <c r="G118" s="26">
        <f t="shared" si="13"/>
        <v>39.799999999999997</v>
      </c>
      <c r="H118" s="3" t="str">
        <f t="shared" si="14"/>
        <v>Core</v>
      </c>
      <c r="I118" s="3" t="str">
        <f t="shared" si="15"/>
        <v>YES</v>
      </c>
    </row>
    <row r="119" spans="1:9" x14ac:dyDescent="0.25">
      <c r="A119" s="2" t="s">
        <v>383</v>
      </c>
      <c r="B119" s="2">
        <v>51.5</v>
      </c>
      <c r="C119" s="2">
        <v>51.5</v>
      </c>
      <c r="D119" s="26">
        <f t="shared" si="12"/>
        <v>0</v>
      </c>
      <c r="E119" s="2">
        <v>55.5</v>
      </c>
      <c r="F119" s="2">
        <v>55.5</v>
      </c>
      <c r="G119" s="26">
        <f t="shared" si="13"/>
        <v>0</v>
      </c>
      <c r="H119" s="3" t="str">
        <f t="shared" si="14"/>
        <v>Cusp</v>
      </c>
      <c r="I119" s="3" t="str">
        <f t="shared" si="15"/>
        <v>no</v>
      </c>
    </row>
    <row r="120" spans="1:9" x14ac:dyDescent="0.25">
      <c r="A120" s="2" t="s">
        <v>384</v>
      </c>
      <c r="B120" s="2">
        <v>13.57</v>
      </c>
      <c r="C120" s="2">
        <v>7.67</v>
      </c>
      <c r="D120" s="26">
        <f t="shared" si="12"/>
        <v>5.9</v>
      </c>
      <c r="E120" s="2">
        <v>17.57</v>
      </c>
      <c r="F120" s="2">
        <v>11.67</v>
      </c>
      <c r="G120" s="26">
        <f t="shared" si="13"/>
        <v>5.9</v>
      </c>
      <c r="H120" s="3" t="str">
        <f t="shared" si="14"/>
        <v>Core</v>
      </c>
      <c r="I120" s="3" t="str">
        <f t="shared" si="15"/>
        <v>YES</v>
      </c>
    </row>
    <row r="121" spans="1:9" x14ac:dyDescent="0.25">
      <c r="A121" s="2" t="s">
        <v>385</v>
      </c>
      <c r="B121" s="2">
        <v>3.89</v>
      </c>
      <c r="C121" s="2">
        <v>1.95</v>
      </c>
      <c r="D121" s="26">
        <f t="shared" si="12"/>
        <v>1.9400000000000002</v>
      </c>
      <c r="E121" s="2">
        <v>7.89</v>
      </c>
      <c r="F121" s="2">
        <v>5.95</v>
      </c>
      <c r="G121" s="26">
        <f t="shared" si="13"/>
        <v>1.9399999999999995</v>
      </c>
      <c r="H121" s="3" t="str">
        <f t="shared" si="14"/>
        <v>Core</v>
      </c>
      <c r="I121" s="3" t="str">
        <f t="shared" si="15"/>
        <v>YES</v>
      </c>
    </row>
    <row r="122" spans="1:9" x14ac:dyDescent="0.25">
      <c r="A122" s="2" t="s">
        <v>386</v>
      </c>
      <c r="B122" s="2">
        <v>11.37</v>
      </c>
      <c r="C122" s="2">
        <v>5.25</v>
      </c>
      <c r="D122" s="26">
        <f t="shared" si="12"/>
        <v>6.1199999999999992</v>
      </c>
      <c r="E122" s="2">
        <v>15.37</v>
      </c>
      <c r="F122" s="2">
        <v>9.25</v>
      </c>
      <c r="G122" s="26">
        <f t="shared" si="13"/>
        <v>6.1199999999999992</v>
      </c>
      <c r="H122" s="3" t="str">
        <f t="shared" si="14"/>
        <v>Core</v>
      </c>
      <c r="I122" s="3" t="str">
        <f t="shared" si="15"/>
        <v>YES</v>
      </c>
    </row>
    <row r="123" spans="1:9" x14ac:dyDescent="0.25">
      <c r="A123" s="2" t="s">
        <v>387</v>
      </c>
      <c r="B123" s="2">
        <v>3.25</v>
      </c>
      <c r="C123" s="2">
        <v>0.66</v>
      </c>
      <c r="D123" s="26">
        <f t="shared" si="12"/>
        <v>2.59</v>
      </c>
      <c r="E123" s="2">
        <v>7.25</v>
      </c>
      <c r="F123" s="2">
        <v>4.66</v>
      </c>
      <c r="G123" s="26">
        <f t="shared" si="13"/>
        <v>2.59</v>
      </c>
      <c r="H123" s="3" t="str">
        <f t="shared" si="14"/>
        <v>Core</v>
      </c>
      <c r="I123" s="3" t="str">
        <f t="shared" si="15"/>
        <v>YES</v>
      </c>
    </row>
    <row r="124" spans="1:9" x14ac:dyDescent="0.25">
      <c r="A124" s="2" t="s">
        <v>388</v>
      </c>
      <c r="B124" s="2">
        <v>9130.94</v>
      </c>
      <c r="C124" s="2">
        <v>8122.2</v>
      </c>
      <c r="D124" s="26">
        <f t="shared" si="12"/>
        <v>1008.7400000000007</v>
      </c>
      <c r="E124" s="2">
        <v>9134.94</v>
      </c>
      <c r="F124" s="2">
        <v>8126.2</v>
      </c>
      <c r="G124" s="26">
        <f t="shared" si="13"/>
        <v>1008.7400000000007</v>
      </c>
      <c r="H124" s="3" t="str">
        <f t="shared" si="14"/>
        <v>Core</v>
      </c>
      <c r="I124" s="3" t="str">
        <f t="shared" si="15"/>
        <v>YES</v>
      </c>
    </row>
    <row r="125" spans="1:9" x14ac:dyDescent="0.25">
      <c r="A125" s="2" t="s">
        <v>389</v>
      </c>
      <c r="B125" s="2">
        <v>9.61</v>
      </c>
      <c r="C125" s="2">
        <v>0.71</v>
      </c>
      <c r="D125" s="26">
        <f t="shared" si="12"/>
        <v>8.8999999999999986</v>
      </c>
      <c r="E125" s="2">
        <v>13.61</v>
      </c>
      <c r="F125" s="2">
        <v>4.71</v>
      </c>
      <c r="G125" s="26">
        <f t="shared" si="13"/>
        <v>8.8999999999999986</v>
      </c>
      <c r="H125" s="3" t="str">
        <f t="shared" si="14"/>
        <v>Core</v>
      </c>
      <c r="I125" s="3" t="str">
        <f t="shared" si="15"/>
        <v>YES</v>
      </c>
    </row>
    <row r="126" spans="1:9" x14ac:dyDescent="0.25">
      <c r="A126" s="2" t="s">
        <v>390</v>
      </c>
      <c r="B126" s="2">
        <v>23.32</v>
      </c>
      <c r="C126" s="2">
        <v>23.9</v>
      </c>
      <c r="D126" s="26">
        <f t="shared" si="12"/>
        <v>-0.57999999999999829</v>
      </c>
      <c r="E126" s="2">
        <v>27.32</v>
      </c>
      <c r="F126" s="2">
        <v>27.9</v>
      </c>
      <c r="G126" s="26">
        <f t="shared" si="13"/>
        <v>-0.57999999999999829</v>
      </c>
      <c r="H126" s="3" t="str">
        <f t="shared" si="14"/>
        <v>Cusp</v>
      </c>
      <c r="I126" s="3" t="str">
        <f t="shared" si="15"/>
        <v>no</v>
      </c>
    </row>
    <row r="127" spans="1:9" x14ac:dyDescent="0.25">
      <c r="A127" s="2" t="s">
        <v>391</v>
      </c>
      <c r="B127" s="2">
        <v>27.66</v>
      </c>
      <c r="C127" s="2">
        <v>17.809999999999999</v>
      </c>
      <c r="D127" s="26">
        <f t="shared" si="12"/>
        <v>9.8500000000000014</v>
      </c>
      <c r="E127" s="2">
        <v>31.66</v>
      </c>
      <c r="F127" s="2">
        <v>21.81</v>
      </c>
      <c r="G127" s="26">
        <f t="shared" si="13"/>
        <v>9.8500000000000014</v>
      </c>
      <c r="H127" s="3" t="str">
        <f t="shared" si="14"/>
        <v>Core</v>
      </c>
      <c r="I127" s="3" t="str">
        <f t="shared" si="15"/>
        <v>YES</v>
      </c>
    </row>
    <row r="128" spans="1:9" x14ac:dyDescent="0.25">
      <c r="A128" s="2" t="s">
        <v>392</v>
      </c>
      <c r="B128" s="2">
        <v>7.2</v>
      </c>
      <c r="C128" s="2">
        <v>1.53</v>
      </c>
      <c r="D128" s="26">
        <f t="shared" si="12"/>
        <v>5.67</v>
      </c>
      <c r="E128" s="2">
        <v>11.2</v>
      </c>
      <c r="F128" s="2">
        <v>5.53</v>
      </c>
      <c r="G128" s="26">
        <f t="shared" si="13"/>
        <v>5.669999999999999</v>
      </c>
      <c r="H128" s="3" t="str">
        <f t="shared" si="14"/>
        <v>Core</v>
      </c>
      <c r="I128" s="3" t="str">
        <f t="shared" si="15"/>
        <v>YES</v>
      </c>
    </row>
    <row r="129" spans="1:9" x14ac:dyDescent="0.25">
      <c r="A129" s="2" t="s">
        <v>393</v>
      </c>
      <c r="B129" s="2">
        <v>53.49</v>
      </c>
      <c r="C129" s="2">
        <v>35.61</v>
      </c>
      <c r="D129" s="26">
        <f t="shared" si="12"/>
        <v>17.880000000000003</v>
      </c>
      <c r="E129" s="2">
        <v>57.49</v>
      </c>
      <c r="F129" s="2">
        <v>39.61</v>
      </c>
      <c r="G129" s="26">
        <f t="shared" si="13"/>
        <v>17.880000000000003</v>
      </c>
      <c r="H129" s="3" t="str">
        <f t="shared" si="14"/>
        <v>Core</v>
      </c>
      <c r="I129" s="3" t="str">
        <f t="shared" si="15"/>
        <v>YES</v>
      </c>
    </row>
    <row r="130" spans="1:9" x14ac:dyDescent="0.25">
      <c r="A130" s="2" t="s">
        <v>394</v>
      </c>
      <c r="B130" s="2">
        <v>0.67</v>
      </c>
      <c r="C130" s="2">
        <v>1.45</v>
      </c>
      <c r="D130" s="26">
        <f t="shared" si="12"/>
        <v>-0.77999999999999992</v>
      </c>
      <c r="E130" s="2">
        <v>4.67</v>
      </c>
      <c r="F130" s="2">
        <v>5.45</v>
      </c>
      <c r="G130" s="26">
        <f t="shared" si="13"/>
        <v>-0.78000000000000025</v>
      </c>
      <c r="H130" s="3" t="str">
        <f t="shared" si="14"/>
        <v>Cusp</v>
      </c>
      <c r="I130" s="3" t="str">
        <f t="shared" si="15"/>
        <v>no</v>
      </c>
    </row>
    <row r="131" spans="1:9" x14ac:dyDescent="0.25">
      <c r="A131" s="2" t="s">
        <v>395</v>
      </c>
      <c r="B131" s="2">
        <v>0.74</v>
      </c>
      <c r="C131" s="2">
        <v>0.14000000000000001</v>
      </c>
      <c r="D131" s="26">
        <f t="shared" si="12"/>
        <v>0.6</v>
      </c>
      <c r="E131" s="2">
        <v>4.74</v>
      </c>
      <c r="F131" s="2">
        <v>4.1399999999999997</v>
      </c>
      <c r="G131" s="26">
        <f t="shared" si="13"/>
        <v>0.60000000000000053</v>
      </c>
      <c r="H131" s="3" t="str">
        <f t="shared" si="14"/>
        <v>Core</v>
      </c>
      <c r="I131" s="3" t="str">
        <f t="shared" si="15"/>
        <v>YES</v>
      </c>
    </row>
    <row r="132" spans="1:9" x14ac:dyDescent="0.25">
      <c r="A132" s="2" t="s">
        <v>396</v>
      </c>
      <c r="B132" s="2">
        <v>66.22</v>
      </c>
      <c r="C132" s="2">
        <v>19.690000000000001</v>
      </c>
      <c r="D132" s="26">
        <f t="shared" si="12"/>
        <v>46.53</v>
      </c>
      <c r="E132" s="2">
        <v>70.22</v>
      </c>
      <c r="F132" s="2">
        <v>23.69</v>
      </c>
      <c r="G132" s="26">
        <f t="shared" si="13"/>
        <v>46.53</v>
      </c>
      <c r="H132" s="3" t="str">
        <f t="shared" si="14"/>
        <v>Core</v>
      </c>
      <c r="I132" s="3" t="str">
        <f t="shared" si="15"/>
        <v>YES</v>
      </c>
    </row>
    <row r="133" spans="1:9" x14ac:dyDescent="0.25">
      <c r="A133" s="2" t="s">
        <v>397</v>
      </c>
      <c r="B133" s="2">
        <v>9.41</v>
      </c>
      <c r="C133" s="2">
        <v>4.88</v>
      </c>
      <c r="D133" s="26">
        <f t="shared" ref="D133:D164" si="16">B133-C133</f>
        <v>4.53</v>
      </c>
      <c r="E133" s="2">
        <v>13.41</v>
      </c>
      <c r="F133" s="2">
        <v>8.8800000000000008</v>
      </c>
      <c r="G133" s="26">
        <f t="shared" ref="G133:G164" si="17">E133-F133</f>
        <v>4.5299999999999994</v>
      </c>
      <c r="H133" s="3" t="str">
        <f t="shared" ref="H133:H164" si="18">IF(D133&gt;0,"Core","Cusp")</f>
        <v>Core</v>
      </c>
      <c r="I133" s="3" t="str">
        <f t="shared" ref="I133:I164" si="19">IF(D133&gt;0,"YES","no")</f>
        <v>YES</v>
      </c>
    </row>
    <row r="134" spans="1:9" x14ac:dyDescent="0.25">
      <c r="A134" s="2" t="s">
        <v>398</v>
      </c>
      <c r="B134" s="2">
        <v>3.66</v>
      </c>
      <c r="C134" s="2">
        <v>0.59</v>
      </c>
      <c r="D134" s="26">
        <f t="shared" si="16"/>
        <v>3.0700000000000003</v>
      </c>
      <c r="E134" s="2">
        <v>7.66</v>
      </c>
      <c r="F134" s="2">
        <v>4.59</v>
      </c>
      <c r="G134" s="26">
        <f t="shared" si="17"/>
        <v>3.0700000000000003</v>
      </c>
      <c r="H134" s="3" t="str">
        <f t="shared" si="18"/>
        <v>Core</v>
      </c>
      <c r="I134" s="3" t="str">
        <f t="shared" si="19"/>
        <v>YES</v>
      </c>
    </row>
    <row r="135" spans="1:9" x14ac:dyDescent="0.25">
      <c r="A135" s="2" t="s">
        <v>399</v>
      </c>
      <c r="B135" s="2">
        <v>3.05</v>
      </c>
      <c r="C135" s="2">
        <v>2.72</v>
      </c>
      <c r="D135" s="26">
        <f t="shared" si="16"/>
        <v>0.32999999999999963</v>
      </c>
      <c r="E135" s="2">
        <v>7.05</v>
      </c>
      <c r="F135" s="2">
        <v>6.72</v>
      </c>
      <c r="G135" s="26">
        <f t="shared" si="17"/>
        <v>0.33000000000000007</v>
      </c>
      <c r="H135" s="3" t="str">
        <f t="shared" si="18"/>
        <v>Core</v>
      </c>
      <c r="I135" s="3" t="str">
        <f t="shared" si="19"/>
        <v>YES</v>
      </c>
    </row>
    <row r="136" spans="1:9" x14ac:dyDescent="0.25">
      <c r="A136" s="2" t="s">
        <v>400</v>
      </c>
      <c r="B136" s="2">
        <v>96.69</v>
      </c>
      <c r="C136" s="2">
        <v>64.38</v>
      </c>
      <c r="D136" s="26">
        <f t="shared" si="16"/>
        <v>32.31</v>
      </c>
      <c r="E136" s="2">
        <v>100.69</v>
      </c>
      <c r="F136" s="2">
        <v>68.38</v>
      </c>
      <c r="G136" s="26">
        <f t="shared" si="17"/>
        <v>32.31</v>
      </c>
      <c r="H136" s="3" t="str">
        <f t="shared" si="18"/>
        <v>Core</v>
      </c>
      <c r="I136" s="3" t="str">
        <f t="shared" si="19"/>
        <v>YES</v>
      </c>
    </row>
    <row r="137" spans="1:9" x14ac:dyDescent="0.25">
      <c r="A137" s="2" t="s">
        <v>401</v>
      </c>
      <c r="B137" s="2">
        <v>6.67</v>
      </c>
      <c r="C137" s="2">
        <v>6.67</v>
      </c>
      <c r="D137" s="26">
        <f t="shared" si="16"/>
        <v>0</v>
      </c>
      <c r="E137" s="2">
        <v>10.67</v>
      </c>
      <c r="F137" s="2">
        <v>10.67</v>
      </c>
      <c r="G137" s="26">
        <f t="shared" si="17"/>
        <v>0</v>
      </c>
      <c r="H137" s="3" t="str">
        <f t="shared" si="18"/>
        <v>Cusp</v>
      </c>
      <c r="I137" s="3" t="str">
        <f t="shared" si="19"/>
        <v>no</v>
      </c>
    </row>
    <row r="138" spans="1:9" x14ac:dyDescent="0.25">
      <c r="A138" s="2" t="s">
        <v>402</v>
      </c>
      <c r="B138" s="2">
        <v>8.94</v>
      </c>
      <c r="C138" s="2">
        <v>1.68</v>
      </c>
      <c r="D138" s="26">
        <f t="shared" si="16"/>
        <v>7.26</v>
      </c>
      <c r="E138" s="2">
        <v>12.94</v>
      </c>
      <c r="F138" s="2">
        <v>5.68</v>
      </c>
      <c r="G138" s="26">
        <f t="shared" si="17"/>
        <v>7.26</v>
      </c>
      <c r="H138" s="3" t="str">
        <f t="shared" si="18"/>
        <v>Core</v>
      </c>
      <c r="I138" s="3" t="str">
        <f t="shared" si="19"/>
        <v>YES</v>
      </c>
    </row>
    <row r="139" spans="1:9" x14ac:dyDescent="0.25">
      <c r="A139" s="2" t="s">
        <v>403</v>
      </c>
      <c r="B139" s="2">
        <v>400</v>
      </c>
      <c r="C139" s="2">
        <v>181.81</v>
      </c>
      <c r="D139" s="26">
        <f t="shared" si="16"/>
        <v>218.19</v>
      </c>
      <c r="E139" s="2">
        <v>404</v>
      </c>
      <c r="F139" s="2">
        <v>185.81</v>
      </c>
      <c r="G139" s="26">
        <f t="shared" si="17"/>
        <v>218.19</v>
      </c>
      <c r="H139" s="3" t="str">
        <f t="shared" si="18"/>
        <v>Core</v>
      </c>
      <c r="I139" s="3" t="str">
        <f t="shared" si="19"/>
        <v>YES</v>
      </c>
    </row>
    <row r="140" spans="1:9" x14ac:dyDescent="0.25">
      <c r="A140" s="2" t="s">
        <v>404</v>
      </c>
      <c r="B140" s="2">
        <v>3590.56</v>
      </c>
      <c r="C140" s="2">
        <v>3253.66</v>
      </c>
      <c r="D140" s="26">
        <f t="shared" si="16"/>
        <v>336.90000000000009</v>
      </c>
      <c r="E140" s="2">
        <v>3594.56</v>
      </c>
      <c r="F140" s="2">
        <v>3257.66</v>
      </c>
      <c r="G140" s="26">
        <f t="shared" si="17"/>
        <v>336.90000000000009</v>
      </c>
      <c r="H140" s="3" t="str">
        <f t="shared" si="18"/>
        <v>Core</v>
      </c>
      <c r="I140" s="3" t="str">
        <f t="shared" si="19"/>
        <v>YES</v>
      </c>
    </row>
    <row r="141" spans="1:9" x14ac:dyDescent="0.25">
      <c r="A141" s="2" t="s">
        <v>405</v>
      </c>
      <c r="B141" s="2">
        <v>39.42</v>
      </c>
      <c r="C141" s="2">
        <v>19.79</v>
      </c>
      <c r="D141" s="26">
        <f t="shared" si="16"/>
        <v>19.630000000000003</v>
      </c>
      <c r="E141" s="2">
        <v>43.42</v>
      </c>
      <c r="F141" s="2">
        <v>23.79</v>
      </c>
      <c r="G141" s="26">
        <f t="shared" si="17"/>
        <v>19.630000000000003</v>
      </c>
      <c r="H141" s="3" t="str">
        <f t="shared" si="18"/>
        <v>Core</v>
      </c>
      <c r="I141" s="3" t="str">
        <f t="shared" si="19"/>
        <v>YES</v>
      </c>
    </row>
    <row r="142" spans="1:9" x14ac:dyDescent="0.25">
      <c r="A142" s="2" t="s">
        <v>406</v>
      </c>
      <c r="B142" s="2">
        <v>11.61</v>
      </c>
      <c r="C142" s="2">
        <v>5.07</v>
      </c>
      <c r="D142" s="26">
        <f t="shared" si="16"/>
        <v>6.5399999999999991</v>
      </c>
      <c r="E142" s="2">
        <v>15.61</v>
      </c>
      <c r="F142" s="2">
        <v>9.07</v>
      </c>
      <c r="G142" s="26">
        <f t="shared" si="17"/>
        <v>6.5399999999999991</v>
      </c>
      <c r="H142" s="3" t="str">
        <f t="shared" si="18"/>
        <v>Core</v>
      </c>
      <c r="I142" s="3" t="str">
        <f t="shared" si="19"/>
        <v>YES</v>
      </c>
    </row>
    <row r="143" spans="1:9" x14ac:dyDescent="0.25">
      <c r="A143" s="2" t="s">
        <v>407</v>
      </c>
      <c r="B143" s="2">
        <v>9.36</v>
      </c>
      <c r="C143" s="2">
        <v>6.16</v>
      </c>
      <c r="D143" s="26">
        <f t="shared" si="16"/>
        <v>3.1999999999999993</v>
      </c>
      <c r="E143" s="2">
        <v>13.36</v>
      </c>
      <c r="F143" s="2">
        <v>10.16</v>
      </c>
      <c r="G143" s="26">
        <f t="shared" si="17"/>
        <v>3.1999999999999993</v>
      </c>
      <c r="H143" s="3" t="str">
        <f t="shared" si="18"/>
        <v>Core</v>
      </c>
      <c r="I143" s="3" t="str">
        <f t="shared" si="19"/>
        <v>YES</v>
      </c>
    </row>
    <row r="144" spans="1:9" x14ac:dyDescent="0.25">
      <c r="A144" s="2" t="s">
        <v>408</v>
      </c>
      <c r="B144" s="2">
        <v>2.85</v>
      </c>
      <c r="C144" s="2">
        <v>1.85</v>
      </c>
      <c r="D144" s="26">
        <f t="shared" si="16"/>
        <v>1</v>
      </c>
      <c r="E144" s="2">
        <v>6.85</v>
      </c>
      <c r="F144" s="2">
        <v>5.85</v>
      </c>
      <c r="G144" s="26">
        <f t="shared" si="17"/>
        <v>1</v>
      </c>
      <c r="H144" s="3" t="str">
        <f t="shared" si="18"/>
        <v>Core</v>
      </c>
      <c r="I144" s="3" t="str">
        <f t="shared" si="19"/>
        <v>YES</v>
      </c>
    </row>
    <row r="145" spans="1:9" x14ac:dyDescent="0.25">
      <c r="A145" s="2" t="s">
        <v>409</v>
      </c>
      <c r="B145" s="2">
        <v>3515.09</v>
      </c>
      <c r="C145" s="2">
        <v>3515.09</v>
      </c>
      <c r="D145" s="26">
        <f t="shared" si="16"/>
        <v>0</v>
      </c>
      <c r="E145" s="2">
        <v>3519.09</v>
      </c>
      <c r="F145" s="2">
        <v>3519.09</v>
      </c>
      <c r="G145" s="26">
        <f t="shared" si="17"/>
        <v>0</v>
      </c>
      <c r="H145" s="3" t="str">
        <f t="shared" si="18"/>
        <v>Cusp</v>
      </c>
      <c r="I145" s="3" t="str">
        <f t="shared" si="19"/>
        <v>no</v>
      </c>
    </row>
    <row r="146" spans="1:9" x14ac:dyDescent="0.25">
      <c r="A146" s="2" t="s">
        <v>410</v>
      </c>
      <c r="B146" s="2">
        <v>10.81</v>
      </c>
      <c r="C146" s="2">
        <v>7.19</v>
      </c>
      <c r="D146" s="26">
        <f t="shared" si="16"/>
        <v>3.62</v>
      </c>
      <c r="E146" s="2">
        <v>14.81</v>
      </c>
      <c r="F146" s="2">
        <v>11.19</v>
      </c>
      <c r="G146" s="26">
        <f t="shared" si="17"/>
        <v>3.620000000000001</v>
      </c>
      <c r="H146" s="3" t="str">
        <f t="shared" si="18"/>
        <v>Core</v>
      </c>
      <c r="I146" s="3" t="str">
        <f t="shared" si="19"/>
        <v>YES</v>
      </c>
    </row>
    <row r="147" spans="1:9" x14ac:dyDescent="0.25">
      <c r="A147" s="2" t="s">
        <v>411</v>
      </c>
      <c r="B147" s="2">
        <v>10.58</v>
      </c>
      <c r="C147" s="2">
        <v>1.66</v>
      </c>
      <c r="D147" s="26">
        <f t="shared" si="16"/>
        <v>8.92</v>
      </c>
      <c r="E147" s="2">
        <v>14.58</v>
      </c>
      <c r="F147" s="2">
        <v>5.66</v>
      </c>
      <c r="G147" s="26">
        <f t="shared" si="17"/>
        <v>8.92</v>
      </c>
      <c r="H147" s="3" t="str">
        <f t="shared" si="18"/>
        <v>Core</v>
      </c>
      <c r="I147" s="3" t="str">
        <f t="shared" si="19"/>
        <v>YES</v>
      </c>
    </row>
    <row r="148" spans="1:9" x14ac:dyDescent="0.25">
      <c r="A148" s="2" t="s">
        <v>412</v>
      </c>
      <c r="B148" s="2">
        <v>13.53</v>
      </c>
      <c r="C148" s="2">
        <v>7.1</v>
      </c>
      <c r="D148" s="26">
        <f t="shared" si="16"/>
        <v>6.43</v>
      </c>
      <c r="E148" s="2">
        <v>17.53</v>
      </c>
      <c r="F148" s="2">
        <v>11.1</v>
      </c>
      <c r="G148" s="26">
        <f t="shared" si="17"/>
        <v>6.4300000000000015</v>
      </c>
      <c r="H148" s="3" t="str">
        <f t="shared" si="18"/>
        <v>Core</v>
      </c>
      <c r="I148" s="3" t="str">
        <f t="shared" si="19"/>
        <v>YES</v>
      </c>
    </row>
    <row r="149" spans="1:9" x14ac:dyDescent="0.25">
      <c r="A149" s="2" t="s">
        <v>413</v>
      </c>
      <c r="B149" s="2">
        <v>17.48</v>
      </c>
      <c r="C149" s="2">
        <v>7.99</v>
      </c>
      <c r="D149" s="26">
        <f t="shared" si="16"/>
        <v>9.49</v>
      </c>
      <c r="E149" s="2">
        <v>21.48</v>
      </c>
      <c r="F149" s="2">
        <v>11.99</v>
      </c>
      <c r="G149" s="26">
        <f t="shared" si="17"/>
        <v>9.49</v>
      </c>
      <c r="H149" s="3" t="str">
        <f t="shared" si="18"/>
        <v>Core</v>
      </c>
      <c r="I149" s="3" t="str">
        <f t="shared" si="19"/>
        <v>YES</v>
      </c>
    </row>
    <row r="150" spans="1:9" x14ac:dyDescent="0.25">
      <c r="A150" s="2" t="s">
        <v>414</v>
      </c>
      <c r="B150" s="2">
        <v>8.17</v>
      </c>
      <c r="C150" s="2">
        <v>2.42</v>
      </c>
      <c r="D150" s="26">
        <f t="shared" si="16"/>
        <v>5.75</v>
      </c>
      <c r="E150" s="2">
        <v>12.17</v>
      </c>
      <c r="F150" s="2">
        <v>6.42</v>
      </c>
      <c r="G150" s="26">
        <f t="shared" si="17"/>
        <v>5.75</v>
      </c>
      <c r="H150" s="3" t="str">
        <f t="shared" si="18"/>
        <v>Core</v>
      </c>
      <c r="I150" s="3" t="str">
        <f t="shared" si="19"/>
        <v>YES</v>
      </c>
    </row>
    <row r="151" spans="1:9" x14ac:dyDescent="0.25">
      <c r="A151" s="2" t="s">
        <v>415</v>
      </c>
      <c r="B151" s="2">
        <v>1.71</v>
      </c>
      <c r="C151" s="2">
        <v>2.9</v>
      </c>
      <c r="D151" s="26">
        <f t="shared" si="16"/>
        <v>-1.19</v>
      </c>
      <c r="E151" s="2">
        <v>5.71</v>
      </c>
      <c r="F151" s="2">
        <v>6.9</v>
      </c>
      <c r="G151" s="26">
        <f t="shared" si="17"/>
        <v>-1.1900000000000004</v>
      </c>
      <c r="H151" s="3" t="str">
        <f t="shared" si="18"/>
        <v>Cusp</v>
      </c>
      <c r="I151" s="3" t="str">
        <f t="shared" si="19"/>
        <v>no</v>
      </c>
    </row>
    <row r="152" spans="1:9" x14ac:dyDescent="0.25">
      <c r="A152" s="2" t="s">
        <v>416</v>
      </c>
      <c r="B152" s="2">
        <v>11.8</v>
      </c>
      <c r="C152" s="2">
        <v>2.46</v>
      </c>
      <c r="D152" s="26">
        <f t="shared" si="16"/>
        <v>9.34</v>
      </c>
      <c r="E152" s="2">
        <v>15.8</v>
      </c>
      <c r="F152" s="2">
        <v>6.46</v>
      </c>
      <c r="G152" s="26">
        <f t="shared" si="17"/>
        <v>9.34</v>
      </c>
      <c r="H152" s="3" t="str">
        <f t="shared" si="18"/>
        <v>Core</v>
      </c>
      <c r="I152" s="3" t="str">
        <f t="shared" si="19"/>
        <v>YES</v>
      </c>
    </row>
    <row r="153" spans="1:9" x14ac:dyDescent="0.25">
      <c r="A153" s="2" t="s">
        <v>417</v>
      </c>
      <c r="B153" s="2">
        <v>10.24</v>
      </c>
      <c r="C153" s="2">
        <v>2.19</v>
      </c>
      <c r="D153" s="26">
        <f t="shared" si="16"/>
        <v>8.0500000000000007</v>
      </c>
      <c r="E153" s="2">
        <v>14.24</v>
      </c>
      <c r="F153" s="2">
        <v>6.19</v>
      </c>
      <c r="G153" s="26">
        <f t="shared" si="17"/>
        <v>8.0500000000000007</v>
      </c>
      <c r="H153" s="3" t="str">
        <f t="shared" si="18"/>
        <v>Core</v>
      </c>
      <c r="I153" s="3" t="str">
        <f t="shared" si="19"/>
        <v>YES</v>
      </c>
    </row>
    <row r="154" spans="1:9" x14ac:dyDescent="0.25">
      <c r="A154" s="2" t="s">
        <v>418</v>
      </c>
      <c r="B154" s="2">
        <v>27.25</v>
      </c>
      <c r="C154" s="2">
        <v>9.1999999999999993</v>
      </c>
      <c r="D154" s="26">
        <f t="shared" si="16"/>
        <v>18.05</v>
      </c>
      <c r="E154" s="2">
        <v>31.25</v>
      </c>
      <c r="F154" s="2">
        <v>13.2</v>
      </c>
      <c r="G154" s="26">
        <f t="shared" si="17"/>
        <v>18.05</v>
      </c>
      <c r="H154" s="3" t="str">
        <f t="shared" si="18"/>
        <v>Core</v>
      </c>
      <c r="I154" s="3" t="str">
        <f t="shared" si="19"/>
        <v>YES</v>
      </c>
    </row>
    <row r="155" spans="1:9" x14ac:dyDescent="0.25">
      <c r="A155" s="2" t="s">
        <v>419</v>
      </c>
      <c r="B155" s="2">
        <v>3.84</v>
      </c>
      <c r="C155" s="2">
        <v>1.22</v>
      </c>
      <c r="D155" s="26">
        <f t="shared" si="16"/>
        <v>2.62</v>
      </c>
      <c r="E155" s="2">
        <v>7.84</v>
      </c>
      <c r="F155" s="2">
        <v>5.22</v>
      </c>
      <c r="G155" s="26">
        <f t="shared" si="17"/>
        <v>2.62</v>
      </c>
      <c r="H155" s="3" t="str">
        <f t="shared" si="18"/>
        <v>Core</v>
      </c>
      <c r="I155" s="3" t="str">
        <f t="shared" si="19"/>
        <v>YES</v>
      </c>
    </row>
    <row r="156" spans="1:9" x14ac:dyDescent="0.25">
      <c r="A156" s="2" t="s">
        <v>420</v>
      </c>
      <c r="B156" s="2">
        <v>2.79</v>
      </c>
      <c r="C156" s="2">
        <v>2.79</v>
      </c>
      <c r="D156" s="26">
        <f t="shared" si="16"/>
        <v>0</v>
      </c>
      <c r="E156" s="2">
        <v>6.79</v>
      </c>
      <c r="F156" s="2">
        <v>6.79</v>
      </c>
      <c r="G156" s="26">
        <f t="shared" si="17"/>
        <v>0</v>
      </c>
      <c r="H156" s="3" t="str">
        <f t="shared" si="18"/>
        <v>Cusp</v>
      </c>
      <c r="I156" s="3" t="str">
        <f t="shared" si="19"/>
        <v>no</v>
      </c>
    </row>
    <row r="157" spans="1:9" x14ac:dyDescent="0.25">
      <c r="A157" s="2" t="s">
        <v>421</v>
      </c>
      <c r="B157" s="2">
        <v>19.18</v>
      </c>
      <c r="C157" s="2">
        <v>5.88</v>
      </c>
      <c r="D157" s="26">
        <f t="shared" si="16"/>
        <v>13.3</v>
      </c>
      <c r="E157" s="2">
        <v>23.18</v>
      </c>
      <c r="F157" s="2">
        <v>9.8800000000000008</v>
      </c>
      <c r="G157" s="26">
        <f t="shared" si="17"/>
        <v>13.299999999999999</v>
      </c>
      <c r="H157" s="3" t="str">
        <f t="shared" si="18"/>
        <v>Core</v>
      </c>
      <c r="I157" s="3" t="str">
        <f t="shared" si="19"/>
        <v>YES</v>
      </c>
    </row>
    <row r="158" spans="1:9" x14ac:dyDescent="0.25">
      <c r="A158" s="2" t="s">
        <v>422</v>
      </c>
      <c r="B158" s="2">
        <v>2.83</v>
      </c>
      <c r="C158" s="2">
        <v>0.53</v>
      </c>
      <c r="D158" s="26">
        <f t="shared" si="16"/>
        <v>2.2999999999999998</v>
      </c>
      <c r="E158" s="2">
        <v>6.83</v>
      </c>
      <c r="F158" s="2">
        <v>4.53</v>
      </c>
      <c r="G158" s="26">
        <f t="shared" si="17"/>
        <v>2.2999999999999998</v>
      </c>
      <c r="H158" s="3" t="str">
        <f t="shared" si="18"/>
        <v>Core</v>
      </c>
      <c r="I158" s="3" t="str">
        <f t="shared" si="19"/>
        <v>YES</v>
      </c>
    </row>
    <row r="159" spans="1:9" x14ac:dyDescent="0.25">
      <c r="A159" s="2" t="s">
        <v>423</v>
      </c>
      <c r="B159" s="2">
        <v>2.19</v>
      </c>
      <c r="C159" s="2">
        <v>1.45</v>
      </c>
      <c r="D159" s="26">
        <f t="shared" si="16"/>
        <v>0.74</v>
      </c>
      <c r="E159" s="2">
        <v>6.19</v>
      </c>
      <c r="F159" s="2">
        <v>5.45</v>
      </c>
      <c r="G159" s="26">
        <f t="shared" si="17"/>
        <v>0.74000000000000021</v>
      </c>
      <c r="H159" s="3" t="str">
        <f t="shared" si="18"/>
        <v>Core</v>
      </c>
      <c r="I159" s="3" t="str">
        <f t="shared" si="19"/>
        <v>YES</v>
      </c>
    </row>
    <row r="160" spans="1:9" x14ac:dyDescent="0.25">
      <c r="A160" s="2" t="s">
        <v>424</v>
      </c>
      <c r="B160" s="2">
        <v>0.18</v>
      </c>
      <c r="C160" s="2">
        <v>0.32</v>
      </c>
      <c r="D160" s="26">
        <f t="shared" si="16"/>
        <v>-0.14000000000000001</v>
      </c>
      <c r="E160" s="2">
        <v>4.18</v>
      </c>
      <c r="F160" s="2">
        <v>4.32</v>
      </c>
      <c r="G160" s="26">
        <f t="shared" si="17"/>
        <v>-0.14000000000000057</v>
      </c>
      <c r="H160" s="3" t="str">
        <f t="shared" si="18"/>
        <v>Cusp</v>
      </c>
      <c r="I160" s="3" t="str">
        <f t="shared" si="19"/>
        <v>no</v>
      </c>
    </row>
    <row r="161" spans="1:9" x14ac:dyDescent="0.25">
      <c r="A161" s="2" t="s">
        <v>425</v>
      </c>
      <c r="B161" s="2">
        <v>31.26</v>
      </c>
      <c r="C161" s="2">
        <v>13.52</v>
      </c>
      <c r="D161" s="26">
        <f t="shared" si="16"/>
        <v>17.740000000000002</v>
      </c>
      <c r="E161" s="2">
        <v>35.26</v>
      </c>
      <c r="F161" s="2">
        <v>17.52</v>
      </c>
      <c r="G161" s="26">
        <f t="shared" si="17"/>
        <v>17.739999999999998</v>
      </c>
      <c r="H161" s="3" t="str">
        <f t="shared" si="18"/>
        <v>Core</v>
      </c>
      <c r="I161" s="3" t="str">
        <f t="shared" si="19"/>
        <v>YES</v>
      </c>
    </row>
    <row r="162" spans="1:9" x14ac:dyDescent="0.25">
      <c r="A162" s="2" t="s">
        <v>426</v>
      </c>
      <c r="B162" s="2">
        <v>4.72</v>
      </c>
      <c r="C162" s="2">
        <v>4.5999999999999996</v>
      </c>
      <c r="D162" s="26">
        <f t="shared" si="16"/>
        <v>0.12000000000000011</v>
      </c>
      <c r="E162" s="2">
        <v>8.7200000000000006</v>
      </c>
      <c r="F162" s="2">
        <v>8.6</v>
      </c>
      <c r="G162" s="26">
        <f t="shared" si="17"/>
        <v>0.12000000000000099</v>
      </c>
      <c r="H162" s="3" t="str">
        <f t="shared" si="18"/>
        <v>Core</v>
      </c>
      <c r="I162" s="3" t="str">
        <f t="shared" si="19"/>
        <v>YES</v>
      </c>
    </row>
    <row r="163" spans="1:9" x14ac:dyDescent="0.25">
      <c r="A163" s="2" t="s">
        <v>427</v>
      </c>
      <c r="B163" s="2">
        <v>4.83</v>
      </c>
      <c r="C163" s="2">
        <v>3.51</v>
      </c>
      <c r="D163" s="26">
        <f t="shared" si="16"/>
        <v>1.3200000000000003</v>
      </c>
      <c r="E163" s="2">
        <v>8.83</v>
      </c>
      <c r="F163" s="2">
        <v>7.51</v>
      </c>
      <c r="G163" s="26">
        <f t="shared" si="17"/>
        <v>1.3200000000000003</v>
      </c>
      <c r="H163" s="3" t="str">
        <f t="shared" si="18"/>
        <v>Core</v>
      </c>
      <c r="I163" s="3" t="str">
        <f t="shared" si="19"/>
        <v>YES</v>
      </c>
    </row>
    <row r="164" spans="1:9" x14ac:dyDescent="0.25">
      <c r="A164" s="2" t="s">
        <v>428</v>
      </c>
      <c r="B164" s="2">
        <v>584.14</v>
      </c>
      <c r="C164" s="2">
        <v>471.34</v>
      </c>
      <c r="D164" s="26">
        <f t="shared" si="16"/>
        <v>112.80000000000001</v>
      </c>
      <c r="E164" s="2">
        <v>588.14</v>
      </c>
      <c r="F164" s="2">
        <v>475.34</v>
      </c>
      <c r="G164" s="26">
        <f t="shared" si="17"/>
        <v>112.80000000000001</v>
      </c>
      <c r="H164" s="3" t="str">
        <f t="shared" si="18"/>
        <v>Core</v>
      </c>
      <c r="I164" s="3" t="str">
        <f t="shared" si="19"/>
        <v>YES</v>
      </c>
    </row>
    <row r="165" spans="1:9" x14ac:dyDescent="0.25">
      <c r="A165" s="2" t="s">
        <v>429</v>
      </c>
      <c r="B165" s="2">
        <v>36.65</v>
      </c>
      <c r="C165" s="2">
        <v>16.309999999999999</v>
      </c>
      <c r="D165" s="26">
        <f t="shared" ref="D165:D196" si="20">B165-C165</f>
        <v>20.34</v>
      </c>
      <c r="E165" s="2">
        <v>40.65</v>
      </c>
      <c r="F165" s="2">
        <v>20.309999999999999</v>
      </c>
      <c r="G165" s="26">
        <f t="shared" ref="G165:G196" si="21">E165-F165</f>
        <v>20.34</v>
      </c>
      <c r="H165" s="3" t="str">
        <f t="shared" ref="H165:H179" si="22">IF(D165&gt;0,"Core","Cusp")</f>
        <v>Core</v>
      </c>
      <c r="I165" s="3" t="str">
        <f t="shared" ref="I165:I179" si="23">IF(D165&gt;0,"YES","no")</f>
        <v>YES</v>
      </c>
    </row>
    <row r="166" spans="1:9" x14ac:dyDescent="0.25">
      <c r="A166" s="2" t="s">
        <v>430</v>
      </c>
      <c r="B166" s="2">
        <v>813.19</v>
      </c>
      <c r="C166" s="2">
        <v>790.77</v>
      </c>
      <c r="D166" s="26">
        <f t="shared" si="20"/>
        <v>22.420000000000073</v>
      </c>
      <c r="E166" s="2">
        <v>817.19</v>
      </c>
      <c r="F166" s="2">
        <v>794.77</v>
      </c>
      <c r="G166" s="26">
        <f t="shared" si="21"/>
        <v>22.420000000000073</v>
      </c>
      <c r="H166" s="3" t="str">
        <f t="shared" si="22"/>
        <v>Core</v>
      </c>
      <c r="I166" s="3" t="str">
        <f t="shared" si="23"/>
        <v>YES</v>
      </c>
    </row>
    <row r="167" spans="1:9" x14ac:dyDescent="0.25">
      <c r="A167" s="2" t="s">
        <v>431</v>
      </c>
      <c r="B167" s="2">
        <v>5645.05</v>
      </c>
      <c r="C167" s="2">
        <v>4926.38</v>
      </c>
      <c r="D167" s="26">
        <f t="shared" si="20"/>
        <v>718.67000000000007</v>
      </c>
      <c r="E167" s="2">
        <v>5649.05</v>
      </c>
      <c r="F167" s="2">
        <v>4930.38</v>
      </c>
      <c r="G167" s="26">
        <f t="shared" si="21"/>
        <v>718.67000000000007</v>
      </c>
      <c r="H167" s="3" t="str">
        <f t="shared" si="22"/>
        <v>Core</v>
      </c>
      <c r="I167" s="3" t="str">
        <f t="shared" si="23"/>
        <v>YES</v>
      </c>
    </row>
    <row r="168" spans="1:9" x14ac:dyDescent="0.25">
      <c r="A168" s="2" t="s">
        <v>432</v>
      </c>
      <c r="B168" s="2">
        <v>0.05</v>
      </c>
      <c r="C168" s="2">
        <v>0.03</v>
      </c>
      <c r="D168" s="26">
        <f t="shared" si="20"/>
        <v>2.0000000000000004E-2</v>
      </c>
      <c r="E168" s="2">
        <v>4.05</v>
      </c>
      <c r="F168" s="2">
        <v>4.03</v>
      </c>
      <c r="G168" s="26">
        <f t="shared" si="21"/>
        <v>1.9999999999999574E-2</v>
      </c>
      <c r="H168" s="3" t="str">
        <f t="shared" si="22"/>
        <v>Core</v>
      </c>
      <c r="I168" s="3" t="str">
        <f t="shared" si="23"/>
        <v>YES</v>
      </c>
    </row>
    <row r="169" spans="1:9" x14ac:dyDescent="0.25">
      <c r="A169" s="2" t="s">
        <v>433</v>
      </c>
      <c r="B169" s="2">
        <v>1.67</v>
      </c>
      <c r="C169" s="2">
        <v>0.7</v>
      </c>
      <c r="D169" s="26">
        <f t="shared" si="20"/>
        <v>0.97</v>
      </c>
      <c r="E169" s="2">
        <v>5.67</v>
      </c>
      <c r="F169" s="2">
        <v>4.7</v>
      </c>
      <c r="G169" s="26">
        <f t="shared" si="21"/>
        <v>0.96999999999999975</v>
      </c>
      <c r="H169" s="3" t="str">
        <f t="shared" si="22"/>
        <v>Core</v>
      </c>
      <c r="I169" s="3" t="str">
        <f t="shared" si="23"/>
        <v>YES</v>
      </c>
    </row>
    <row r="170" spans="1:9" x14ac:dyDescent="0.25">
      <c r="A170" s="2" t="s">
        <v>434</v>
      </c>
      <c r="B170" s="2">
        <v>1407.21</v>
      </c>
      <c r="C170" s="2">
        <v>1291.81</v>
      </c>
      <c r="D170" s="26">
        <f t="shared" si="20"/>
        <v>115.40000000000009</v>
      </c>
      <c r="E170" s="2">
        <v>1411.21</v>
      </c>
      <c r="F170" s="2">
        <v>1295.81</v>
      </c>
      <c r="G170" s="26">
        <f t="shared" si="21"/>
        <v>115.40000000000009</v>
      </c>
      <c r="H170" s="3" t="str">
        <f t="shared" si="22"/>
        <v>Core</v>
      </c>
      <c r="I170" s="3" t="str">
        <f t="shared" si="23"/>
        <v>YES</v>
      </c>
    </row>
    <row r="171" spans="1:9" x14ac:dyDescent="0.25">
      <c r="A171" s="2" t="s">
        <v>435</v>
      </c>
      <c r="B171" s="2">
        <v>79.38</v>
      </c>
      <c r="C171" s="2">
        <v>79.38</v>
      </c>
      <c r="D171" s="26">
        <f t="shared" si="20"/>
        <v>0</v>
      </c>
      <c r="E171" s="2">
        <v>83.38</v>
      </c>
      <c r="F171" s="2">
        <v>83.38</v>
      </c>
      <c r="G171" s="26">
        <f t="shared" si="21"/>
        <v>0</v>
      </c>
      <c r="H171" s="3" t="str">
        <f t="shared" si="22"/>
        <v>Cusp</v>
      </c>
      <c r="I171" s="3" t="str">
        <f t="shared" si="23"/>
        <v>no</v>
      </c>
    </row>
    <row r="172" spans="1:9" x14ac:dyDescent="0.25">
      <c r="A172" s="2" t="s">
        <v>436</v>
      </c>
      <c r="B172" s="2">
        <v>5.54</v>
      </c>
      <c r="C172" s="2">
        <v>27.31</v>
      </c>
      <c r="D172" s="26">
        <f t="shared" si="20"/>
        <v>-21.77</v>
      </c>
      <c r="E172" s="2">
        <v>9.5399999999999991</v>
      </c>
      <c r="F172" s="2">
        <v>31.31</v>
      </c>
      <c r="G172" s="26">
        <f t="shared" si="21"/>
        <v>-21.77</v>
      </c>
      <c r="H172" s="3" t="str">
        <f t="shared" si="22"/>
        <v>Cusp</v>
      </c>
      <c r="I172" s="3" t="str">
        <f t="shared" si="23"/>
        <v>no</v>
      </c>
    </row>
    <row r="173" spans="1:9" x14ac:dyDescent="0.25">
      <c r="A173" s="2" t="s">
        <v>437</v>
      </c>
      <c r="B173" s="2">
        <v>961.62</v>
      </c>
      <c r="C173" s="2">
        <v>961.62</v>
      </c>
      <c r="D173" s="26">
        <f t="shared" si="20"/>
        <v>0</v>
      </c>
      <c r="E173" s="2">
        <v>965.62</v>
      </c>
      <c r="F173" s="2">
        <v>965.62</v>
      </c>
      <c r="G173" s="26">
        <f t="shared" si="21"/>
        <v>0</v>
      </c>
      <c r="H173" s="3" t="str">
        <f t="shared" si="22"/>
        <v>Cusp</v>
      </c>
      <c r="I173" s="3" t="str">
        <f t="shared" si="23"/>
        <v>no</v>
      </c>
    </row>
    <row r="174" spans="1:9" x14ac:dyDescent="0.25">
      <c r="A174" s="2" t="s">
        <v>438</v>
      </c>
      <c r="B174" s="2">
        <v>11.45</v>
      </c>
      <c r="C174" s="2">
        <v>9.16</v>
      </c>
      <c r="D174" s="26">
        <f t="shared" si="20"/>
        <v>2.2899999999999991</v>
      </c>
      <c r="E174" s="2">
        <v>15.45</v>
      </c>
      <c r="F174" s="2">
        <v>13.16</v>
      </c>
      <c r="G174" s="26">
        <f t="shared" si="21"/>
        <v>2.2899999999999991</v>
      </c>
      <c r="H174" s="3" t="str">
        <f t="shared" si="22"/>
        <v>Core</v>
      </c>
      <c r="I174" s="3" t="str">
        <f t="shared" si="23"/>
        <v>YES</v>
      </c>
    </row>
    <row r="175" spans="1:9" x14ac:dyDescent="0.25">
      <c r="A175" s="2" t="s">
        <v>439</v>
      </c>
      <c r="B175" s="2">
        <v>3.81</v>
      </c>
      <c r="C175" s="2">
        <v>1.28</v>
      </c>
      <c r="D175" s="26">
        <f t="shared" si="20"/>
        <v>2.5300000000000002</v>
      </c>
      <c r="E175" s="2">
        <v>7.81</v>
      </c>
      <c r="F175" s="2">
        <v>5.28</v>
      </c>
      <c r="G175" s="26">
        <f t="shared" si="21"/>
        <v>2.5299999999999994</v>
      </c>
      <c r="H175" s="3" t="str">
        <f t="shared" si="22"/>
        <v>Core</v>
      </c>
      <c r="I175" s="3" t="str">
        <f t="shared" si="23"/>
        <v>YES</v>
      </c>
    </row>
    <row r="176" spans="1:9" x14ac:dyDescent="0.25">
      <c r="A176" s="2" t="s">
        <v>440</v>
      </c>
      <c r="B176" s="2">
        <v>2.2400000000000002</v>
      </c>
      <c r="C176" s="2">
        <v>7.27</v>
      </c>
      <c r="D176" s="26">
        <f t="shared" si="20"/>
        <v>-5.0299999999999994</v>
      </c>
      <c r="E176" s="2">
        <v>6.24</v>
      </c>
      <c r="F176" s="2">
        <v>11.27</v>
      </c>
      <c r="G176" s="26">
        <f t="shared" si="21"/>
        <v>-5.0299999999999994</v>
      </c>
      <c r="H176" s="3" t="str">
        <f t="shared" si="22"/>
        <v>Cusp</v>
      </c>
      <c r="I176" s="3" t="str">
        <f t="shared" si="23"/>
        <v>no</v>
      </c>
    </row>
    <row r="177" spans="1:9" x14ac:dyDescent="0.25">
      <c r="A177" s="2" t="s">
        <v>441</v>
      </c>
      <c r="B177" s="2">
        <v>1.91</v>
      </c>
      <c r="C177" s="2">
        <v>0.84</v>
      </c>
      <c r="D177" s="26">
        <f t="shared" si="20"/>
        <v>1.0699999999999998</v>
      </c>
      <c r="E177" s="2">
        <v>5.91</v>
      </c>
      <c r="F177" s="2">
        <v>4.84</v>
      </c>
      <c r="G177" s="26">
        <f t="shared" si="21"/>
        <v>1.0700000000000003</v>
      </c>
      <c r="H177" s="3" t="str">
        <f t="shared" si="22"/>
        <v>Core</v>
      </c>
      <c r="I177" s="3" t="str">
        <f t="shared" si="23"/>
        <v>YES</v>
      </c>
    </row>
    <row r="178" spans="1:9" x14ac:dyDescent="0.25">
      <c r="A178" s="2" t="s">
        <v>442</v>
      </c>
      <c r="B178" s="2">
        <v>12.07</v>
      </c>
      <c r="C178" s="2">
        <v>4.8099999999999996</v>
      </c>
      <c r="D178" s="26">
        <f t="shared" si="20"/>
        <v>7.2600000000000007</v>
      </c>
      <c r="E178" s="2">
        <v>16.07</v>
      </c>
      <c r="F178" s="2">
        <v>8.81</v>
      </c>
      <c r="G178" s="26">
        <f t="shared" si="21"/>
        <v>7.26</v>
      </c>
      <c r="H178" s="3" t="str">
        <f t="shared" si="22"/>
        <v>Core</v>
      </c>
      <c r="I178" s="3" t="str">
        <f t="shared" si="23"/>
        <v>YES</v>
      </c>
    </row>
    <row r="179" spans="1:9" x14ac:dyDescent="0.25">
      <c r="A179" s="2" t="s">
        <v>443</v>
      </c>
      <c r="B179" s="2">
        <v>2.14</v>
      </c>
      <c r="C179" s="2">
        <v>6.34</v>
      </c>
      <c r="D179" s="26">
        <f t="shared" si="20"/>
        <v>-4.1999999999999993</v>
      </c>
      <c r="E179" s="2">
        <v>6.14</v>
      </c>
      <c r="F179" s="2">
        <v>10.34</v>
      </c>
      <c r="G179" s="26">
        <f t="shared" si="21"/>
        <v>-4.2</v>
      </c>
      <c r="H179" s="3" t="str">
        <f t="shared" si="22"/>
        <v>Cusp</v>
      </c>
      <c r="I179" s="3" t="str">
        <f t="shared" si="23"/>
        <v>no</v>
      </c>
    </row>
    <row r="181" spans="1:9" ht="16.5" x14ac:dyDescent="0.25">
      <c r="A181" s="6" t="s">
        <v>444</v>
      </c>
    </row>
    <row r="182" spans="1:9" x14ac:dyDescent="0.25">
      <c r="A182" s="15" t="s">
        <v>445</v>
      </c>
      <c r="B182" s="7">
        <f>COUNTIF(H5:H179,"Core")</f>
        <v>129</v>
      </c>
    </row>
    <row r="183" spans="1:9" x14ac:dyDescent="0.25">
      <c r="A183" s="15" t="s">
        <v>446</v>
      </c>
      <c r="B183" s="7">
        <f>COUNTIF(H5:H179,"Cusp")</f>
        <v>46</v>
      </c>
    </row>
    <row r="184" spans="1:9" x14ac:dyDescent="0.25">
      <c r="A184" s="15" t="s">
        <v>447</v>
      </c>
      <c r="B184" s="7">
        <f>COUNTA(A5:A179)</f>
        <v>175</v>
      </c>
    </row>
    <row r="185" spans="1:9" x14ac:dyDescent="0.25">
      <c r="A185" s="15" t="s">
        <v>448</v>
      </c>
      <c r="B185" s="27">
        <f>B182/B184</f>
        <v>0.7371428571428571</v>
      </c>
    </row>
    <row r="186" spans="1:9" x14ac:dyDescent="0.25">
      <c r="A186" s="15" t="s">
        <v>449</v>
      </c>
      <c r="B186" s="28">
        <f>MEDIAN(D5:D179)</f>
        <v>5.9</v>
      </c>
    </row>
    <row r="188" spans="1:9" ht="16.5" x14ac:dyDescent="0.25">
      <c r="A188" s="6" t="s">
        <v>108</v>
      </c>
    </row>
    <row r="189" spans="1:9" x14ac:dyDescent="0.25">
      <c r="A189" s="15" t="s">
        <v>450</v>
      </c>
    </row>
    <row r="190" spans="1:9" x14ac:dyDescent="0.25">
      <c r="A190" s="15" t="s">
        <v>451</v>
      </c>
    </row>
    <row r="191" spans="1:9" x14ac:dyDescent="0.25">
      <c r="A191" s="9" t="s">
        <v>452</v>
      </c>
    </row>
  </sheetData>
  <mergeCells count="1">
    <mergeCell ref="A1:I1"/>
  </mergeCells>
  <conditionalFormatting sqref="H5:H179">
    <cfRule type="cellIs" dxfId="1" priority="1" operator="equal">
      <formula>"Core"</formula>
    </cfRule>
    <cfRule type="cellIs" dxfId="0" priority="2" operator="equal">
      <formula>"Cusp"</formula>
    </cfRule>
  </conditionalFormatting>
  <pageMargins left="0.75" right="0.75" top="1" bottom="1" header="0.5" footer="0.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553C9A"/>
  </sheetPr>
  <dimension ref="A1:H40"/>
  <sheetViews>
    <sheetView workbookViewId="0"/>
  </sheetViews>
  <sheetFormatPr defaultRowHeight="15" x14ac:dyDescent="0.25"/>
  <sheetData>
    <row r="1" spans="1:8" ht="20.25" x14ac:dyDescent="0.25">
      <c r="A1" s="52" t="s">
        <v>453</v>
      </c>
      <c r="B1" s="53"/>
      <c r="C1" s="53"/>
      <c r="D1" s="53"/>
      <c r="E1" s="53"/>
      <c r="F1" s="53"/>
      <c r="G1" s="53"/>
      <c r="H1" s="53"/>
    </row>
    <row r="2" spans="1:8" x14ac:dyDescent="0.25">
      <c r="A2" s="18" t="s">
        <v>454</v>
      </c>
    </row>
    <row r="4" spans="1:8" ht="16.5" x14ac:dyDescent="0.25">
      <c r="A4" s="6" t="s">
        <v>455</v>
      </c>
    </row>
    <row r="5" spans="1:8" x14ac:dyDescent="0.25">
      <c r="A5" s="15" t="s">
        <v>456</v>
      </c>
    </row>
    <row r="6" spans="1:8" ht="25.5" x14ac:dyDescent="0.25">
      <c r="A6" s="1" t="s">
        <v>457</v>
      </c>
      <c r="B6" s="1" t="s">
        <v>458</v>
      </c>
      <c r="C6" s="1" t="s">
        <v>459</v>
      </c>
      <c r="D6" s="1" t="s">
        <v>460</v>
      </c>
      <c r="E6" s="1" t="s">
        <v>461</v>
      </c>
    </row>
    <row r="7" spans="1:8" ht="38.25" x14ac:dyDescent="0.25">
      <c r="A7" s="29" t="s">
        <v>462</v>
      </c>
      <c r="B7" s="29" t="s">
        <v>463</v>
      </c>
      <c r="C7" s="29" t="s">
        <v>143</v>
      </c>
      <c r="D7" s="10" t="s">
        <v>464</v>
      </c>
      <c r="E7" s="11" t="s">
        <v>465</v>
      </c>
    </row>
    <row r="8" spans="1:8" ht="76.5" x14ac:dyDescent="0.25">
      <c r="A8" s="29" t="s">
        <v>466</v>
      </c>
      <c r="B8" s="29" t="s">
        <v>467</v>
      </c>
      <c r="C8" s="29" t="s">
        <v>143</v>
      </c>
      <c r="D8" s="10" t="s">
        <v>464</v>
      </c>
      <c r="E8" s="11" t="s">
        <v>468</v>
      </c>
    </row>
    <row r="9" spans="1:8" ht="38.25" x14ac:dyDescent="0.25">
      <c r="A9" s="29" t="s">
        <v>469</v>
      </c>
      <c r="B9" s="29" t="s">
        <v>470</v>
      </c>
      <c r="C9" s="29" t="s">
        <v>143</v>
      </c>
      <c r="D9" s="10" t="s">
        <v>464</v>
      </c>
      <c r="E9" s="11" t="s">
        <v>471</v>
      </c>
    </row>
    <row r="10" spans="1:8" ht="51" x14ac:dyDescent="0.25">
      <c r="A10" s="29" t="s">
        <v>472</v>
      </c>
      <c r="B10" s="29" t="s">
        <v>473</v>
      </c>
      <c r="C10" s="29" t="s">
        <v>143</v>
      </c>
      <c r="D10" s="10" t="s">
        <v>464</v>
      </c>
      <c r="E10" s="11" t="s">
        <v>474</v>
      </c>
    </row>
    <row r="11" spans="1:8" ht="38.25" x14ac:dyDescent="0.25">
      <c r="A11" s="29" t="s">
        <v>475</v>
      </c>
      <c r="B11" s="29" t="s">
        <v>463</v>
      </c>
      <c r="C11" s="29" t="s">
        <v>476</v>
      </c>
      <c r="D11" s="30" t="s">
        <v>477</v>
      </c>
      <c r="E11" s="11" t="s">
        <v>478</v>
      </c>
    </row>
    <row r="12" spans="1:8" ht="89.25" x14ac:dyDescent="0.25">
      <c r="A12" s="29" t="s">
        <v>479</v>
      </c>
      <c r="B12" s="29" t="s">
        <v>467</v>
      </c>
      <c r="C12" s="29" t="s">
        <v>480</v>
      </c>
      <c r="D12" s="30" t="s">
        <v>477</v>
      </c>
      <c r="E12" s="11" t="s">
        <v>481</v>
      </c>
    </row>
    <row r="14" spans="1:8" x14ac:dyDescent="0.25">
      <c r="A14" s="9" t="s">
        <v>482</v>
      </c>
    </row>
    <row r="16" spans="1:8" ht="16.5" x14ac:dyDescent="0.25">
      <c r="A16" s="6" t="s">
        <v>483</v>
      </c>
    </row>
    <row r="17" spans="1:4" ht="25.5" x14ac:dyDescent="0.25">
      <c r="A17" s="1" t="s">
        <v>457</v>
      </c>
      <c r="B17" s="1" t="s">
        <v>458</v>
      </c>
      <c r="C17" s="1" t="s">
        <v>484</v>
      </c>
      <c r="D17" s="1" t="s">
        <v>485</v>
      </c>
    </row>
    <row r="18" spans="1:4" ht="25.5" x14ac:dyDescent="0.25">
      <c r="A18" s="29" t="s">
        <v>462</v>
      </c>
      <c r="B18" s="29" t="s">
        <v>463</v>
      </c>
      <c r="C18" s="29" t="s">
        <v>476</v>
      </c>
      <c r="D18" s="29" t="s">
        <v>486</v>
      </c>
    </row>
    <row r="19" spans="1:4" ht="25.5" x14ac:dyDescent="0.25">
      <c r="A19" s="31" t="s">
        <v>475</v>
      </c>
      <c r="B19" s="31" t="s">
        <v>463</v>
      </c>
      <c r="C19" s="31" t="s">
        <v>487</v>
      </c>
      <c r="D19" s="31" t="s">
        <v>486</v>
      </c>
    </row>
    <row r="20" spans="1:4" ht="25.5" x14ac:dyDescent="0.25">
      <c r="A20" s="29" t="s">
        <v>466</v>
      </c>
      <c r="B20" s="29" t="s">
        <v>488</v>
      </c>
      <c r="C20" s="29" t="s">
        <v>489</v>
      </c>
      <c r="D20" s="29" t="s">
        <v>490</v>
      </c>
    </row>
    <row r="21" spans="1:4" ht="38.25" x14ac:dyDescent="0.25">
      <c r="A21" s="31" t="s">
        <v>479</v>
      </c>
      <c r="B21" s="31" t="s">
        <v>488</v>
      </c>
      <c r="C21" s="31" t="s">
        <v>491</v>
      </c>
      <c r="D21" s="31" t="s">
        <v>490</v>
      </c>
    </row>
    <row r="22" spans="1:4" ht="25.5" x14ac:dyDescent="0.25">
      <c r="A22" s="29" t="s">
        <v>492</v>
      </c>
      <c r="B22" s="29" t="s">
        <v>493</v>
      </c>
      <c r="C22" s="29" t="s">
        <v>494</v>
      </c>
      <c r="D22" s="29" t="s">
        <v>495</v>
      </c>
    </row>
    <row r="23" spans="1:4" x14ac:dyDescent="0.25">
      <c r="A23" s="31" t="s">
        <v>469</v>
      </c>
      <c r="B23" s="31" t="s">
        <v>470</v>
      </c>
      <c r="C23" s="31" t="s">
        <v>476</v>
      </c>
      <c r="D23" s="31" t="s">
        <v>496</v>
      </c>
    </row>
    <row r="24" spans="1:4" ht="25.5" x14ac:dyDescent="0.25">
      <c r="A24" s="29" t="s">
        <v>472</v>
      </c>
      <c r="B24" s="29" t="s">
        <v>473</v>
      </c>
      <c r="C24" s="29" t="s">
        <v>476</v>
      </c>
      <c r="D24" s="29" t="s">
        <v>486</v>
      </c>
    </row>
    <row r="25" spans="1:4" ht="25.5" x14ac:dyDescent="0.25">
      <c r="A25" s="31" t="s">
        <v>497</v>
      </c>
      <c r="B25" s="31" t="s">
        <v>473</v>
      </c>
      <c r="C25" s="31" t="s">
        <v>487</v>
      </c>
      <c r="D25" s="31" t="s">
        <v>486</v>
      </c>
    </row>
    <row r="26" spans="1:4" x14ac:dyDescent="0.25">
      <c r="A26" s="29" t="s">
        <v>498</v>
      </c>
      <c r="B26" s="29" t="s">
        <v>499</v>
      </c>
      <c r="C26" s="29" t="s">
        <v>500</v>
      </c>
      <c r="D26" s="29" t="s">
        <v>496</v>
      </c>
    </row>
    <row r="29" spans="1:4" ht="16.5" x14ac:dyDescent="0.25">
      <c r="A29" s="6" t="s">
        <v>501</v>
      </c>
    </row>
    <row r="30" spans="1:4" x14ac:dyDescent="0.25">
      <c r="A30" s="15" t="s">
        <v>502</v>
      </c>
    </row>
    <row r="31" spans="1:4" x14ac:dyDescent="0.25">
      <c r="A31" s="15" t="s">
        <v>503</v>
      </c>
    </row>
    <row r="33" spans="1:1" ht="16.5" x14ac:dyDescent="0.25">
      <c r="A33" s="6" t="s">
        <v>504</v>
      </c>
    </row>
    <row r="34" spans="1:1" x14ac:dyDescent="0.25">
      <c r="A34" s="7" t="s">
        <v>505</v>
      </c>
    </row>
    <row r="35" spans="1:1" x14ac:dyDescent="0.25">
      <c r="A35" s="7" t="s">
        <v>506</v>
      </c>
    </row>
    <row r="36" spans="1:1" x14ac:dyDescent="0.25">
      <c r="A36" s="7" t="s">
        <v>507</v>
      </c>
    </row>
    <row r="37" spans="1:1" x14ac:dyDescent="0.25">
      <c r="A37" s="7" t="s">
        <v>508</v>
      </c>
    </row>
    <row r="38" spans="1:1" x14ac:dyDescent="0.25">
      <c r="A38" s="7" t="s">
        <v>509</v>
      </c>
    </row>
    <row r="39" spans="1:1" x14ac:dyDescent="0.25">
      <c r="A39" s="7" t="s">
        <v>510</v>
      </c>
    </row>
    <row r="40" spans="1:1" x14ac:dyDescent="0.25">
      <c r="A40" s="9" t="s">
        <v>511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Computation Engine</vt:lpstr>
      <vt:lpstr>Zero Set Proof</vt:lpstr>
      <vt:lpstr>Consecutive Coincidences</vt:lpstr>
      <vt:lpstr>Fiber Concentration</vt:lpstr>
      <vt:lpstr>Ray Structure</vt:lpstr>
      <vt:lpstr>Phase Transition</vt:lpstr>
      <vt:lpstr>GCD-Projection</vt:lpstr>
      <vt:lpstr>Parity Theorem</vt:lpstr>
      <vt:lpstr>Neural Substrate</vt:lpstr>
      <vt:lpstr>SPARC Galaxy Analysis</vt:lpstr>
      <vt:lpstr>Algebraic Structure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enigma</cp:lastModifiedBy>
  <dcterms:created xsi:type="dcterms:W3CDTF">2026-03-30T20:53:11Z</dcterms:created>
  <dcterms:modified xsi:type="dcterms:W3CDTF">2026-03-31T09:14:14Z</dcterms:modified>
</cp:coreProperties>
</file>